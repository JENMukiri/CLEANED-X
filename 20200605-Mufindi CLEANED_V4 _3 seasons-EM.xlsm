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wema\Desktop\CLEANED training\"/>
    </mc:Choice>
  </mc:AlternateContent>
  <bookViews>
    <workbookView xWindow="0" yWindow="0" windowWidth="20490" windowHeight="7620"/>
  </bookViews>
  <sheets>
    <sheet name="INPUTS" sheetId="1" r:id="rId1"/>
    <sheet name="Land requirements" sheetId="29" r:id="rId2"/>
    <sheet name="Productivity" sheetId="20" r:id="rId3"/>
    <sheet name="Economics " sheetId="35" r:id="rId4"/>
    <sheet name="Soil impacts" sheetId="19" r:id="rId5"/>
    <sheet name="Water Impacts" sheetId="37" r:id="rId6"/>
    <sheet name="GHG emissions" sheetId="7" r:id="rId7"/>
    <sheet name="SUMMARY" sheetId="41" r:id="rId8"/>
    <sheet name="Area Parameters" sheetId="38" r:id="rId9"/>
    <sheet name="Livestock parameters" sheetId="24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Soil" sheetId="14" r:id="rId28"/>
    <sheet name="GHG Burning" sheetId="16" r:id="rId29"/>
    <sheet name="GHG Off-farm" sheetId="28" r:id="rId30"/>
    <sheet name="GHG Rice" sheetId="13" r:id="rId31"/>
    <sheet name="Trees-Carbon" sheetId="44" r:id="rId32"/>
  </sheets>
  <functionGroups builtInGroupCount="18"/>
  <externalReferences>
    <externalReference r:id="rId33"/>
    <externalReference r:id="rId34"/>
    <externalReference r:id="rId35"/>
    <externalReference r:id="rId36"/>
  </externalReferences>
  <definedNames>
    <definedName name="_xlnm._FilterDatabase" localSheetId="10" hidden="1">'Crop parameters'!$A$2:$Q$43</definedName>
    <definedName name="_xlnm._FilterDatabase" localSheetId="12" hidden="1">Economics_Parameters!$B$2:$E$16</definedName>
    <definedName name="_xlnm._FilterDatabase" localSheetId="16" hidden="1">Feed!$B$5:$U$11</definedName>
    <definedName name="animalha">INPUTS!$C$205</definedName>
    <definedName name="Brach">INPUTS!$C$209</definedName>
    <definedName name="Cowimpr">INPUTS!$C$217</definedName>
    <definedName name="Cowloc">INPUTS!$C$216</definedName>
    <definedName name="crop_parameters" localSheetId="11">'[1]Crop parameters'!$A$3:$Q$27</definedName>
    <definedName name="crop_parameters">'Crop parameters'!$A$3:$Q$28</definedName>
    <definedName name="Cstockch">INPUTS!$C$200</definedName>
    <definedName name="erosion">INPUTS!$C$190</definedName>
    <definedName name="erosion__t_yr">INPUTS!$C$190</definedName>
    <definedName name="Feed" localSheetId="11">'Feed parameters'!$A$2:$I$114</definedName>
    <definedName name="Feed">'Feed parameters'!$A$2:$I$53</definedName>
    <definedName name="feedlist" localSheetId="11">'Feed parameters'!$A$3:$A$114</definedName>
    <definedName name="feedlist">'Feed parameters'!$A$3:$A$53</definedName>
    <definedName name="feedparameters_tbl" localSheetId="11">'Feed parameters'!$A$2:$I$114</definedName>
    <definedName name="feedparameters_tbl">'Feed parameters'!$A$2:$I$53</definedName>
    <definedName name="GHGha">INPUTS!$C$199</definedName>
    <definedName name="GHGmeat">INPUTS!$C$197</definedName>
    <definedName name="GHGmilk">INPUTS!$C$196</definedName>
    <definedName name="GHGprotein">INPUTS!$C$198</definedName>
    <definedName name="GHGtot">INPUTS!$C$195</definedName>
    <definedName name="Glir">INPUTS!$C$215</definedName>
    <definedName name="Hyp">INPUTS!$C$210</definedName>
    <definedName name="Land_cover_erosion" localSheetId="11">'[1]Soil erosion parameters'!$B$23:$B$36</definedName>
    <definedName name="Land_cover_erosion">'Soil erosion parameters'!$B$23:$B$36</definedName>
    <definedName name="land_req">INPUTS!$C$191</definedName>
    <definedName name="Landarea">[2]Input!$D$30</definedName>
    <definedName name="Landuse_System_RUSLE">'Soil erosion parameters'!$B$39:$B$41</definedName>
    <definedName name="Maize">INPUTS!$C$211</definedName>
    <definedName name="meat">INPUTS!$C$193</definedName>
    <definedName name="milk">INPUTS!$C$192</definedName>
    <definedName name="milkha">INPUTS!#REF!</definedName>
    <definedName name="MMS">'Crop parameters'!$A$53:$A$55</definedName>
    <definedName name="molasses">INPUTS!$C$214</definedName>
    <definedName name="Nbal">INPUTS!$C$187</definedName>
    <definedName name="Nbalha">INPUTS!$C$187</definedName>
    <definedName name="Nbaltot">INPUTS!$C$186</definedName>
    <definedName name="OrganicAmendment">'GHG Rice'!$A$42:$A$47</definedName>
    <definedName name="Penn">INPUTS!$C$212</definedName>
    <definedName name="_xlnm.Print_Area" localSheetId="13">'GHG Parameters'!#REF!</definedName>
    <definedName name="protein">INPUTS!$C$194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INPUTS!$C$189</definedName>
    <definedName name="soil_mining">INPUTS!$C$188</definedName>
    <definedName name="soilleach">INPUTS!$B$189</definedName>
    <definedName name="soilmining">INPUTS!$B$188</definedName>
    <definedName name="Sorghum">INPUTS!$C$213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INPUTS!$C$204</definedName>
    <definedName name="watermeat">INPUTS!$C$202</definedName>
    <definedName name="watermilk">INPUTS!$C$201</definedName>
    <definedName name="waterprotein">INPUTS!$C$203</definedName>
  </definedNames>
  <calcPr calcId="162913"/>
</workbook>
</file>

<file path=xl/calcChain.xml><?xml version="1.0" encoding="utf-8"?>
<calcChain xmlns="http://schemas.openxmlformats.org/spreadsheetml/2006/main">
  <c r="E32" i="2" l="1"/>
  <c r="K130" i="30"/>
  <c r="K127" i="30"/>
  <c r="J130" i="30"/>
  <c r="J127" i="30"/>
  <c r="L11" i="30" l="1"/>
  <c r="Y11" i="30"/>
  <c r="Y10" i="30"/>
  <c r="Y9" i="30"/>
  <c r="Y8" i="30"/>
  <c r="P11" i="30"/>
  <c r="P10" i="30"/>
  <c r="P9" i="30"/>
  <c r="P8" i="30"/>
  <c r="G102" i="30"/>
  <c r="G101" i="30"/>
  <c r="G100" i="30"/>
  <c r="G99" i="30"/>
  <c r="G95" i="30"/>
  <c r="G94" i="30"/>
  <c r="G93" i="30"/>
  <c r="G92" i="30"/>
  <c r="G88" i="30"/>
  <c r="G87" i="30"/>
  <c r="G86" i="30"/>
  <c r="G85" i="30"/>
  <c r="G81" i="30"/>
  <c r="G80" i="30"/>
  <c r="G79" i="30"/>
  <c r="G78" i="30"/>
  <c r="G74" i="30"/>
  <c r="G73" i="30"/>
  <c r="G72" i="30"/>
  <c r="G71" i="30"/>
  <c r="G67" i="30"/>
  <c r="G66" i="30"/>
  <c r="G65" i="30"/>
  <c r="G64" i="30"/>
  <c r="G60" i="30"/>
  <c r="G59" i="30"/>
  <c r="G58" i="30"/>
  <c r="G57" i="30"/>
  <c r="G53" i="30"/>
  <c r="G52" i="30"/>
  <c r="G51" i="30"/>
  <c r="G50" i="30"/>
  <c r="G46" i="30"/>
  <c r="G45" i="30"/>
  <c r="G44" i="30"/>
  <c r="G43" i="30"/>
  <c r="G39" i="30"/>
  <c r="G38" i="30"/>
  <c r="G37" i="30"/>
  <c r="G36" i="30"/>
  <c r="G32" i="30"/>
  <c r="G31" i="30"/>
  <c r="G30" i="30"/>
  <c r="G29" i="30"/>
  <c r="G25" i="30"/>
  <c r="G24" i="30"/>
  <c r="G23" i="30"/>
  <c r="G22" i="30"/>
  <c r="G18" i="30"/>
  <c r="G17" i="30"/>
  <c r="G16" i="30"/>
  <c r="G15" i="30"/>
  <c r="G11" i="30"/>
  <c r="G10" i="30"/>
  <c r="G9" i="30"/>
  <c r="G8" i="30"/>
  <c r="V59" i="1"/>
  <c r="AF8" i="30" l="1"/>
  <c r="D33" i="23"/>
  <c r="U40" i="23" l="1"/>
  <c r="P40" i="23"/>
  <c r="M40" i="23"/>
  <c r="F40" i="23"/>
  <c r="D40" i="23"/>
  <c r="I40" i="23" s="1"/>
  <c r="U39" i="23"/>
  <c r="P39" i="23"/>
  <c r="F39" i="23"/>
  <c r="D39" i="23"/>
  <c r="M39" i="23" s="1"/>
  <c r="U30" i="23"/>
  <c r="P30" i="23"/>
  <c r="F30" i="23"/>
  <c r="D30" i="23"/>
  <c r="M30" i="23" s="1"/>
  <c r="U26" i="23"/>
  <c r="P26" i="23"/>
  <c r="F26" i="23"/>
  <c r="D26" i="23"/>
  <c r="M26" i="23" s="1"/>
  <c r="U21" i="23"/>
  <c r="P21" i="23"/>
  <c r="F21" i="23"/>
  <c r="D21" i="23"/>
  <c r="M21" i="23" s="1"/>
  <c r="U23" i="23"/>
  <c r="I24" i="23"/>
  <c r="U24" i="23"/>
  <c r="D44" i="36"/>
  <c r="D114" i="36"/>
  <c r="D84" i="36"/>
  <c r="D13" i="36"/>
  <c r="D54" i="36"/>
  <c r="G44" i="36"/>
  <c r="F44" i="36"/>
  <c r="T21" i="24"/>
  <c r="U23" i="24"/>
  <c r="N23" i="24"/>
  <c r="I26" i="23" l="1"/>
  <c r="I39" i="23"/>
  <c r="I30" i="23"/>
  <c r="I21" i="23"/>
  <c r="DF19" i="32" l="1"/>
  <c r="DE19" i="32"/>
  <c r="DD19" i="32"/>
  <c r="DF18" i="32"/>
  <c r="DE18" i="32"/>
  <c r="DD18" i="32"/>
  <c r="DF17" i="32"/>
  <c r="DE17" i="32"/>
  <c r="DD17" i="32"/>
  <c r="DF16" i="32"/>
  <c r="DE16" i="32"/>
  <c r="DD16" i="32"/>
  <c r="DF15" i="32"/>
  <c r="DE15" i="32"/>
  <c r="DD15" i="32"/>
  <c r="DF14" i="32"/>
  <c r="DE14" i="32"/>
  <c r="DD14" i="32"/>
  <c r="DF13" i="32"/>
  <c r="DE13" i="32"/>
  <c r="DD13" i="32"/>
  <c r="DF12" i="32"/>
  <c r="DE12" i="32"/>
  <c r="DD12" i="32"/>
  <c r="DF11" i="32"/>
  <c r="DE11" i="32"/>
  <c r="DD11" i="32"/>
  <c r="DF10" i="32"/>
  <c r="DE10" i="32"/>
  <c r="DD10" i="32"/>
  <c r="DF9" i="32"/>
  <c r="DE9" i="32"/>
  <c r="DD9" i="32"/>
  <c r="DF8" i="32"/>
  <c r="DE8" i="32"/>
  <c r="DD8" i="32"/>
  <c r="DF7" i="32"/>
  <c r="DE7" i="32"/>
  <c r="DD7" i="32"/>
  <c r="DF6" i="32"/>
  <c r="DE6" i="32"/>
  <c r="DD6" i="32"/>
  <c r="X6" i="32"/>
  <c r="X7" i="32"/>
  <c r="AD7" i="32" s="1"/>
  <c r="X8" i="32"/>
  <c r="X9" i="32"/>
  <c r="AD9" i="32" s="1"/>
  <c r="X10" i="32"/>
  <c r="AB10" i="32" s="1"/>
  <c r="X11" i="32"/>
  <c r="AC11" i="32" s="1"/>
  <c r="X12" i="32"/>
  <c r="AD12" i="32" s="1"/>
  <c r="X13" i="32"/>
  <c r="X14" i="32"/>
  <c r="AD14" i="32" s="1"/>
  <c r="X15" i="32"/>
  <c r="AD15" i="32" s="1"/>
  <c r="X16" i="32"/>
  <c r="X17" i="32"/>
  <c r="AD17" i="32" s="1"/>
  <c r="X18" i="32"/>
  <c r="AD18" i="32" s="1"/>
  <c r="X19" i="32"/>
  <c r="AD19" i="32" s="1"/>
  <c r="A19" i="32"/>
  <c r="A18" i="32"/>
  <c r="A17" i="32"/>
  <c r="A16" i="32"/>
  <c r="A15" i="32"/>
  <c r="A14" i="32"/>
  <c r="A13" i="32"/>
  <c r="A12" i="32"/>
  <c r="A11" i="32"/>
  <c r="A9" i="32"/>
  <c r="A8" i="32"/>
  <c r="A7" i="32"/>
  <c r="A6" i="32"/>
  <c r="AC98" i="30"/>
  <c r="AB98" i="30"/>
  <c r="AA98" i="30"/>
  <c r="Z98" i="30"/>
  <c r="Y98" i="30"/>
  <c r="X98" i="30"/>
  <c r="W98" i="30"/>
  <c r="AC91" i="30"/>
  <c r="AB91" i="30"/>
  <c r="AA91" i="30"/>
  <c r="Z91" i="30"/>
  <c r="Y91" i="30"/>
  <c r="X91" i="30"/>
  <c r="W91" i="30"/>
  <c r="AC84" i="30"/>
  <c r="AB84" i="30"/>
  <c r="AA84" i="30"/>
  <c r="Z84" i="30"/>
  <c r="Y84" i="30"/>
  <c r="X84" i="30"/>
  <c r="W84" i="30"/>
  <c r="AC77" i="30"/>
  <c r="AB77" i="30"/>
  <c r="AA77" i="30"/>
  <c r="Z77" i="30"/>
  <c r="Y77" i="30"/>
  <c r="X77" i="30"/>
  <c r="W77" i="30"/>
  <c r="AC70" i="30"/>
  <c r="AB70" i="30"/>
  <c r="AA70" i="30"/>
  <c r="Z70" i="30"/>
  <c r="Y70" i="30"/>
  <c r="X70" i="30"/>
  <c r="W70" i="30"/>
  <c r="AC63" i="30"/>
  <c r="AB63" i="30"/>
  <c r="AA63" i="30"/>
  <c r="Z63" i="30"/>
  <c r="Y63" i="30"/>
  <c r="X63" i="30"/>
  <c r="W63" i="30"/>
  <c r="AC56" i="30"/>
  <c r="AB56" i="30"/>
  <c r="AA56" i="30"/>
  <c r="Z56" i="30"/>
  <c r="Y56" i="30"/>
  <c r="X56" i="30"/>
  <c r="W56" i="30"/>
  <c r="AC49" i="30"/>
  <c r="AB49" i="30"/>
  <c r="AA49" i="30"/>
  <c r="Z49" i="30"/>
  <c r="Y49" i="30"/>
  <c r="X49" i="30"/>
  <c r="W49" i="30"/>
  <c r="AC42" i="30"/>
  <c r="AB42" i="30"/>
  <c r="AA42" i="30"/>
  <c r="Z42" i="30"/>
  <c r="Y42" i="30"/>
  <c r="X42" i="30"/>
  <c r="W42" i="30"/>
  <c r="AC35" i="30"/>
  <c r="AB35" i="30"/>
  <c r="AA35" i="30"/>
  <c r="Z35" i="30"/>
  <c r="Y35" i="30"/>
  <c r="X35" i="30"/>
  <c r="W35" i="30"/>
  <c r="AC28" i="30"/>
  <c r="AB28" i="30"/>
  <c r="AA28" i="30"/>
  <c r="Z28" i="30"/>
  <c r="Y28" i="30"/>
  <c r="X28" i="30"/>
  <c r="W28" i="30"/>
  <c r="AC21" i="30"/>
  <c r="AB21" i="30"/>
  <c r="AA21" i="30"/>
  <c r="Z21" i="30"/>
  <c r="Y21" i="30"/>
  <c r="X21" i="30"/>
  <c r="W21" i="30"/>
  <c r="AC14" i="30"/>
  <c r="AB14" i="30"/>
  <c r="AA14" i="30"/>
  <c r="Z14" i="30"/>
  <c r="Y14" i="30"/>
  <c r="X14" i="30"/>
  <c r="W14" i="30"/>
  <c r="AC7" i="30"/>
  <c r="AB7" i="30"/>
  <c r="AA7" i="30"/>
  <c r="Z7" i="30"/>
  <c r="Y7" i="30"/>
  <c r="X7" i="30"/>
  <c r="W7" i="30"/>
  <c r="Y3" i="30"/>
  <c r="D17" i="1"/>
  <c r="C1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DD21" i="32" l="1"/>
  <c r="DE21" i="32"/>
  <c r="DF21" i="32"/>
  <c r="AC10" i="32"/>
  <c r="AB18" i="32"/>
  <c r="AC19" i="32"/>
  <c r="AD11" i="32"/>
  <c r="AD10" i="32"/>
  <c r="AC15" i="32"/>
  <c r="AB17" i="32"/>
  <c r="AB9" i="32"/>
  <c r="AC9" i="32"/>
  <c r="AC18" i="32"/>
  <c r="AB6" i="32"/>
  <c r="AB7" i="32"/>
  <c r="AC8" i="32"/>
  <c r="AB16" i="32"/>
  <c r="AC17" i="32"/>
  <c r="AB8" i="32"/>
  <c r="AC6" i="32"/>
  <c r="AC7" i="32"/>
  <c r="AD8" i="32"/>
  <c r="AB12" i="32"/>
  <c r="AB13" i="32"/>
  <c r="AB14" i="32"/>
  <c r="AB15" i="32"/>
  <c r="AC16" i="32"/>
  <c r="AD6" i="32"/>
  <c r="AC12" i="32"/>
  <c r="AC14" i="32"/>
  <c r="AB11" i="32"/>
  <c r="AC13" i="32"/>
  <c r="AD16" i="32"/>
  <c r="AD13" i="32"/>
  <c r="AB19" i="32"/>
  <c r="G21" i="24"/>
  <c r="AD21" i="32" l="1"/>
  <c r="AC21" i="32"/>
  <c r="AB21" i="32"/>
  <c r="F26" i="18"/>
  <c r="F24" i="18"/>
  <c r="F25" i="18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175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8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10" i="9"/>
  <c r="G3" i="30" l="1"/>
  <c r="P3" i="30" l="1"/>
  <c r="A11" i="24"/>
  <c r="N25" i="24" l="1"/>
  <c r="H25" i="24"/>
  <c r="G25" i="24"/>
  <c r="N21" i="24" l="1"/>
  <c r="H21" i="24" l="1"/>
  <c r="A190" i="3" l="1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D71" i="3" s="1"/>
  <c r="B70" i="3"/>
  <c r="D70" i="3" s="1"/>
  <c r="B69" i="3"/>
  <c r="D69" i="3" s="1"/>
  <c r="B68" i="3"/>
  <c r="D68" i="3" s="1"/>
  <c r="B67" i="3"/>
  <c r="D67" i="3" s="1"/>
  <c r="B66" i="3"/>
  <c r="D66" i="3" s="1"/>
  <c r="B65" i="3"/>
  <c r="D65" i="3" s="1"/>
  <c r="B64" i="3"/>
  <c r="D64" i="3" s="1"/>
  <c r="B63" i="3"/>
  <c r="D63" i="3" s="1"/>
  <c r="B62" i="3"/>
  <c r="D62" i="3" s="1"/>
  <c r="B61" i="3"/>
  <c r="D61" i="3" s="1"/>
  <c r="B60" i="3"/>
  <c r="D60" i="3" s="1"/>
  <c r="B59" i="3"/>
  <c r="D59" i="3" s="1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D22" i="3" s="1"/>
  <c r="B21" i="3"/>
  <c r="D21" i="3" s="1"/>
  <c r="B20" i="3"/>
  <c r="D20" i="3" s="1"/>
  <c r="B19" i="3"/>
  <c r="D19" i="3" s="1"/>
  <c r="B18" i="3"/>
  <c r="D18" i="3" s="1"/>
  <c r="B98" i="30" l="1"/>
  <c r="B91" i="30"/>
  <c r="B84" i="30"/>
  <c r="B77" i="30"/>
  <c r="B70" i="30"/>
  <c r="P59" i="1"/>
  <c r="O59" i="1"/>
  <c r="N59" i="1"/>
  <c r="M59" i="1"/>
  <c r="L59" i="1"/>
  <c r="D44" i="2" l="1"/>
  <c r="D43" i="2"/>
  <c r="D42" i="2"/>
  <c r="D41" i="2"/>
  <c r="D40" i="2"/>
  <c r="D39" i="2"/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K16" i="27" l="1"/>
  <c r="C16" i="27"/>
  <c r="B16" i="27"/>
  <c r="A16" i="27"/>
  <c r="K15" i="27"/>
  <c r="C15" i="27"/>
  <c r="B15" i="27"/>
  <c r="A15" i="27"/>
  <c r="K14" i="27"/>
  <c r="C14" i="27"/>
  <c r="B14" i="27"/>
  <c r="A14" i="27"/>
  <c r="K13" i="27"/>
  <c r="C13" i="27"/>
  <c r="B13" i="27"/>
  <c r="A13" i="27"/>
  <c r="K12" i="27"/>
  <c r="C12" i="27"/>
  <c r="B12" i="27"/>
  <c r="A12" i="27"/>
  <c r="K11" i="27"/>
  <c r="C11" i="27"/>
  <c r="B11" i="27"/>
  <c r="A11" i="27"/>
  <c r="B10" i="27"/>
  <c r="G11" i="27" l="1"/>
  <c r="G12" i="27"/>
  <c r="G13" i="27"/>
  <c r="G15" i="27"/>
  <c r="G16" i="27"/>
  <c r="G14" i="27"/>
  <c r="N174" i="30"/>
  <c r="M174" i="30"/>
  <c r="L174" i="30"/>
  <c r="K174" i="30"/>
  <c r="J174" i="30"/>
  <c r="I174" i="30"/>
  <c r="H174" i="30"/>
  <c r="G174" i="30"/>
  <c r="N173" i="30"/>
  <c r="M173" i="30"/>
  <c r="L173" i="30"/>
  <c r="K173" i="30"/>
  <c r="J173" i="30"/>
  <c r="I173" i="30"/>
  <c r="H173" i="30"/>
  <c r="G173" i="30"/>
  <c r="N172" i="30"/>
  <c r="M172" i="30"/>
  <c r="L172" i="30"/>
  <c r="K172" i="30"/>
  <c r="J172" i="30"/>
  <c r="I172" i="30"/>
  <c r="H172" i="30"/>
  <c r="G172" i="30"/>
  <c r="N171" i="30"/>
  <c r="M171" i="30"/>
  <c r="L171" i="30"/>
  <c r="K171" i="30"/>
  <c r="J171" i="30"/>
  <c r="I171" i="30"/>
  <c r="H171" i="30"/>
  <c r="G171" i="30"/>
  <c r="N170" i="30"/>
  <c r="M170" i="30"/>
  <c r="L170" i="30"/>
  <c r="K170" i="30"/>
  <c r="J170" i="30"/>
  <c r="I170" i="30"/>
  <c r="H170" i="30"/>
  <c r="G170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39" i="30" l="1"/>
  <c r="A121" i="30" s="1"/>
  <c r="A138" i="30"/>
  <c r="A120" i="30" s="1"/>
  <c r="A137" i="30"/>
  <c r="A119" i="30" s="1"/>
  <c r="A136" i="30"/>
  <c r="A118" i="30" s="1"/>
  <c r="A135" i="30"/>
  <c r="A15" i="24"/>
  <c r="A14" i="24"/>
  <c r="A13" i="24"/>
  <c r="A12" i="24"/>
  <c r="AC14" i="24" l="1"/>
  <c r="U14" i="24"/>
  <c r="M14" i="24"/>
  <c r="G120" i="30" s="1"/>
  <c r="E14" i="24"/>
  <c r="AJ14" i="24"/>
  <c r="AB14" i="24"/>
  <c r="H15" i="27" s="1"/>
  <c r="T14" i="24"/>
  <c r="L14" i="24"/>
  <c r="F120" i="30" s="1"/>
  <c r="D14" i="24"/>
  <c r="AI14" i="24"/>
  <c r="AA14" i="24"/>
  <c r="S14" i="24"/>
  <c r="M120" i="30" s="1"/>
  <c r="K14" i="24"/>
  <c r="C14" i="24"/>
  <c r="AH14" i="24"/>
  <c r="Z14" i="24"/>
  <c r="R14" i="24"/>
  <c r="L120" i="30" s="1"/>
  <c r="J14" i="24"/>
  <c r="B14" i="24"/>
  <c r="AG14" i="24"/>
  <c r="Y14" i="24"/>
  <c r="Q14" i="24"/>
  <c r="I14" i="24"/>
  <c r="F14" i="24"/>
  <c r="AF14" i="24"/>
  <c r="X14" i="24"/>
  <c r="P14" i="24"/>
  <c r="H14" i="24"/>
  <c r="B120" i="30" s="1"/>
  <c r="AE14" i="24"/>
  <c r="W14" i="24"/>
  <c r="O14" i="24"/>
  <c r="G14" i="24"/>
  <c r="AD14" i="24"/>
  <c r="V14" i="24"/>
  <c r="E15" i="27" s="1"/>
  <c r="N14" i="24"/>
  <c r="H120" i="30" s="1"/>
  <c r="AH15" i="24"/>
  <c r="Z15" i="24"/>
  <c r="R15" i="24"/>
  <c r="L121" i="30" s="1"/>
  <c r="J15" i="24"/>
  <c r="B15" i="24"/>
  <c r="AG15" i="24"/>
  <c r="Y15" i="24"/>
  <c r="Q15" i="24"/>
  <c r="I15" i="24"/>
  <c r="AF15" i="24"/>
  <c r="X15" i="24"/>
  <c r="P15" i="24"/>
  <c r="H15" i="24"/>
  <c r="B121" i="30" s="1"/>
  <c r="AA15" i="24"/>
  <c r="AE15" i="24"/>
  <c r="W15" i="24"/>
  <c r="O15" i="24"/>
  <c r="G15" i="24"/>
  <c r="AD15" i="24"/>
  <c r="V15" i="24"/>
  <c r="E16" i="27" s="1"/>
  <c r="N15" i="24"/>
  <c r="H121" i="30" s="1"/>
  <c r="F15" i="24"/>
  <c r="AC15" i="24"/>
  <c r="U15" i="24"/>
  <c r="M15" i="24"/>
  <c r="G121" i="30" s="1"/>
  <c r="E15" i="24"/>
  <c r="K15" i="24"/>
  <c r="AJ15" i="24"/>
  <c r="AB15" i="24"/>
  <c r="H16" i="27" s="1"/>
  <c r="T15" i="24"/>
  <c r="L15" i="24"/>
  <c r="F121" i="30" s="1"/>
  <c r="D15" i="24"/>
  <c r="AI15" i="24"/>
  <c r="S15" i="24"/>
  <c r="M121" i="30" s="1"/>
  <c r="C15" i="24"/>
  <c r="AD11" i="24"/>
  <c r="V11" i="24"/>
  <c r="E12" i="27" s="1"/>
  <c r="N11" i="24"/>
  <c r="H117" i="30" s="1"/>
  <c r="F11" i="24"/>
  <c r="AJ11" i="24"/>
  <c r="AB11" i="24"/>
  <c r="H12" i="27" s="1"/>
  <c r="T11" i="24"/>
  <c r="L11" i="24"/>
  <c r="F117" i="30" s="1"/>
  <c r="D11" i="24"/>
  <c r="O11" i="24"/>
  <c r="AI11" i="24"/>
  <c r="AA11" i="24"/>
  <c r="S11" i="24"/>
  <c r="M117" i="30" s="1"/>
  <c r="K11" i="24"/>
  <c r="C11" i="24"/>
  <c r="AH11" i="24"/>
  <c r="Z11" i="24"/>
  <c r="R11" i="24"/>
  <c r="L117" i="30" s="1"/>
  <c r="J11" i="24"/>
  <c r="B11" i="24"/>
  <c r="AG11" i="24"/>
  <c r="Y11" i="24"/>
  <c r="Q11" i="24"/>
  <c r="I11" i="24"/>
  <c r="G11" i="24"/>
  <c r="AF11" i="24"/>
  <c r="X11" i="24"/>
  <c r="P11" i="24"/>
  <c r="H11" i="24"/>
  <c r="B117" i="30" s="1"/>
  <c r="AE11" i="24"/>
  <c r="W11" i="24"/>
  <c r="E11" i="24"/>
  <c r="AC11" i="24"/>
  <c r="U11" i="24"/>
  <c r="M11" i="24"/>
  <c r="G117" i="30" s="1"/>
  <c r="AI12" i="24"/>
  <c r="AA12" i="24"/>
  <c r="S12" i="24"/>
  <c r="M118" i="30" s="1"/>
  <c r="K12" i="24"/>
  <c r="C12" i="24"/>
  <c r="AG12" i="24"/>
  <c r="Y12" i="24"/>
  <c r="Q12" i="24"/>
  <c r="I12" i="24"/>
  <c r="AB12" i="24"/>
  <c r="H13" i="27" s="1"/>
  <c r="AF12" i="24"/>
  <c r="X12" i="24"/>
  <c r="P12" i="24"/>
  <c r="H12" i="24"/>
  <c r="B118" i="30" s="1"/>
  <c r="AE12" i="24"/>
  <c r="W12" i="24"/>
  <c r="O12" i="24"/>
  <c r="G12" i="24"/>
  <c r="AD12" i="24"/>
  <c r="V12" i="24"/>
  <c r="E13" i="27" s="1"/>
  <c r="N12" i="24"/>
  <c r="H118" i="30" s="1"/>
  <c r="F12" i="24"/>
  <c r="AC12" i="24"/>
  <c r="U12" i="24"/>
  <c r="M12" i="24"/>
  <c r="G118" i="30" s="1"/>
  <c r="E12" i="24"/>
  <c r="AJ12" i="24"/>
  <c r="T12" i="24"/>
  <c r="L12" i="24"/>
  <c r="F118" i="30" s="1"/>
  <c r="D12" i="24"/>
  <c r="AH12" i="24"/>
  <c r="Z12" i="24"/>
  <c r="R12" i="24"/>
  <c r="L118" i="30" s="1"/>
  <c r="B12" i="24"/>
  <c r="J12" i="24"/>
  <c r="AF13" i="24"/>
  <c r="X13" i="24"/>
  <c r="P13" i="24"/>
  <c r="H13" i="24"/>
  <c r="B119" i="30" s="1"/>
  <c r="AE13" i="24"/>
  <c r="W13" i="24"/>
  <c r="AD13" i="24"/>
  <c r="V13" i="24"/>
  <c r="E14" i="27" s="1"/>
  <c r="N13" i="24"/>
  <c r="H119" i="30" s="1"/>
  <c r="F13" i="24"/>
  <c r="AC13" i="24"/>
  <c r="U13" i="24"/>
  <c r="M13" i="24"/>
  <c r="G119" i="30" s="1"/>
  <c r="E13" i="24"/>
  <c r="Q13" i="24"/>
  <c r="AJ13" i="24"/>
  <c r="AB13" i="24"/>
  <c r="H14" i="27" s="1"/>
  <c r="T13" i="24"/>
  <c r="L13" i="24"/>
  <c r="F119" i="30" s="1"/>
  <c r="D13" i="24"/>
  <c r="AI13" i="24"/>
  <c r="AA13" i="24"/>
  <c r="S13" i="24"/>
  <c r="M119" i="30" s="1"/>
  <c r="K13" i="24"/>
  <c r="C13" i="24"/>
  <c r="AH13" i="24"/>
  <c r="Z13" i="24"/>
  <c r="R13" i="24"/>
  <c r="L119" i="30" s="1"/>
  <c r="J13" i="24"/>
  <c r="B13" i="24"/>
  <c r="AG13" i="24"/>
  <c r="Y13" i="24"/>
  <c r="I13" i="24"/>
  <c r="O13" i="24"/>
  <c r="G13" i="24"/>
  <c r="B19" i="2"/>
  <c r="D19" i="2" s="1"/>
  <c r="B20" i="2"/>
  <c r="D20" i="2" s="1"/>
  <c r="B17" i="2"/>
  <c r="D17" i="2" s="1"/>
  <c r="B18" i="2"/>
  <c r="D18" i="2" s="1"/>
  <c r="B21" i="2"/>
  <c r="D21" i="2" s="1"/>
  <c r="A117" i="30"/>
  <c r="L13" i="27" l="1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I117" i="30"/>
  <c r="C67" i="3"/>
  <c r="D12" i="27"/>
  <c r="E120" i="30"/>
  <c r="E117" i="30"/>
  <c r="K121" i="30"/>
  <c r="C119" i="30"/>
  <c r="E21" i="2"/>
  <c r="E18" i="2"/>
  <c r="E20" i="2"/>
  <c r="E17" i="2"/>
  <c r="E19" i="2"/>
  <c r="C121" i="30"/>
  <c r="J120" i="30"/>
  <c r="K119" i="30"/>
  <c r="I119" i="30"/>
  <c r="E119" i="30"/>
  <c r="J118" i="30"/>
  <c r="C120" i="30"/>
  <c r="I120" i="30"/>
  <c r="K117" i="30"/>
  <c r="J121" i="30"/>
  <c r="E121" i="30"/>
  <c r="K120" i="30"/>
  <c r="E118" i="30"/>
  <c r="I118" i="30"/>
  <c r="K118" i="30"/>
  <c r="I121" i="30"/>
  <c r="J117" i="30"/>
  <c r="J119" i="30"/>
  <c r="C118" i="30"/>
  <c r="D119" i="30"/>
  <c r="D121" i="30"/>
  <c r="D120" i="30"/>
  <c r="D118" i="30"/>
  <c r="D117" i="30"/>
  <c r="A10" i="24"/>
  <c r="A9" i="24"/>
  <c r="N13" i="27" l="1"/>
  <c r="C135" i="30"/>
  <c r="O135" i="30" s="1"/>
  <c r="N14" i="27"/>
  <c r="M14" i="27"/>
  <c r="N16" i="27"/>
  <c r="M16" i="27"/>
  <c r="N15" i="27"/>
  <c r="M15" i="27"/>
  <c r="M12" i="27"/>
  <c r="N12" i="27"/>
  <c r="B137" i="30"/>
  <c r="F137" i="30" s="1"/>
  <c r="C138" i="30"/>
  <c r="O138" i="30" s="1"/>
  <c r="AG10" i="24"/>
  <c r="Y10" i="24"/>
  <c r="I10" i="24"/>
  <c r="AE10" i="24"/>
  <c r="W10" i="24"/>
  <c r="O10" i="24"/>
  <c r="Z10" i="24"/>
  <c r="AD10" i="24"/>
  <c r="V10" i="24"/>
  <c r="E11" i="27" s="1"/>
  <c r="F10" i="24"/>
  <c r="AC10" i="24"/>
  <c r="U10" i="24"/>
  <c r="M10" i="24"/>
  <c r="G116" i="30" s="1"/>
  <c r="E10" i="24"/>
  <c r="R10" i="24"/>
  <c r="L116" i="30" s="1"/>
  <c r="AJ10" i="24"/>
  <c r="AB10" i="24"/>
  <c r="H11" i="27" s="1"/>
  <c r="T10" i="24"/>
  <c r="L10" i="24"/>
  <c r="F116" i="30" s="1"/>
  <c r="D10" i="24"/>
  <c r="AI10" i="24"/>
  <c r="AA10" i="24"/>
  <c r="S10" i="24"/>
  <c r="M116" i="30" s="1"/>
  <c r="C10" i="24"/>
  <c r="AH10" i="24"/>
  <c r="B10" i="24"/>
  <c r="AF10" i="24"/>
  <c r="X10" i="24"/>
  <c r="AJ9" i="24"/>
  <c r="AB9" i="24"/>
  <c r="T9" i="24"/>
  <c r="L9" i="24"/>
  <c r="F115" i="30" s="1"/>
  <c r="D9" i="24"/>
  <c r="AH9" i="24"/>
  <c r="Z9" i="24"/>
  <c r="R9" i="24"/>
  <c r="L115" i="30" s="1"/>
  <c r="J9" i="24"/>
  <c r="B9" i="24"/>
  <c r="AC9" i="24"/>
  <c r="AG9" i="24"/>
  <c r="Y9" i="24"/>
  <c r="Q9" i="24"/>
  <c r="I9" i="24"/>
  <c r="AF9" i="24"/>
  <c r="X9" i="24"/>
  <c r="P9" i="24"/>
  <c r="E9" i="24"/>
  <c r="AE9" i="24"/>
  <c r="W9" i="24"/>
  <c r="O9" i="24"/>
  <c r="M9" i="24"/>
  <c r="G115" i="30" s="1"/>
  <c r="AD9" i="24"/>
  <c r="V9" i="24"/>
  <c r="E10" i="27" s="1"/>
  <c r="F9" i="24"/>
  <c r="U9" i="24"/>
  <c r="K9" i="24"/>
  <c r="AI9" i="24"/>
  <c r="C9" i="24"/>
  <c r="AA9" i="24"/>
  <c r="S9" i="24"/>
  <c r="M115" i="30" s="1"/>
  <c r="C136" i="30"/>
  <c r="O136" i="30" s="1"/>
  <c r="C139" i="30"/>
  <c r="O139" i="30" s="1"/>
  <c r="B139" i="30"/>
  <c r="F139" i="30" s="1"/>
  <c r="B138" i="30"/>
  <c r="F138" i="30" s="1"/>
  <c r="C137" i="30"/>
  <c r="O137" i="30" s="1"/>
  <c r="B136" i="30"/>
  <c r="F136" i="30" s="1"/>
  <c r="B15" i="2"/>
  <c r="D15" i="2" s="1"/>
  <c r="B16" i="2"/>
  <c r="D16" i="2" s="1"/>
  <c r="A8" i="24"/>
  <c r="A7" i="24"/>
  <c r="A6" i="24"/>
  <c r="A10" i="32" s="1"/>
  <c r="A5" i="24"/>
  <c r="A4" i="24"/>
  <c r="A3" i="24"/>
  <c r="A2" i="24"/>
  <c r="L11" i="27" l="1"/>
  <c r="N11" i="27" s="1"/>
  <c r="L10" i="27"/>
  <c r="M10" i="27" s="1"/>
  <c r="J11" i="27"/>
  <c r="I11" i="27"/>
  <c r="C66" i="3"/>
  <c r="D11" i="27"/>
  <c r="C65" i="3"/>
  <c r="D10" i="27"/>
  <c r="AC6" i="24"/>
  <c r="U6" i="24"/>
  <c r="M6" i="24"/>
  <c r="G112" i="30" s="1"/>
  <c r="E6" i="24"/>
  <c r="AI6" i="24"/>
  <c r="AA6" i="24"/>
  <c r="S6" i="24"/>
  <c r="M112" i="30" s="1"/>
  <c r="C6" i="24"/>
  <c r="AH6" i="24"/>
  <c r="Z6" i="24"/>
  <c r="R6" i="24"/>
  <c r="L112" i="30" s="1"/>
  <c r="B6" i="24"/>
  <c r="AG6" i="24"/>
  <c r="Y6" i="24"/>
  <c r="I6" i="24"/>
  <c r="AF6" i="24"/>
  <c r="X6" i="24"/>
  <c r="AE6" i="24"/>
  <c r="W6" i="24"/>
  <c r="O6" i="24"/>
  <c r="AJ6" i="24"/>
  <c r="D6" i="24"/>
  <c r="T6" i="24"/>
  <c r="AD6" i="24"/>
  <c r="AB6" i="24"/>
  <c r="V6" i="24"/>
  <c r="E7" i="27" s="1"/>
  <c r="L6" i="24"/>
  <c r="F112" i="30" s="1"/>
  <c r="F6" i="24"/>
  <c r="AH7" i="24"/>
  <c r="Z7" i="24"/>
  <c r="R7" i="24"/>
  <c r="L113" i="30" s="1"/>
  <c r="B7" i="24"/>
  <c r="AF7" i="24"/>
  <c r="X7" i="24"/>
  <c r="AE7" i="24"/>
  <c r="W7" i="24"/>
  <c r="O7" i="24"/>
  <c r="AD7" i="24"/>
  <c r="V7" i="24"/>
  <c r="E8" i="27" s="1"/>
  <c r="F7" i="24"/>
  <c r="AC7" i="24"/>
  <c r="U7" i="24"/>
  <c r="M7" i="24"/>
  <c r="G113" i="30" s="1"/>
  <c r="E7" i="24"/>
  <c r="AJ7" i="24"/>
  <c r="AB7" i="24"/>
  <c r="T7" i="24"/>
  <c r="L7" i="24"/>
  <c r="F113" i="30" s="1"/>
  <c r="D7" i="24"/>
  <c r="AG7" i="24"/>
  <c r="AA7" i="24"/>
  <c r="Y7" i="24"/>
  <c r="S7" i="24"/>
  <c r="M113" i="30" s="1"/>
  <c r="I7" i="24"/>
  <c r="AI7" i="24"/>
  <c r="C7" i="24"/>
  <c r="AF5" i="24"/>
  <c r="X5" i="24"/>
  <c r="P5" i="24"/>
  <c r="AD5" i="24"/>
  <c r="V5" i="24"/>
  <c r="E6" i="27" s="1"/>
  <c r="F5" i="24"/>
  <c r="AC5" i="24"/>
  <c r="U5" i="24"/>
  <c r="M5" i="24"/>
  <c r="G111" i="30" s="1"/>
  <c r="E5" i="24"/>
  <c r="AJ5" i="24"/>
  <c r="AB5" i="24"/>
  <c r="T5" i="24"/>
  <c r="L5" i="24"/>
  <c r="F111" i="30" s="1"/>
  <c r="D5" i="24"/>
  <c r="AI5" i="24"/>
  <c r="AA5" i="24"/>
  <c r="S5" i="24"/>
  <c r="M111" i="30" s="1"/>
  <c r="K5" i="24"/>
  <c r="C5" i="24"/>
  <c r="AH5" i="24"/>
  <c r="Z5" i="24"/>
  <c r="R5" i="24"/>
  <c r="L111" i="30" s="1"/>
  <c r="J5" i="24"/>
  <c r="B5" i="24"/>
  <c r="AG5" i="24"/>
  <c r="AE5" i="24"/>
  <c r="W5" i="24"/>
  <c r="Q5" i="24"/>
  <c r="K111" i="30" s="1"/>
  <c r="Y5" i="24"/>
  <c r="O5" i="24"/>
  <c r="I5" i="24"/>
  <c r="AE8" i="24"/>
  <c r="W8" i="24"/>
  <c r="O8" i="24"/>
  <c r="G8" i="24"/>
  <c r="AC8" i="24"/>
  <c r="U8" i="24"/>
  <c r="M8" i="24"/>
  <c r="G114" i="30" s="1"/>
  <c r="E8" i="24"/>
  <c r="X8" i="24"/>
  <c r="AJ8" i="24"/>
  <c r="AB8" i="24"/>
  <c r="T8" i="24"/>
  <c r="L8" i="24"/>
  <c r="F114" i="30" s="1"/>
  <c r="D8" i="24"/>
  <c r="AI8" i="24"/>
  <c r="AA8" i="24"/>
  <c r="S8" i="24"/>
  <c r="M114" i="30" s="1"/>
  <c r="C8" i="24"/>
  <c r="AH8" i="24"/>
  <c r="Z8" i="24"/>
  <c r="R8" i="24"/>
  <c r="L114" i="30" s="1"/>
  <c r="J8" i="24"/>
  <c r="B8" i="24"/>
  <c r="AG8" i="24"/>
  <c r="Y8" i="24"/>
  <c r="I8" i="24"/>
  <c r="AF8" i="24"/>
  <c r="AD8" i="24"/>
  <c r="V8" i="24"/>
  <c r="E9" i="27" s="1"/>
  <c r="F8" i="24"/>
  <c r="E16" i="2"/>
  <c r="E15" i="2"/>
  <c r="AG2" i="24"/>
  <c r="Y2" i="24"/>
  <c r="Q2" i="24"/>
  <c r="I2" i="24"/>
  <c r="AE2" i="24"/>
  <c r="W2" i="24"/>
  <c r="O2" i="24"/>
  <c r="L2" i="24"/>
  <c r="F108" i="30" s="1"/>
  <c r="D2" i="24"/>
  <c r="AD2" i="24"/>
  <c r="F2" i="24"/>
  <c r="AB2" i="24"/>
  <c r="AC2" i="24"/>
  <c r="U2" i="24"/>
  <c r="M2" i="24"/>
  <c r="G108" i="30" s="1"/>
  <c r="E2" i="24"/>
  <c r="AJ2" i="24"/>
  <c r="T2" i="24"/>
  <c r="AI2" i="24"/>
  <c r="AA2" i="24"/>
  <c r="S2" i="24"/>
  <c r="M108" i="30" s="1"/>
  <c r="K2" i="24"/>
  <c r="C2" i="24"/>
  <c r="P2" i="24"/>
  <c r="J2" i="24"/>
  <c r="AF2" i="24"/>
  <c r="Z2" i="24"/>
  <c r="R2" i="24"/>
  <c r="L108" i="30" s="1"/>
  <c r="AH2" i="24"/>
  <c r="B2" i="24"/>
  <c r="X2" i="24"/>
  <c r="B8" i="2"/>
  <c r="D8" i="2" s="1"/>
  <c r="AD3" i="24"/>
  <c r="V3" i="24"/>
  <c r="E4" i="27" s="1"/>
  <c r="F3" i="24"/>
  <c r="AJ3" i="24"/>
  <c r="AB3" i="24"/>
  <c r="T3" i="24"/>
  <c r="L3" i="24"/>
  <c r="F109" i="30" s="1"/>
  <c r="D3" i="24"/>
  <c r="Q3" i="24"/>
  <c r="AI3" i="24"/>
  <c r="AA3" i="24"/>
  <c r="S3" i="24"/>
  <c r="M109" i="30" s="1"/>
  <c r="K3" i="24"/>
  <c r="C3" i="24"/>
  <c r="AH3" i="24"/>
  <c r="Z3" i="24"/>
  <c r="R3" i="24"/>
  <c r="L109" i="30" s="1"/>
  <c r="J3" i="24"/>
  <c r="B3" i="24"/>
  <c r="AG3" i="24"/>
  <c r="Y3" i="24"/>
  <c r="I3" i="24"/>
  <c r="AF3" i="24"/>
  <c r="X3" i="24"/>
  <c r="P3" i="24"/>
  <c r="M3" i="24"/>
  <c r="G109" i="30" s="1"/>
  <c r="W3" i="24"/>
  <c r="E3" i="24"/>
  <c r="AE3" i="24"/>
  <c r="AC3" i="24"/>
  <c r="U3" i="24"/>
  <c r="O3" i="24"/>
  <c r="AI4" i="24"/>
  <c r="AA4" i="24"/>
  <c r="S4" i="24"/>
  <c r="M110" i="30" s="1"/>
  <c r="K4" i="24"/>
  <c r="C4" i="24"/>
  <c r="AG4" i="24"/>
  <c r="Y4" i="24"/>
  <c r="Q4" i="24"/>
  <c r="I4" i="24"/>
  <c r="AF4" i="24"/>
  <c r="X4" i="24"/>
  <c r="P4" i="24"/>
  <c r="AE4" i="24"/>
  <c r="W4" i="24"/>
  <c r="O4" i="24"/>
  <c r="AD4" i="24"/>
  <c r="V4" i="24"/>
  <c r="E5" i="27" s="1"/>
  <c r="F4" i="24"/>
  <c r="AC4" i="24"/>
  <c r="U4" i="24"/>
  <c r="M4" i="24"/>
  <c r="G110" i="30" s="1"/>
  <c r="E4" i="24"/>
  <c r="J4" i="24"/>
  <c r="Z4" i="24"/>
  <c r="AJ4" i="24"/>
  <c r="D4" i="24"/>
  <c r="AH4" i="24"/>
  <c r="B4" i="24"/>
  <c r="AB4" i="24"/>
  <c r="T4" i="24"/>
  <c r="R4" i="24"/>
  <c r="L110" i="30" s="1"/>
  <c r="L4" i="24"/>
  <c r="F110" i="30" s="1"/>
  <c r="B10" i="2"/>
  <c r="D10" i="2" s="1"/>
  <c r="B11" i="2"/>
  <c r="D11" i="2" s="1"/>
  <c r="B12" i="2"/>
  <c r="D12" i="2" s="1"/>
  <c r="K115" i="30"/>
  <c r="B14" i="2"/>
  <c r="D14" i="2" s="1"/>
  <c r="E115" i="30"/>
  <c r="B9" i="2"/>
  <c r="D9" i="2" s="1"/>
  <c r="B13" i="2"/>
  <c r="D13" i="2" s="1"/>
  <c r="J115" i="30"/>
  <c r="D115" i="30"/>
  <c r="M11" i="27" l="1"/>
  <c r="N10" i="27"/>
  <c r="L7" i="27"/>
  <c r="M7" i="27" s="1"/>
  <c r="C63" i="3"/>
  <c r="L6" i="27"/>
  <c r="N6" i="27" s="1"/>
  <c r="L4" i="27"/>
  <c r="M4" i="27" s="1"/>
  <c r="C58" i="3"/>
  <c r="C62" i="3"/>
  <c r="C60" i="3"/>
  <c r="L8" i="27"/>
  <c r="L9" i="27"/>
  <c r="C61" i="3"/>
  <c r="L5" i="27"/>
  <c r="C59" i="3"/>
  <c r="L3" i="27"/>
  <c r="C64" i="3"/>
  <c r="J110" i="30"/>
  <c r="K109" i="30"/>
  <c r="E14" i="2"/>
  <c r="E12" i="2"/>
  <c r="E10" i="2"/>
  <c r="E11" i="2"/>
  <c r="E9" i="2"/>
  <c r="E13" i="2"/>
  <c r="E111" i="30"/>
  <c r="E109" i="30"/>
  <c r="E110" i="30"/>
  <c r="J111" i="30"/>
  <c r="K110" i="30"/>
  <c r="J109" i="30"/>
  <c r="D110" i="30"/>
  <c r="D109" i="30"/>
  <c r="D111" i="30"/>
  <c r="D114" i="30"/>
  <c r="N7" i="27" l="1"/>
  <c r="M6" i="27"/>
  <c r="N4" i="27"/>
  <c r="N3" i="27"/>
  <c r="M3" i="27"/>
  <c r="N8" i="27"/>
  <c r="M8" i="27"/>
  <c r="N9" i="27"/>
  <c r="M9" i="27"/>
  <c r="N5" i="27"/>
  <c r="M5" i="27"/>
  <c r="H13" i="10"/>
  <c r="K139" i="3" l="1"/>
  <c r="K138" i="3"/>
  <c r="E68" i="3"/>
  <c r="B163" i="3" s="1"/>
  <c r="C163" i="3" s="1"/>
  <c r="E67" i="3"/>
  <c r="B162" i="3" s="1"/>
  <c r="C162" i="3" s="1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C10" i="27"/>
  <c r="K9" i="27"/>
  <c r="C9" i="27"/>
  <c r="B9" i="27"/>
  <c r="D9" i="27" s="1"/>
  <c r="K8" i="27"/>
  <c r="C8" i="27"/>
  <c r="B8" i="27"/>
  <c r="D8" i="27" s="1"/>
  <c r="K7" i="27"/>
  <c r="C7" i="27"/>
  <c r="B7" i="27"/>
  <c r="D7" i="27" s="1"/>
  <c r="K6" i="27"/>
  <c r="C6" i="27"/>
  <c r="B6" i="27"/>
  <c r="D6" i="27" s="1"/>
  <c r="K5" i="27"/>
  <c r="C5" i="27"/>
  <c r="B5" i="27"/>
  <c r="D5" i="27" s="1"/>
  <c r="K4" i="27"/>
  <c r="C4" i="27"/>
  <c r="B4" i="27"/>
  <c r="D4" i="27" s="1"/>
  <c r="CZ16" i="32"/>
  <c r="CX16" i="32"/>
  <c r="CZ15" i="32"/>
  <c r="CX15" i="32"/>
  <c r="CJ16" i="32"/>
  <c r="CH16" i="32"/>
  <c r="CJ15" i="32"/>
  <c r="CH15" i="32"/>
  <c r="BT16" i="32"/>
  <c r="BR16" i="32"/>
  <c r="BT15" i="32"/>
  <c r="BR15" i="32"/>
  <c r="BD16" i="32"/>
  <c r="BB16" i="32"/>
  <c r="BD15" i="32"/>
  <c r="BB15" i="32"/>
  <c r="AN16" i="32"/>
  <c r="AL16" i="32"/>
  <c r="AN15" i="32"/>
  <c r="AL15" i="32"/>
  <c r="V16" i="32"/>
  <c r="H16" i="32"/>
  <c r="V15" i="32"/>
  <c r="H15" i="32"/>
  <c r="F16" i="32"/>
  <c r="F15" i="32"/>
  <c r="N169" i="30"/>
  <c r="M169" i="30"/>
  <c r="L169" i="30"/>
  <c r="K169" i="30"/>
  <c r="J169" i="30"/>
  <c r="I169" i="30"/>
  <c r="H169" i="30"/>
  <c r="G169" i="30"/>
  <c r="N168" i="30"/>
  <c r="M168" i="30"/>
  <c r="L168" i="30"/>
  <c r="K168" i="30"/>
  <c r="J168" i="30"/>
  <c r="I168" i="30"/>
  <c r="H168" i="30"/>
  <c r="G168" i="30"/>
  <c r="N167" i="30"/>
  <c r="M167" i="30"/>
  <c r="L167" i="30"/>
  <c r="K167" i="30"/>
  <c r="J167" i="30"/>
  <c r="I167" i="30"/>
  <c r="H167" i="30"/>
  <c r="G167" i="30"/>
  <c r="N166" i="30"/>
  <c r="M166" i="30"/>
  <c r="L166" i="30"/>
  <c r="K166" i="30"/>
  <c r="J166" i="30"/>
  <c r="I166" i="30"/>
  <c r="H166" i="30"/>
  <c r="G166" i="30"/>
  <c r="N165" i="30"/>
  <c r="M165" i="30"/>
  <c r="L165" i="30"/>
  <c r="K165" i="30"/>
  <c r="J165" i="30"/>
  <c r="I165" i="30"/>
  <c r="H165" i="30"/>
  <c r="G165" i="30"/>
  <c r="N164" i="30"/>
  <c r="M164" i="30"/>
  <c r="L164" i="30"/>
  <c r="K164" i="30"/>
  <c r="J164" i="30"/>
  <c r="I164" i="30"/>
  <c r="H164" i="30"/>
  <c r="G164" i="30"/>
  <c r="N163" i="30"/>
  <c r="M163" i="30"/>
  <c r="L163" i="30"/>
  <c r="K163" i="30"/>
  <c r="J163" i="30"/>
  <c r="I163" i="30"/>
  <c r="H163" i="30"/>
  <c r="G163" i="30"/>
  <c r="N162" i="30"/>
  <c r="M162" i="30"/>
  <c r="L162" i="30"/>
  <c r="K162" i="30"/>
  <c r="J162" i="30"/>
  <c r="I162" i="30"/>
  <c r="H162" i="30"/>
  <c r="G162" i="30"/>
  <c r="CP16" i="32" l="1"/>
  <c r="CO16" i="32"/>
  <c r="CN16" i="32"/>
  <c r="CO15" i="32"/>
  <c r="CP15" i="32"/>
  <c r="CN15" i="32"/>
  <c r="BJ16" i="32"/>
  <c r="BI16" i="32"/>
  <c r="BH16" i="32"/>
  <c r="BJ15" i="32"/>
  <c r="BI15" i="32"/>
  <c r="BH15" i="32"/>
  <c r="AT15" i="32"/>
  <c r="AS15" i="32"/>
  <c r="AR15" i="32"/>
  <c r="AT16" i="32"/>
  <c r="AS16" i="32"/>
  <c r="AR16" i="32"/>
  <c r="L16" i="32"/>
  <c r="N16" i="32"/>
  <c r="M15" i="32"/>
  <c r="N15" i="32"/>
  <c r="G162" i="3"/>
  <c r="F162" i="3"/>
  <c r="D162" i="3"/>
  <c r="E162" i="3"/>
  <c r="G163" i="3"/>
  <c r="F163" i="3"/>
  <c r="E163" i="3"/>
  <c r="D163" i="3"/>
  <c r="F67" i="3"/>
  <c r="F68" i="3"/>
  <c r="G5" i="27"/>
  <c r="H5" i="27" s="1"/>
  <c r="G10" i="27"/>
  <c r="H10" i="27" s="1"/>
  <c r="G4" i="27"/>
  <c r="H4" i="27" s="1"/>
  <c r="M16" i="32"/>
  <c r="G9" i="27"/>
  <c r="H9" i="27" s="1"/>
  <c r="L15" i="32"/>
  <c r="G6" i="27"/>
  <c r="H6" i="27" s="1"/>
  <c r="G7" i="27"/>
  <c r="H7" i="27" s="1"/>
  <c r="G8" i="27"/>
  <c r="H8" i="27" s="1"/>
  <c r="E18" i="3"/>
  <c r="E19" i="3"/>
  <c r="I6" i="27" l="1"/>
  <c r="J6" i="27"/>
  <c r="J9" i="27"/>
  <c r="I9" i="27"/>
  <c r="J8" i="27"/>
  <c r="I8" i="27"/>
  <c r="J5" i="27"/>
  <c r="I5" i="27"/>
  <c r="I7" i="27"/>
  <c r="J7" i="27"/>
  <c r="I4" i="27"/>
  <c r="J4" i="27"/>
  <c r="I10" i="27"/>
  <c r="J10" i="27"/>
  <c r="AB67" i="1"/>
  <c r="AA67" i="1"/>
  <c r="M67" i="1"/>
  <c r="L67" i="1"/>
  <c r="T77" i="30"/>
  <c r="S77" i="30"/>
  <c r="R77" i="30"/>
  <c r="Q77" i="30"/>
  <c r="P77" i="30"/>
  <c r="O77" i="30"/>
  <c r="N77" i="30"/>
  <c r="T70" i="30"/>
  <c r="S70" i="30"/>
  <c r="R70" i="30"/>
  <c r="Q70" i="30"/>
  <c r="P70" i="30"/>
  <c r="O70" i="30"/>
  <c r="N70" i="30"/>
  <c r="K77" i="30"/>
  <c r="J77" i="30"/>
  <c r="I77" i="30"/>
  <c r="H77" i="30"/>
  <c r="F77" i="30"/>
  <c r="E77" i="30"/>
  <c r="K70" i="30"/>
  <c r="J70" i="30"/>
  <c r="I70" i="30"/>
  <c r="H70" i="30"/>
  <c r="G70" i="30"/>
  <c r="F70" i="30"/>
  <c r="E70" i="30"/>
  <c r="G77" i="30"/>
  <c r="N31" i="24"/>
  <c r="N30" i="24"/>
  <c r="N29" i="24"/>
  <c r="N28" i="24"/>
  <c r="N10" i="24" s="1"/>
  <c r="H116" i="30" s="1"/>
  <c r="C139" i="1"/>
  <c r="C137" i="1"/>
  <c r="C155" i="1"/>
  <c r="C136" i="1"/>
  <c r="C151" i="1"/>
  <c r="C150" i="1"/>
  <c r="C130" i="1"/>
  <c r="C138" i="1"/>
  <c r="C146" i="1"/>
  <c r="C148" i="1"/>
  <c r="C135" i="1"/>
  <c r="C154" i="1"/>
  <c r="C157" i="1"/>
  <c r="C149" i="1"/>
  <c r="C147" i="1"/>
  <c r="C145" i="1"/>
  <c r="C153" i="1"/>
  <c r="C131" i="1"/>
  <c r="C156" i="1"/>
  <c r="C128" i="1"/>
  <c r="C127" i="1"/>
  <c r="P28" i="24" l="1"/>
  <c r="Q28" i="24"/>
  <c r="B133" i="1"/>
  <c r="B151" i="1" s="1"/>
  <c r="F151" i="1" s="1"/>
  <c r="A10" i="27"/>
  <c r="B138" i="1"/>
  <c r="B156" i="1" s="1"/>
  <c r="G156" i="1" s="1"/>
  <c r="B127" i="1"/>
  <c r="D127" i="1" s="1"/>
  <c r="A4" i="27"/>
  <c r="B135" i="1"/>
  <c r="D135" i="1" s="1"/>
  <c r="A33" i="34"/>
  <c r="B139" i="1"/>
  <c r="B157" i="1" s="1"/>
  <c r="F157" i="1" s="1"/>
  <c r="B129" i="1"/>
  <c r="B147" i="1" s="1"/>
  <c r="F147" i="1" s="1"/>
  <c r="A6" i="27"/>
  <c r="B137" i="1"/>
  <c r="B155" i="1" s="1"/>
  <c r="F155" i="1" s="1"/>
  <c r="B130" i="1"/>
  <c r="B148" i="1" s="1"/>
  <c r="D148" i="1" s="1"/>
  <c r="A7" i="27"/>
  <c r="B134" i="1"/>
  <c r="D134" i="1" s="1"/>
  <c r="B131" i="1"/>
  <c r="B149" i="1" s="1"/>
  <c r="F149" i="1" s="1"/>
  <c r="A8" i="27"/>
  <c r="B128" i="1"/>
  <c r="E128" i="1" s="1"/>
  <c r="A5" i="27"/>
  <c r="B132" i="1"/>
  <c r="B150" i="1" s="1"/>
  <c r="D150" i="1" s="1"/>
  <c r="A9" i="27"/>
  <c r="B136" i="1"/>
  <c r="B154" i="1" s="1"/>
  <c r="G154" i="1" s="1"/>
  <c r="A34" i="34"/>
  <c r="AA59" i="1"/>
  <c r="AP59" i="1" s="1"/>
  <c r="AB59" i="1"/>
  <c r="AQ59" i="1" s="1"/>
  <c r="H31" i="24"/>
  <c r="H30" i="24"/>
  <c r="H29" i="24"/>
  <c r="H28" i="24"/>
  <c r="C132" i="1"/>
  <c r="C129" i="1"/>
  <c r="C152" i="1"/>
  <c r="C134" i="1"/>
  <c r="C133" i="1"/>
  <c r="H10" i="24" l="1"/>
  <c r="B116" i="30" s="1"/>
  <c r="Q6" i="24"/>
  <c r="K112" i="30" s="1"/>
  <c r="Q10" i="24"/>
  <c r="K116" i="30" s="1"/>
  <c r="P6" i="24"/>
  <c r="J112" i="30" s="1"/>
  <c r="P10" i="24"/>
  <c r="J116" i="30" s="1"/>
  <c r="G151" i="1"/>
  <c r="D129" i="1"/>
  <c r="D156" i="1"/>
  <c r="E156" i="1"/>
  <c r="G149" i="1"/>
  <c r="E137" i="1"/>
  <c r="D155" i="1"/>
  <c r="B33" i="34" s="1"/>
  <c r="E138" i="1"/>
  <c r="B145" i="1"/>
  <c r="G145" i="1" s="1"/>
  <c r="D128" i="1"/>
  <c r="D137" i="1"/>
  <c r="E155" i="1"/>
  <c r="G155" i="1"/>
  <c r="B153" i="1"/>
  <c r="F153" i="1" s="1"/>
  <c r="D138" i="1"/>
  <c r="F156" i="1"/>
  <c r="E133" i="1"/>
  <c r="D133" i="1"/>
  <c r="E151" i="1"/>
  <c r="D151" i="1"/>
  <c r="E157" i="1"/>
  <c r="E127" i="1"/>
  <c r="D132" i="1"/>
  <c r="B146" i="1"/>
  <c r="G146" i="1" s="1"/>
  <c r="D154" i="1"/>
  <c r="D139" i="1"/>
  <c r="E150" i="1"/>
  <c r="E148" i="1"/>
  <c r="E139" i="1"/>
  <c r="G157" i="1"/>
  <c r="E135" i="1"/>
  <c r="D130" i="1"/>
  <c r="F148" i="1"/>
  <c r="G148" i="1"/>
  <c r="F150" i="1"/>
  <c r="G150" i="1"/>
  <c r="E132" i="1"/>
  <c r="E130" i="1"/>
  <c r="D157" i="1"/>
  <c r="D136" i="1"/>
  <c r="E154" i="1"/>
  <c r="E134" i="1"/>
  <c r="E136" i="1"/>
  <c r="F154" i="1"/>
  <c r="B152" i="1"/>
  <c r="E152" i="1" s="1"/>
  <c r="E131" i="1"/>
  <c r="E147" i="1"/>
  <c r="D147" i="1"/>
  <c r="E129" i="1"/>
  <c r="D131" i="1"/>
  <c r="E149" i="1"/>
  <c r="D149" i="1"/>
  <c r="G147" i="1"/>
  <c r="D153" i="1"/>
  <c r="J28" i="24"/>
  <c r="J10" i="24" s="1"/>
  <c r="D116" i="30" s="1"/>
  <c r="K28" i="24"/>
  <c r="G4" i="36"/>
  <c r="F4" i="36"/>
  <c r="D4" i="36"/>
  <c r="K6" i="24" l="1"/>
  <c r="E112" i="30" s="1"/>
  <c r="K10" i="24"/>
  <c r="E116" i="30" s="1"/>
  <c r="J6" i="24"/>
  <c r="D112" i="30" s="1"/>
  <c r="J7" i="24"/>
  <c r="D113" i="30" s="1"/>
  <c r="B34" i="34"/>
  <c r="C33" i="34"/>
  <c r="F33" i="34" s="1"/>
  <c r="E145" i="1"/>
  <c r="C34" i="34"/>
  <c r="E153" i="1"/>
  <c r="D145" i="1"/>
  <c r="F145" i="1"/>
  <c r="G153" i="1"/>
  <c r="D146" i="1"/>
  <c r="F146" i="1"/>
  <c r="E146" i="1"/>
  <c r="F152" i="1"/>
  <c r="G152" i="1"/>
  <c r="D152" i="1"/>
  <c r="D5" i="44"/>
  <c r="D4" i="44"/>
  <c r="D2" i="44"/>
  <c r="F34" i="34" l="1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J14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I4" i="44"/>
  <c r="H4" i="44"/>
  <c r="J4" i="44" s="1"/>
  <c r="I3" i="44"/>
  <c r="H3" i="44"/>
  <c r="J3" i="44" s="1"/>
  <c r="I2" i="44"/>
  <c r="H2" i="44"/>
  <c r="J2" i="44" s="1"/>
  <c r="K4" i="44" l="1"/>
  <c r="L4" i="44" s="1"/>
  <c r="N4" i="44" s="1"/>
  <c r="P4" i="44" s="1"/>
  <c r="R4" i="44" s="1"/>
  <c r="K8" i="44"/>
  <c r="L8" i="44" s="1"/>
  <c r="N8" i="44" s="1"/>
  <c r="P8" i="44" s="1"/>
  <c r="R8" i="44" s="1"/>
  <c r="K7" i="44"/>
  <c r="L7" i="44" s="1"/>
  <c r="N7" i="44" s="1"/>
  <c r="O7" i="44" s="1"/>
  <c r="K6" i="44"/>
  <c r="L6" i="44" s="1"/>
  <c r="N6" i="44" s="1"/>
  <c r="O6" i="44" s="1"/>
  <c r="I9" i="44"/>
  <c r="K5" i="44"/>
  <c r="L5" i="44" s="1"/>
  <c r="N5" i="44" s="1"/>
  <c r="O5" i="44" s="1"/>
  <c r="J9" i="44"/>
  <c r="K2" i="44"/>
  <c r="G15" i="44"/>
  <c r="D14" i="44"/>
  <c r="I14" i="44"/>
  <c r="B15" i="44"/>
  <c r="V2" i="24"/>
  <c r="E3" i="27" s="1"/>
  <c r="J108" i="30" l="1"/>
  <c r="D108" i="30"/>
  <c r="K108" i="30"/>
  <c r="E108" i="30"/>
  <c r="O4" i="44"/>
  <c r="Q4" i="44" s="1"/>
  <c r="S4" i="44" s="1"/>
  <c r="P5" i="44"/>
  <c r="R5" i="44" s="1"/>
  <c r="O8" i="44"/>
  <c r="Q8" i="44" s="1"/>
  <c r="S8" i="44" s="1"/>
  <c r="P7" i="44"/>
  <c r="R7" i="44" s="1"/>
  <c r="P6" i="44"/>
  <c r="R6" i="44" s="1"/>
  <c r="L2" i="44"/>
  <c r="Q5" i="44"/>
  <c r="S5" i="44" s="1"/>
  <c r="E15" i="44"/>
  <c r="D15" i="44"/>
  <c r="B16" i="44"/>
  <c r="Q7" i="44"/>
  <c r="S7" i="44" s="1"/>
  <c r="Q6" i="44"/>
  <c r="S6" i="44" s="1"/>
  <c r="J15" i="44"/>
  <c r="G16" i="44"/>
  <c r="I15" i="44"/>
  <c r="K32" i="24"/>
  <c r="K8" i="24" s="1"/>
  <c r="Q32" i="24"/>
  <c r="Q8" i="24" s="1"/>
  <c r="P32" i="24"/>
  <c r="P8" i="24" s="1"/>
  <c r="J114" i="30" l="1"/>
  <c r="P7" i="24"/>
  <c r="J113" i="30" s="1"/>
  <c r="K114" i="30"/>
  <c r="Q7" i="24"/>
  <c r="K113" i="30" s="1"/>
  <c r="E114" i="30"/>
  <c r="K7" i="24"/>
  <c r="E113" i="30" s="1"/>
  <c r="J16" i="44"/>
  <c r="I16" i="44"/>
  <c r="G17" i="44"/>
  <c r="N2" i="44"/>
  <c r="E16" i="44"/>
  <c r="D16" i="44"/>
  <c r="B17" i="44"/>
  <c r="E17" i="44" l="1"/>
  <c r="B18" i="44"/>
  <c r="D17" i="44"/>
  <c r="J17" i="44"/>
  <c r="I17" i="44"/>
  <c r="G18" i="44"/>
  <c r="O2" i="44"/>
  <c r="P2" i="44"/>
  <c r="Q2" i="44" l="1"/>
  <c r="J18" i="44"/>
  <c r="G19" i="44"/>
  <c r="I18" i="44"/>
  <c r="E18" i="44"/>
  <c r="D18" i="44"/>
  <c r="B19" i="44"/>
  <c r="R2" i="44"/>
  <c r="E19" i="44" l="1"/>
  <c r="D19" i="44"/>
  <c r="B20" i="44"/>
  <c r="J19" i="44"/>
  <c r="I19" i="44"/>
  <c r="G20" i="44"/>
  <c r="S2" i="44"/>
  <c r="J20" i="44" l="1"/>
  <c r="I20" i="44"/>
  <c r="G21" i="44"/>
  <c r="E20" i="44"/>
  <c r="B21" i="44"/>
  <c r="D20" i="44"/>
  <c r="J21" i="44" l="1"/>
  <c r="I21" i="44"/>
  <c r="G22" i="44"/>
  <c r="E21" i="44"/>
  <c r="D21" i="44"/>
  <c r="B22" i="44"/>
  <c r="J22" i="44" l="1"/>
  <c r="I22" i="44"/>
  <c r="G23" i="44"/>
  <c r="E22" i="44"/>
  <c r="B23" i="44"/>
  <c r="D22" i="44"/>
  <c r="J23" i="44" l="1"/>
  <c r="G24" i="44"/>
  <c r="I23" i="44"/>
  <c r="E23" i="44"/>
  <c r="D23" i="44"/>
  <c r="B24" i="44"/>
  <c r="E24" i="44" l="1"/>
  <c r="D24" i="44"/>
  <c r="J24" i="44"/>
  <c r="I24" i="44"/>
  <c r="B161" i="1"/>
  <c r="G161" i="1" l="1"/>
  <c r="H161" i="1"/>
  <c r="F161" i="1"/>
  <c r="E161" i="1"/>
  <c r="G19" i="36"/>
  <c r="F19" i="36"/>
  <c r="U10" i="23"/>
  <c r="B164" i="1"/>
  <c r="B167" i="1"/>
  <c r="B165" i="1"/>
  <c r="C144" i="1"/>
  <c r="B166" i="1"/>
  <c r="B162" i="1"/>
  <c r="B163" i="1"/>
  <c r="G166" i="1" l="1"/>
  <c r="G162" i="1"/>
  <c r="G165" i="1"/>
  <c r="G163" i="1"/>
  <c r="G167" i="1"/>
  <c r="G164" i="1"/>
  <c r="F166" i="1"/>
  <c r="H166" i="1"/>
  <c r="E166" i="1"/>
  <c r="F162" i="1"/>
  <c r="H162" i="1"/>
  <c r="E162" i="1"/>
  <c r="E165" i="1"/>
  <c r="H165" i="1"/>
  <c r="F165" i="1"/>
  <c r="H163" i="1"/>
  <c r="E163" i="1"/>
  <c r="F163" i="1"/>
  <c r="H167" i="1"/>
  <c r="F167" i="1"/>
  <c r="E167" i="1"/>
  <c r="F164" i="1"/>
  <c r="E164" i="1"/>
  <c r="H164" i="1"/>
  <c r="B171" i="1"/>
  <c r="G171" i="1" s="1"/>
  <c r="F171" i="1" l="1"/>
  <c r="E171" i="1"/>
  <c r="H171" i="1"/>
  <c r="AL6" i="32"/>
  <c r="G103" i="36" l="1"/>
  <c r="D103" i="36"/>
  <c r="G72" i="36" l="1"/>
  <c r="D72" i="36"/>
  <c r="F72" i="36" l="1"/>
  <c r="F103" i="36"/>
  <c r="Q66" i="1" l="1"/>
  <c r="AF66" i="1" s="1"/>
  <c r="Q65" i="1"/>
  <c r="AF65" i="1" s="1"/>
  <c r="Q64" i="1"/>
  <c r="AF64" i="1" s="1"/>
  <c r="Q63" i="1"/>
  <c r="AF63" i="1" s="1"/>
  <c r="Q62" i="1"/>
  <c r="AF62" i="1" s="1"/>
  <c r="Q61" i="1"/>
  <c r="AF61" i="1" s="1"/>
  <c r="Q60" i="1"/>
  <c r="AF60" i="1" s="1"/>
  <c r="U16" i="23" l="1"/>
  <c r="U15" i="23"/>
  <c r="J16" i="23"/>
  <c r="U11" i="23"/>
  <c r="J11" i="23"/>
  <c r="G20" i="36" l="1"/>
  <c r="F20" i="36"/>
  <c r="D20" i="36"/>
  <c r="G26" i="36"/>
  <c r="D26" i="36"/>
  <c r="F26" i="36"/>
  <c r="CZ18" i="32"/>
  <c r="CX18" i="32"/>
  <c r="CJ18" i="32"/>
  <c r="CH18" i="32"/>
  <c r="BT18" i="32"/>
  <c r="BR18" i="32"/>
  <c r="BD18" i="32"/>
  <c r="BB18" i="32"/>
  <c r="AN18" i="32"/>
  <c r="AL18" i="32"/>
  <c r="CZ17" i="32"/>
  <c r="CX17" i="32"/>
  <c r="CJ17" i="32"/>
  <c r="CH17" i="32"/>
  <c r="BT17" i="32"/>
  <c r="BR17" i="32"/>
  <c r="BD17" i="32"/>
  <c r="BB17" i="32"/>
  <c r="AN17" i="32"/>
  <c r="AL17" i="32"/>
  <c r="V18" i="32"/>
  <c r="V17" i="32"/>
  <c r="H18" i="32"/>
  <c r="H17" i="32"/>
  <c r="F18" i="32"/>
  <c r="F17" i="32"/>
  <c r="G46" i="36"/>
  <c r="F46" i="36"/>
  <c r="D46" i="36"/>
  <c r="CN17" i="32" l="1"/>
  <c r="CP17" i="32"/>
  <c r="CO17" i="32"/>
  <c r="CP18" i="32"/>
  <c r="CO18" i="32"/>
  <c r="CN18" i="32"/>
  <c r="BJ18" i="32"/>
  <c r="BI18" i="32"/>
  <c r="BH18" i="32"/>
  <c r="BH17" i="32"/>
  <c r="BI17" i="32"/>
  <c r="BJ17" i="32"/>
  <c r="AT18" i="32"/>
  <c r="AS18" i="32"/>
  <c r="AR18" i="32"/>
  <c r="AS17" i="32"/>
  <c r="AR17" i="32"/>
  <c r="AT17" i="32"/>
  <c r="L17" i="32"/>
  <c r="N17" i="32"/>
  <c r="L18" i="32"/>
  <c r="N18" i="32"/>
  <c r="M18" i="32"/>
  <c r="M17" i="32"/>
  <c r="K142" i="3" l="1"/>
  <c r="K141" i="3"/>
  <c r="K140" i="3"/>
  <c r="E70" i="3"/>
  <c r="B165" i="3" s="1"/>
  <c r="C165" i="3" s="1"/>
  <c r="E69" i="3"/>
  <c r="B164" i="3" s="1"/>
  <c r="C164" i="3" s="1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A37" i="34"/>
  <c r="A36" i="34"/>
  <c r="A35" i="34"/>
  <c r="N34" i="24"/>
  <c r="N33" i="24"/>
  <c r="N32" i="24"/>
  <c r="N7" i="24" l="1"/>
  <c r="H113" i="30" s="1"/>
  <c r="N8" i="24"/>
  <c r="H114" i="30" s="1"/>
  <c r="D165" i="3"/>
  <c r="G165" i="3"/>
  <c r="F165" i="3"/>
  <c r="E165" i="3"/>
  <c r="F164" i="3"/>
  <c r="E164" i="3"/>
  <c r="D164" i="3"/>
  <c r="G164" i="3"/>
  <c r="F69" i="3"/>
  <c r="F70" i="3"/>
  <c r="T98" i="30"/>
  <c r="S98" i="30"/>
  <c r="R98" i="30"/>
  <c r="Q98" i="30"/>
  <c r="P98" i="30"/>
  <c r="O98" i="30"/>
  <c r="N98" i="30"/>
  <c r="T91" i="30"/>
  <c r="S91" i="30"/>
  <c r="R91" i="30"/>
  <c r="Q91" i="30"/>
  <c r="P91" i="30"/>
  <c r="O91" i="30"/>
  <c r="N91" i="30"/>
  <c r="K98" i="30"/>
  <c r="J98" i="30"/>
  <c r="I98" i="30"/>
  <c r="H98" i="30"/>
  <c r="G98" i="30"/>
  <c r="F98" i="30"/>
  <c r="K91" i="30"/>
  <c r="J91" i="30"/>
  <c r="I91" i="30"/>
  <c r="H91" i="30"/>
  <c r="G91" i="30"/>
  <c r="F91" i="30"/>
  <c r="E98" i="30"/>
  <c r="E91" i="30"/>
  <c r="AE67" i="1"/>
  <c r="AD67" i="1"/>
  <c r="AC67" i="1"/>
  <c r="Z67" i="1"/>
  <c r="Y67" i="1"/>
  <c r="X67" i="1"/>
  <c r="W67" i="1"/>
  <c r="V67" i="1"/>
  <c r="U67" i="1"/>
  <c r="T67" i="1"/>
  <c r="S67" i="1"/>
  <c r="R67" i="1"/>
  <c r="P67" i="1"/>
  <c r="O67" i="1"/>
  <c r="AE59" i="1"/>
  <c r="AT59" i="1" s="1"/>
  <c r="AD59" i="1"/>
  <c r="AS59" i="1" s="1"/>
  <c r="N27" i="24" l="1"/>
  <c r="N26" i="24"/>
  <c r="N24" i="24"/>
  <c r="N22" i="24"/>
  <c r="N20" i="24"/>
  <c r="N2" i="24" s="1"/>
  <c r="H108" i="30" s="1"/>
  <c r="H34" i="24"/>
  <c r="H33" i="24"/>
  <c r="H32" i="24"/>
  <c r="H27" i="24"/>
  <c r="H26" i="24"/>
  <c r="H24" i="24"/>
  <c r="H23" i="24"/>
  <c r="H6" i="24" s="1"/>
  <c r="B112" i="30" s="1"/>
  <c r="H22" i="24"/>
  <c r="H3" i="24" s="1"/>
  <c r="B109" i="30" s="1"/>
  <c r="H20" i="24"/>
  <c r="H2" i="24" s="1"/>
  <c r="B108" i="30" s="1"/>
  <c r="N4" i="24" l="1"/>
  <c r="H110" i="30" s="1"/>
  <c r="N6" i="24"/>
  <c r="H112" i="30" s="1"/>
  <c r="N5" i="24"/>
  <c r="H111" i="30" s="1"/>
  <c r="N9" i="24"/>
  <c r="H115" i="30" s="1"/>
  <c r="H5" i="24"/>
  <c r="B111" i="30" s="1"/>
  <c r="H9" i="24"/>
  <c r="B115" i="30" s="1"/>
  <c r="H4" i="24"/>
  <c r="B110" i="30" s="1"/>
  <c r="H7" i="24"/>
  <c r="B113" i="30" s="1"/>
  <c r="H8" i="24"/>
  <c r="B114" i="30" s="1"/>
  <c r="E137" i="24"/>
  <c r="N3" i="24"/>
  <c r="H109" i="30" s="1"/>
  <c r="K137" i="3"/>
  <c r="K136" i="3"/>
  <c r="E66" i="3"/>
  <c r="B161" i="3" s="1"/>
  <c r="C161" i="3" s="1"/>
  <c r="N40" i="3"/>
  <c r="K40" i="3" s="1"/>
  <c r="M40" i="3"/>
  <c r="J40" i="3" s="1"/>
  <c r="L40" i="3"/>
  <c r="I40" i="3" s="1"/>
  <c r="C17" i="3"/>
  <c r="CZ19" i="32"/>
  <c r="CX19" i="32"/>
  <c r="CJ19" i="32"/>
  <c r="CH19" i="32"/>
  <c r="BT19" i="32"/>
  <c r="BR19" i="32"/>
  <c r="BD19" i="32"/>
  <c r="BB19" i="32"/>
  <c r="AN19" i="32"/>
  <c r="AL19" i="32"/>
  <c r="V19" i="32"/>
  <c r="CP19" i="32" l="1"/>
  <c r="CO19" i="32"/>
  <c r="CN19" i="32"/>
  <c r="BJ19" i="32"/>
  <c r="BI19" i="32"/>
  <c r="BH19" i="32"/>
  <c r="AR19" i="32"/>
  <c r="AT19" i="32"/>
  <c r="AS19" i="32"/>
  <c r="G161" i="3"/>
  <c r="F161" i="3"/>
  <c r="E161" i="3"/>
  <c r="D161" i="3"/>
  <c r="F66" i="3"/>
  <c r="K150" i="1"/>
  <c r="K149" i="1"/>
  <c r="K156" i="1" l="1"/>
  <c r="K155" i="1"/>
  <c r="K157" i="1"/>
  <c r="T175" i="30" l="1"/>
  <c r="H19" i="32"/>
  <c r="F19" i="32"/>
  <c r="L19" i="32" l="1"/>
  <c r="N19" i="32"/>
  <c r="M19" i="32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AC59" i="1"/>
  <c r="AR59" i="1" s="1"/>
  <c r="N67" i="1"/>
  <c r="B11" i="35" l="1"/>
  <c r="B12" i="35"/>
  <c r="B13" i="35"/>
  <c r="B14" i="35"/>
  <c r="B15" i="35"/>
  <c r="B16" i="35"/>
  <c r="B17" i="35"/>
  <c r="B18" i="35"/>
  <c r="B19" i="35"/>
  <c r="C35" i="34" l="1"/>
  <c r="C36" i="34"/>
  <c r="C37" i="34"/>
  <c r="B35" i="34"/>
  <c r="B36" i="34"/>
  <c r="B37" i="34"/>
  <c r="F113" i="36" l="1"/>
  <c r="F112" i="36"/>
  <c r="F111" i="36"/>
  <c r="F110" i="36"/>
  <c r="F109" i="36"/>
  <c r="F108" i="36"/>
  <c r="F107" i="36"/>
  <c r="F101" i="36"/>
  <c r="F99" i="36"/>
  <c r="F98" i="36"/>
  <c r="F97" i="36"/>
  <c r="F96" i="36"/>
  <c r="F95" i="36"/>
  <c r="F94" i="36"/>
  <c r="F91" i="36"/>
  <c r="F90" i="36"/>
  <c r="F89" i="36"/>
  <c r="F83" i="36"/>
  <c r="F82" i="36"/>
  <c r="F81" i="36"/>
  <c r="F79" i="36"/>
  <c r="F78" i="36"/>
  <c r="F77" i="36"/>
  <c r="F75" i="36"/>
  <c r="F74" i="36"/>
  <c r="F70" i="36"/>
  <c r="F69" i="36"/>
  <c r="F68" i="36"/>
  <c r="F66" i="36"/>
  <c r="F64" i="36"/>
  <c r="F63" i="36"/>
  <c r="F62" i="36"/>
  <c r="F61" i="36"/>
  <c r="F60" i="36"/>
  <c r="F59" i="36"/>
  <c r="F58" i="36"/>
  <c r="F57" i="36"/>
  <c r="F56" i="36"/>
  <c r="F55" i="36"/>
  <c r="F71" i="36"/>
  <c r="F53" i="36"/>
  <c r="F51" i="36"/>
  <c r="F50" i="36"/>
  <c r="F49" i="36"/>
  <c r="F48" i="36"/>
  <c r="F45" i="36"/>
  <c r="F39" i="36"/>
  <c r="F54" i="36"/>
  <c r="F43" i="36"/>
  <c r="F41" i="36"/>
  <c r="F40" i="36"/>
  <c r="F38" i="36"/>
  <c r="F37" i="36"/>
  <c r="F36" i="36"/>
  <c r="F35" i="36"/>
  <c r="F34" i="36"/>
  <c r="F33" i="36"/>
  <c r="F106" i="36"/>
  <c r="F105" i="36"/>
  <c r="F104" i="36"/>
  <c r="F102" i="36"/>
  <c r="F100" i="36"/>
  <c r="F93" i="36"/>
  <c r="F92" i="36"/>
  <c r="F88" i="36"/>
  <c r="F87" i="36"/>
  <c r="F86" i="36"/>
  <c r="F85" i="36"/>
  <c r="F114" i="36"/>
  <c r="F80" i="36"/>
  <c r="F76" i="36"/>
  <c r="F73" i="36"/>
  <c r="F67" i="36"/>
  <c r="F65" i="36"/>
  <c r="F84" i="36"/>
  <c r="F52" i="36"/>
  <c r="F47" i="36"/>
  <c r="F42" i="36"/>
  <c r="F32" i="36"/>
  <c r="F31" i="36"/>
  <c r="F30" i="36"/>
  <c r="F29" i="36"/>
  <c r="F28" i="36"/>
  <c r="F27" i="36"/>
  <c r="F25" i="36"/>
  <c r="F24" i="36"/>
  <c r="F23" i="36"/>
  <c r="F22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3" i="36"/>
  <c r="G113" i="36"/>
  <c r="G112" i="36"/>
  <c r="G111" i="36"/>
  <c r="G110" i="36"/>
  <c r="G109" i="36"/>
  <c r="G108" i="36"/>
  <c r="G107" i="36"/>
  <c r="G101" i="36"/>
  <c r="G99" i="36"/>
  <c r="G98" i="36"/>
  <c r="G97" i="36"/>
  <c r="G96" i="36"/>
  <c r="G95" i="36"/>
  <c r="G94" i="36"/>
  <c r="G91" i="36"/>
  <c r="G90" i="36"/>
  <c r="G89" i="36"/>
  <c r="G83" i="36"/>
  <c r="G82" i="36"/>
  <c r="G81" i="36"/>
  <c r="G79" i="36"/>
  <c r="G78" i="36"/>
  <c r="G77" i="36"/>
  <c r="G75" i="36"/>
  <c r="G74" i="36"/>
  <c r="G70" i="36"/>
  <c r="G69" i="36"/>
  <c r="G68" i="36"/>
  <c r="G66" i="36"/>
  <c r="G64" i="36"/>
  <c r="G63" i="36"/>
  <c r="G62" i="36"/>
  <c r="G61" i="36"/>
  <c r="G60" i="36"/>
  <c r="G59" i="36"/>
  <c r="G58" i="36"/>
  <c r="G57" i="36"/>
  <c r="G56" i="36"/>
  <c r="G55" i="36"/>
  <c r="G71" i="36"/>
  <c r="G53" i="36"/>
  <c r="G51" i="36"/>
  <c r="G50" i="36"/>
  <c r="G49" i="36"/>
  <c r="G48" i="36"/>
  <c r="G45" i="36"/>
  <c r="G39" i="36"/>
  <c r="G54" i="36"/>
  <c r="G43" i="36"/>
  <c r="G41" i="36"/>
  <c r="G40" i="36"/>
  <c r="G38" i="36"/>
  <c r="G37" i="36"/>
  <c r="G36" i="36"/>
  <c r="G35" i="36"/>
  <c r="G34" i="36"/>
  <c r="G33" i="36"/>
  <c r="G106" i="36"/>
  <c r="G105" i="36"/>
  <c r="G104" i="36"/>
  <c r="G102" i="36"/>
  <c r="G100" i="36"/>
  <c r="G93" i="36"/>
  <c r="G92" i="36"/>
  <c r="G88" i="36"/>
  <c r="G87" i="36"/>
  <c r="G86" i="36"/>
  <c r="G85" i="36"/>
  <c r="G114" i="36"/>
  <c r="G80" i="36"/>
  <c r="G76" i="36"/>
  <c r="G73" i="36"/>
  <c r="G67" i="36"/>
  <c r="G65" i="36"/>
  <c r="G84" i="36"/>
  <c r="G52" i="36"/>
  <c r="G47" i="36"/>
  <c r="G42" i="36"/>
  <c r="G32" i="36"/>
  <c r="G31" i="36"/>
  <c r="G30" i="36"/>
  <c r="G29" i="36"/>
  <c r="G28" i="36"/>
  <c r="G27" i="36"/>
  <c r="G25" i="36"/>
  <c r="G24" i="36"/>
  <c r="G23" i="36"/>
  <c r="G22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3" i="36"/>
  <c r="H15" i="10" l="1"/>
  <c r="J14" i="10"/>
  <c r="I14" i="10"/>
  <c r="J13" i="10"/>
  <c r="I13" i="10"/>
  <c r="H14" i="10"/>
  <c r="G31" i="24" l="1"/>
  <c r="G28" i="24"/>
  <c r="G10" i="24" s="1"/>
  <c r="G27" i="24"/>
  <c r="G26" i="24"/>
  <c r="G24" i="24"/>
  <c r="G23" i="24"/>
  <c r="G22" i="24"/>
  <c r="G20" i="24"/>
  <c r="G2" i="24" s="1"/>
  <c r="I108" i="30" s="1"/>
  <c r="C126" i="30" s="1"/>
  <c r="O126" i="30" s="1"/>
  <c r="G4" i="24" l="1"/>
  <c r="G6" i="24"/>
  <c r="G7" i="24"/>
  <c r="G5" i="24"/>
  <c r="G9" i="24"/>
  <c r="C117" i="30"/>
  <c r="B135" i="30" s="1"/>
  <c r="F135" i="30" s="1"/>
  <c r="G3" i="24"/>
  <c r="C108" i="30"/>
  <c r="B126" i="30" s="1"/>
  <c r="F126" i="30" s="1"/>
  <c r="U37" i="23"/>
  <c r="O37" i="23"/>
  <c r="P37" i="23" s="1"/>
  <c r="I37" i="23"/>
  <c r="U36" i="23"/>
  <c r="P36" i="23"/>
  <c r="G36" i="23"/>
  <c r="F36" i="23"/>
  <c r="I36" i="23"/>
  <c r="U35" i="23"/>
  <c r="P35" i="23"/>
  <c r="I35" i="23"/>
  <c r="G35" i="23"/>
  <c r="F35" i="23"/>
  <c r="U34" i="23"/>
  <c r="P34" i="23"/>
  <c r="I34" i="23"/>
  <c r="G34" i="23"/>
  <c r="F34" i="23"/>
  <c r="U33" i="23"/>
  <c r="U32" i="23"/>
  <c r="P32" i="23"/>
  <c r="G32" i="23"/>
  <c r="F32" i="23"/>
  <c r="U29" i="23"/>
  <c r="K29" i="23"/>
  <c r="J29" i="23"/>
  <c r="U28" i="23"/>
  <c r="K28" i="23"/>
  <c r="J28" i="23"/>
  <c r="U27" i="23"/>
  <c r="P27" i="23"/>
  <c r="I27" i="23"/>
  <c r="G27" i="23"/>
  <c r="F27" i="23"/>
  <c r="U20" i="23"/>
  <c r="P20" i="23"/>
  <c r="I20" i="23"/>
  <c r="G20" i="23"/>
  <c r="U19" i="23"/>
  <c r="P19" i="23"/>
  <c r="I19" i="23"/>
  <c r="G19" i="23"/>
  <c r="F19" i="23"/>
  <c r="U18" i="23"/>
  <c r="U17" i="23"/>
  <c r="P15" i="23"/>
  <c r="G15" i="23"/>
  <c r="F15" i="23"/>
  <c r="I15" i="23"/>
  <c r="U14" i="23"/>
  <c r="P14" i="23"/>
  <c r="I14" i="23"/>
  <c r="G14" i="23"/>
  <c r="F14" i="23"/>
  <c r="U13" i="23"/>
  <c r="I13" i="23"/>
  <c r="G13" i="23"/>
  <c r="U12" i="23"/>
  <c r="P12" i="23"/>
  <c r="I12" i="23"/>
  <c r="G12" i="23"/>
  <c r="F12" i="23"/>
  <c r="U9" i="23"/>
  <c r="K9" i="23"/>
  <c r="J9" i="23"/>
  <c r="U8" i="23"/>
  <c r="P8" i="23"/>
  <c r="I8" i="23"/>
  <c r="G8" i="23"/>
  <c r="F8" i="23"/>
  <c r="U7" i="23"/>
  <c r="P7" i="23"/>
  <c r="I7" i="23"/>
  <c r="G7" i="23"/>
  <c r="F7" i="23"/>
  <c r="C7" i="23"/>
  <c r="U6" i="23"/>
  <c r="K6" i="23"/>
  <c r="J6" i="23"/>
  <c r="U5" i="23"/>
  <c r="K5" i="23"/>
  <c r="J5" i="23"/>
  <c r="U4" i="23"/>
  <c r="K4" i="23"/>
  <c r="J4" i="23"/>
  <c r="U3" i="23"/>
  <c r="C111" i="30" l="1"/>
  <c r="B129" i="30" s="1"/>
  <c r="F129" i="30" s="1"/>
  <c r="I111" i="30"/>
  <c r="C129" i="30" s="1"/>
  <c r="O129" i="30" s="1"/>
  <c r="C112" i="30"/>
  <c r="B130" i="30" s="1"/>
  <c r="F130" i="30" s="1"/>
  <c r="I112" i="30"/>
  <c r="C130" i="30" s="1"/>
  <c r="O130" i="30" s="1"/>
  <c r="C114" i="30"/>
  <c r="B132" i="30" s="1"/>
  <c r="F132" i="30" s="1"/>
  <c r="I114" i="30"/>
  <c r="C132" i="30" s="1"/>
  <c r="O132" i="30" s="1"/>
  <c r="C115" i="30"/>
  <c r="B133" i="30" s="1"/>
  <c r="F133" i="30" s="1"/>
  <c r="I115" i="30"/>
  <c r="C133" i="30" s="1"/>
  <c r="O133" i="30" s="1"/>
  <c r="C110" i="30"/>
  <c r="B128" i="30" s="1"/>
  <c r="F128" i="30" s="1"/>
  <c r="I110" i="30"/>
  <c r="C128" i="30" s="1"/>
  <c r="O128" i="30" s="1"/>
  <c r="C116" i="30"/>
  <c r="B134" i="30" s="1"/>
  <c r="F134" i="30" s="1"/>
  <c r="I116" i="30"/>
  <c r="C134" i="30" s="1"/>
  <c r="O134" i="30" s="1"/>
  <c r="C109" i="30"/>
  <c r="B127" i="30" s="1"/>
  <c r="F127" i="30" s="1"/>
  <c r="I109" i="30"/>
  <c r="C127" i="30" s="1"/>
  <c r="O127" i="30" s="1"/>
  <c r="C113" i="30"/>
  <c r="B131" i="30" s="1"/>
  <c r="F131" i="30" s="1"/>
  <c r="I113" i="30"/>
  <c r="C131" i="30" s="1"/>
  <c r="O131" i="30" s="1"/>
  <c r="I9" i="23"/>
  <c r="M32" i="23"/>
  <c r="M35" i="23"/>
  <c r="I6" i="23"/>
  <c r="M19" i="23"/>
  <c r="M20" i="23"/>
  <c r="I32" i="23"/>
  <c r="M13" i="23"/>
  <c r="I28" i="23"/>
  <c r="I3" i="23"/>
  <c r="I4" i="23"/>
  <c r="I29" i="23"/>
  <c r="I5" i="23"/>
  <c r="M8" i="23"/>
  <c r="M14" i="23"/>
  <c r="I18" i="23"/>
  <c r="I17" i="23" l="1"/>
  <c r="N33" i="3" l="1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S7" i="27" l="1"/>
  <c r="A3" i="37" l="1"/>
  <c r="E17" i="20"/>
  <c r="K3" i="27"/>
  <c r="B3" i="27"/>
  <c r="D3" i="27" s="1"/>
  <c r="L17" i="27" l="1"/>
  <c r="B33" i="27" s="1"/>
  <c r="C3" i="27"/>
  <c r="G3" i="27" s="1"/>
  <c r="H3" i="27" s="1"/>
  <c r="A24" i="34"/>
  <c r="J3" i="27" l="1"/>
  <c r="I3" i="27"/>
  <c r="N17" i="27"/>
  <c r="B36" i="27" s="1"/>
  <c r="D14" i="20" s="1"/>
  <c r="M17" i="27"/>
  <c r="B35" i="27" s="1"/>
  <c r="C14" i="20" s="1"/>
  <c r="E21" i="18"/>
  <c r="E20" i="18"/>
  <c r="F20" i="18"/>
  <c r="F21" i="18"/>
  <c r="F22" i="18"/>
  <c r="F23" i="18"/>
  <c r="A11" i="18"/>
  <c r="A12" i="18"/>
  <c r="A13" i="18"/>
  <c r="A14" i="18"/>
  <c r="C12" i="34" l="1"/>
  <c r="C74" i="1"/>
  <c r="C75" i="1"/>
  <c r="C76" i="1"/>
  <c r="C77" i="1"/>
  <c r="C78" i="1"/>
  <c r="C79" i="1"/>
  <c r="D67" i="1"/>
  <c r="E67" i="1"/>
  <c r="F67" i="1"/>
  <c r="G67" i="1"/>
  <c r="H67" i="1"/>
  <c r="I67" i="1"/>
  <c r="J67" i="1"/>
  <c r="K67" i="1"/>
  <c r="C67" i="1"/>
  <c r="F41" i="23" l="1"/>
  <c r="H41" i="23" s="1"/>
  <c r="F42" i="23"/>
  <c r="H42" i="23" s="1"/>
  <c r="F43" i="23"/>
  <c r="H43" i="23" s="1"/>
  <c r="D41" i="23"/>
  <c r="D42" i="23"/>
  <c r="D43" i="23"/>
  <c r="J11" i="17"/>
  <c r="M41" i="23" l="1"/>
  <c r="I41" i="23"/>
  <c r="M43" i="23"/>
  <c r="I43" i="23"/>
  <c r="I42" i="23"/>
  <c r="M42" i="23"/>
  <c r="J10" i="17"/>
  <c r="J13" i="17"/>
  <c r="J9" i="17"/>
  <c r="J12" i="17"/>
  <c r="J14" i="17"/>
  <c r="J15" i="17"/>
  <c r="D107" i="1" l="1"/>
  <c r="D110" i="1"/>
  <c r="D113" i="36" l="1"/>
  <c r="D112" i="36"/>
  <c r="D111" i="36"/>
  <c r="D110" i="36"/>
  <c r="D109" i="36"/>
  <c r="D108" i="36"/>
  <c r="D107" i="36"/>
  <c r="D101" i="36"/>
  <c r="D99" i="36"/>
  <c r="D98" i="36"/>
  <c r="D97" i="36"/>
  <c r="D96" i="36"/>
  <c r="D95" i="36"/>
  <c r="D94" i="36"/>
  <c r="D91" i="36"/>
  <c r="D90" i="36"/>
  <c r="D89" i="36"/>
  <c r="D83" i="36"/>
  <c r="D82" i="36"/>
  <c r="D81" i="36"/>
  <c r="D79" i="36"/>
  <c r="D78" i="36"/>
  <c r="D77" i="36"/>
  <c r="D75" i="36"/>
  <c r="D74" i="36"/>
  <c r="D70" i="36"/>
  <c r="D69" i="36"/>
  <c r="D68" i="36"/>
  <c r="D66" i="36"/>
  <c r="D64" i="36"/>
  <c r="D63" i="36"/>
  <c r="D62" i="36"/>
  <c r="D61" i="36"/>
  <c r="D60" i="36"/>
  <c r="D59" i="36"/>
  <c r="D58" i="36"/>
  <c r="D57" i="36"/>
  <c r="D56" i="36"/>
  <c r="D55" i="36"/>
  <c r="D71" i="36"/>
  <c r="D53" i="36"/>
  <c r="D51" i="36"/>
  <c r="D50" i="36"/>
  <c r="D49" i="36"/>
  <c r="D48" i="36"/>
  <c r="D45" i="36"/>
  <c r="D39" i="36"/>
  <c r="D43" i="36"/>
  <c r="D41" i="36"/>
  <c r="D40" i="36"/>
  <c r="D38" i="36"/>
  <c r="D37" i="36"/>
  <c r="D36" i="36"/>
  <c r="D35" i="36"/>
  <c r="D34" i="36"/>
  <c r="D33" i="36"/>
  <c r="C126" i="1"/>
  <c r="C30" i="34" l="1"/>
  <c r="C29" i="34"/>
  <c r="B30" i="34"/>
  <c r="B29" i="34"/>
  <c r="E61" i="41" l="1"/>
  <c r="C58" i="41"/>
  <c r="C69" i="41" s="1"/>
  <c r="C79" i="41" s="1"/>
  <c r="D50" i="41"/>
  <c r="D61" i="41" s="1"/>
  <c r="C50" i="41"/>
  <c r="D53" i="1" l="1"/>
  <c r="E53" i="1"/>
  <c r="B6" i="18" l="1"/>
  <c r="B5" i="18"/>
  <c r="CZ14" i="32" l="1"/>
  <c r="CX14" i="32"/>
  <c r="CZ13" i="32"/>
  <c r="CX13" i="32"/>
  <c r="CZ12" i="32"/>
  <c r="CX12" i="32"/>
  <c r="CZ11" i="32"/>
  <c r="CX11" i="32"/>
  <c r="CZ10" i="32"/>
  <c r="CX10" i="32"/>
  <c r="CZ9" i="32"/>
  <c r="CX9" i="32"/>
  <c r="CZ8" i="32"/>
  <c r="CX8" i="32"/>
  <c r="CZ7" i="32"/>
  <c r="CX7" i="32"/>
  <c r="CZ6" i="32"/>
  <c r="CX6" i="32"/>
  <c r="CJ14" i="32"/>
  <c r="CH14" i="32"/>
  <c r="CJ13" i="32"/>
  <c r="CH13" i="32"/>
  <c r="CJ12" i="32"/>
  <c r="CH12" i="32"/>
  <c r="CJ11" i="32"/>
  <c r="CH11" i="32"/>
  <c r="CJ10" i="32"/>
  <c r="CH10" i="32"/>
  <c r="CJ9" i="32"/>
  <c r="CH9" i="32"/>
  <c r="CJ8" i="32"/>
  <c r="CH8" i="32"/>
  <c r="CJ7" i="32"/>
  <c r="CH7" i="32"/>
  <c r="CJ6" i="32"/>
  <c r="CH6" i="32"/>
  <c r="BT14" i="32"/>
  <c r="BR14" i="32"/>
  <c r="BT13" i="32"/>
  <c r="BR13" i="32"/>
  <c r="BT12" i="32"/>
  <c r="BR12" i="32"/>
  <c r="BT11" i="32"/>
  <c r="BR11" i="32"/>
  <c r="BT10" i="32"/>
  <c r="BR10" i="32"/>
  <c r="BT9" i="32"/>
  <c r="BR9" i="32"/>
  <c r="BT8" i="32"/>
  <c r="BR8" i="32"/>
  <c r="BT7" i="32"/>
  <c r="BR7" i="32"/>
  <c r="BT6" i="32"/>
  <c r="BR6" i="32"/>
  <c r="BD14" i="32"/>
  <c r="BB14" i="32"/>
  <c r="BD13" i="32"/>
  <c r="BB13" i="32"/>
  <c r="BD12" i="32"/>
  <c r="BB12" i="32"/>
  <c r="BD11" i="32"/>
  <c r="BB11" i="32"/>
  <c r="BD10" i="32"/>
  <c r="BB10" i="32"/>
  <c r="BD9" i="32"/>
  <c r="BB9" i="32"/>
  <c r="BD8" i="32"/>
  <c r="BB8" i="32"/>
  <c r="BD7" i="32"/>
  <c r="BB7" i="32"/>
  <c r="BD6" i="32"/>
  <c r="V14" i="32"/>
  <c r="V13" i="32"/>
  <c r="V12" i="32"/>
  <c r="V11" i="32"/>
  <c r="V10" i="32"/>
  <c r="V9" i="32"/>
  <c r="V8" i="32"/>
  <c r="V7" i="32"/>
  <c r="BB6" i="32"/>
  <c r="H14" i="32"/>
  <c r="F14" i="32"/>
  <c r="H13" i="32"/>
  <c r="F13" i="32"/>
  <c r="H12" i="32"/>
  <c r="F12" i="32"/>
  <c r="H11" i="32"/>
  <c r="F11" i="32"/>
  <c r="H10" i="32"/>
  <c r="F10" i="32"/>
  <c r="H9" i="32"/>
  <c r="F9" i="32"/>
  <c r="H8" i="32"/>
  <c r="F8" i="32"/>
  <c r="H7" i="32"/>
  <c r="F7" i="32"/>
  <c r="H6" i="32"/>
  <c r="F6" i="32"/>
  <c r="AN14" i="32"/>
  <c r="AL14" i="32"/>
  <c r="AN13" i="32"/>
  <c r="AL13" i="32"/>
  <c r="AN12" i="32"/>
  <c r="AL12" i="32"/>
  <c r="AN11" i="32"/>
  <c r="AL11" i="32"/>
  <c r="AN10" i="32"/>
  <c r="AL10" i="32"/>
  <c r="AN9" i="32"/>
  <c r="AL9" i="32"/>
  <c r="AN8" i="32"/>
  <c r="AL8" i="32"/>
  <c r="AN7" i="32"/>
  <c r="AL7" i="32"/>
  <c r="AN6" i="32"/>
  <c r="CP12" i="32" l="1"/>
  <c r="CO12" i="32"/>
  <c r="CN12" i="32"/>
  <c r="CO8" i="32"/>
  <c r="CN8" i="32"/>
  <c r="CP8" i="32"/>
  <c r="CN9" i="32"/>
  <c r="CP9" i="32"/>
  <c r="CO9" i="32"/>
  <c r="CP13" i="32"/>
  <c r="CO13" i="32"/>
  <c r="CN13" i="32"/>
  <c r="CO6" i="32"/>
  <c r="CP6" i="32"/>
  <c r="CN6" i="32"/>
  <c r="CP10" i="32"/>
  <c r="CN10" i="32"/>
  <c r="CO10" i="32"/>
  <c r="CO14" i="32"/>
  <c r="CN14" i="32"/>
  <c r="CP14" i="32"/>
  <c r="CO7" i="32"/>
  <c r="CP7" i="32"/>
  <c r="CN7" i="32"/>
  <c r="CP11" i="32"/>
  <c r="CO11" i="32"/>
  <c r="CN11" i="32"/>
  <c r="BJ6" i="32"/>
  <c r="BI6" i="32"/>
  <c r="BH6" i="32"/>
  <c r="BJ10" i="32"/>
  <c r="BI10" i="32"/>
  <c r="BH10" i="32"/>
  <c r="BH14" i="32"/>
  <c r="BI14" i="32"/>
  <c r="BJ14" i="32"/>
  <c r="BJ13" i="32"/>
  <c r="BI13" i="32"/>
  <c r="BH13" i="32"/>
  <c r="BJ7" i="32"/>
  <c r="BI7" i="32"/>
  <c r="BH7" i="32"/>
  <c r="BH11" i="32"/>
  <c r="BJ11" i="32"/>
  <c r="BI11" i="32"/>
  <c r="BJ9" i="32"/>
  <c r="BI9" i="32"/>
  <c r="BH9" i="32"/>
  <c r="BH8" i="32"/>
  <c r="BJ8" i="32"/>
  <c r="BI8" i="32"/>
  <c r="BJ12" i="32"/>
  <c r="BI12" i="32"/>
  <c r="BH12" i="32"/>
  <c r="AT8" i="32"/>
  <c r="AR8" i="32"/>
  <c r="AS8" i="32"/>
  <c r="AT12" i="32"/>
  <c r="AS12" i="32"/>
  <c r="AR12" i="32"/>
  <c r="AR9" i="32"/>
  <c r="AT9" i="32"/>
  <c r="AS9" i="32"/>
  <c r="AT6" i="32"/>
  <c r="AS6" i="32"/>
  <c r="AR6" i="32"/>
  <c r="AT10" i="32"/>
  <c r="AS10" i="32"/>
  <c r="AR10" i="32"/>
  <c r="AR14" i="32"/>
  <c r="AT14" i="32"/>
  <c r="AS14" i="32"/>
  <c r="AT13" i="32"/>
  <c r="AS13" i="32"/>
  <c r="AR13" i="32"/>
  <c r="AT7" i="32"/>
  <c r="AS7" i="32"/>
  <c r="AR7" i="32"/>
  <c r="AR11" i="32"/>
  <c r="AT11" i="32"/>
  <c r="AS11" i="32"/>
  <c r="N9" i="32"/>
  <c r="N6" i="32"/>
  <c r="N10" i="32"/>
  <c r="N7" i="32"/>
  <c r="N11" i="32"/>
  <c r="N14" i="32"/>
  <c r="N13" i="32"/>
  <c r="N8" i="32"/>
  <c r="N12" i="32"/>
  <c r="M6" i="32"/>
  <c r="L6" i="32"/>
  <c r="M8" i="32"/>
  <c r="L8" i="32"/>
  <c r="M10" i="32"/>
  <c r="L10" i="32"/>
  <c r="M12" i="32"/>
  <c r="L12" i="32"/>
  <c r="M14" i="32"/>
  <c r="L14" i="32"/>
  <c r="M7" i="32"/>
  <c r="L7" i="32"/>
  <c r="M9" i="32"/>
  <c r="L9" i="32"/>
  <c r="M11" i="32"/>
  <c r="L11" i="32"/>
  <c r="M13" i="32"/>
  <c r="L13" i="32"/>
  <c r="V6" i="32"/>
  <c r="CN21" i="32" l="1"/>
  <c r="CO21" i="32"/>
  <c r="CP21" i="32"/>
  <c r="BH21" i="32"/>
  <c r="BI21" i="32"/>
  <c r="BJ21" i="32"/>
  <c r="AR21" i="32"/>
  <c r="AS21" i="32"/>
  <c r="AT21" i="32"/>
  <c r="N21" i="32"/>
  <c r="L21" i="32"/>
  <c r="M21" i="32"/>
  <c r="Q15" i="17"/>
  <c r="Q14" i="17"/>
  <c r="Q13" i="17"/>
  <c r="Q12" i="17"/>
  <c r="Q11" i="17"/>
  <c r="Q9" i="17"/>
  <c r="Q10" i="17"/>
  <c r="E72" i="41" l="1"/>
  <c r="E18" i="10"/>
  <c r="E17" i="10"/>
  <c r="C216" i="1" l="1"/>
  <c r="C217" i="1"/>
  <c r="B216" i="1" l="1"/>
  <c r="C1" i="19"/>
  <c r="D1" i="19"/>
  <c r="A28" i="34" l="1"/>
  <c r="A29" i="34"/>
  <c r="B217" i="1"/>
  <c r="A25" i="34"/>
  <c r="A32" i="34"/>
  <c r="A31" i="34"/>
  <c r="A27" i="34"/>
  <c r="A30" i="34"/>
  <c r="A26" i="34"/>
  <c r="B17" i="3"/>
  <c r="D17" i="3" s="1"/>
  <c r="H17" i="27"/>
  <c r="B29" i="27" s="1"/>
  <c r="K59" i="1"/>
  <c r="Z59" i="1" s="1"/>
  <c r="AO59" i="1" s="1"/>
  <c r="B63" i="30"/>
  <c r="J59" i="1"/>
  <c r="Y59" i="1" s="1"/>
  <c r="AN59" i="1" s="1"/>
  <c r="B56" i="30"/>
  <c r="B42" i="30"/>
  <c r="I59" i="1"/>
  <c r="X59" i="1" s="1"/>
  <c r="AM59" i="1" s="1"/>
  <c r="A3" i="27"/>
  <c r="E17" i="3" l="1"/>
  <c r="G17" i="27"/>
  <c r="B10" i="20"/>
  <c r="G6" i="30"/>
  <c r="B15" i="20" l="1"/>
  <c r="I17" i="27"/>
  <c r="B28" i="27" s="1"/>
  <c r="J17" i="27"/>
  <c r="P6" i="30"/>
  <c r="Y6" i="30" s="1"/>
  <c r="Y15" i="30" l="1"/>
  <c r="Y22" i="30" s="1"/>
  <c r="Y29" i="30" s="1"/>
  <c r="Y36" i="30" s="1"/>
  <c r="Y43" i="30" s="1"/>
  <c r="Y50" i="30" s="1"/>
  <c r="Y57" i="30" s="1"/>
  <c r="Y64" i="30" s="1"/>
  <c r="Y16" i="30"/>
  <c r="Y23" i="30" s="1"/>
  <c r="Y30" i="30" s="1"/>
  <c r="Y37" i="30" s="1"/>
  <c r="Y44" i="30" s="1"/>
  <c r="Y51" i="30" s="1"/>
  <c r="Y58" i="30" s="1"/>
  <c r="Y65" i="30" s="1"/>
  <c r="Y17" i="30"/>
  <c r="Y24" i="30" s="1"/>
  <c r="Y31" i="30" s="1"/>
  <c r="Y38" i="30" s="1"/>
  <c r="Y45" i="30" s="1"/>
  <c r="Y52" i="30" s="1"/>
  <c r="Y59" i="30" s="1"/>
  <c r="Y66" i="30" s="1"/>
  <c r="P17" i="30"/>
  <c r="P24" i="30" s="1"/>
  <c r="P31" i="30" s="1"/>
  <c r="P38" i="30" s="1"/>
  <c r="P45" i="30" s="1"/>
  <c r="P52" i="30" s="1"/>
  <c r="P59" i="30" s="1"/>
  <c r="P66" i="30" s="1"/>
  <c r="P18" i="30"/>
  <c r="P25" i="30" s="1"/>
  <c r="P32" i="30" s="1"/>
  <c r="P39" i="30" s="1"/>
  <c r="P46" i="30" s="1"/>
  <c r="P53" i="30" s="1"/>
  <c r="P60" i="30" s="1"/>
  <c r="P67" i="30" s="1"/>
  <c r="P15" i="30"/>
  <c r="P22" i="30" s="1"/>
  <c r="P29" i="30" s="1"/>
  <c r="P36" i="30" s="1"/>
  <c r="P43" i="30" s="1"/>
  <c r="P50" i="30" s="1"/>
  <c r="P57" i="30" s="1"/>
  <c r="P64" i="30" s="1"/>
  <c r="P16" i="30"/>
  <c r="P23" i="30" s="1"/>
  <c r="P30" i="30" s="1"/>
  <c r="P37" i="30" s="1"/>
  <c r="P44" i="30" s="1"/>
  <c r="P51" i="30" s="1"/>
  <c r="P58" i="30" s="1"/>
  <c r="P65" i="30" s="1"/>
  <c r="B30" i="27"/>
  <c r="D15" i="20" s="1"/>
  <c r="D17" i="20" s="1"/>
  <c r="D13" i="41" s="1"/>
  <c r="B38" i="27"/>
  <c r="K6" i="30"/>
  <c r="J6" i="30"/>
  <c r="I6" i="30"/>
  <c r="H6" i="30"/>
  <c r="Y73" i="30" l="1"/>
  <c r="Y80" i="30" s="1"/>
  <c r="Y87" i="30"/>
  <c r="Y94" i="30" s="1"/>
  <c r="Y101" i="30" s="1"/>
  <c r="Y86" i="30"/>
  <c r="Y93" i="30" s="1"/>
  <c r="Y100" i="30" s="1"/>
  <c r="Y72" i="30"/>
  <c r="Y79" i="30" s="1"/>
  <c r="Y71" i="30"/>
  <c r="Y78" i="30" s="1"/>
  <c r="Y85" i="30"/>
  <c r="Y92" i="30" s="1"/>
  <c r="Y99" i="30" s="1"/>
  <c r="Y18" i="30"/>
  <c r="H92" i="30"/>
  <c r="H78" i="30"/>
  <c r="H64" i="30"/>
  <c r="H50" i="30"/>
  <c r="H36" i="30"/>
  <c r="H22" i="30"/>
  <c r="H8" i="30"/>
  <c r="H93" i="30"/>
  <c r="H79" i="30"/>
  <c r="H65" i="30"/>
  <c r="H51" i="30"/>
  <c r="H37" i="30"/>
  <c r="H23" i="30"/>
  <c r="H9" i="30"/>
  <c r="H94" i="30"/>
  <c r="H80" i="30"/>
  <c r="H66" i="30"/>
  <c r="H52" i="30"/>
  <c r="H38" i="30"/>
  <c r="H24" i="30"/>
  <c r="H10" i="30"/>
  <c r="H95" i="30"/>
  <c r="H81" i="30"/>
  <c r="H67" i="30"/>
  <c r="H53" i="30"/>
  <c r="H39" i="30"/>
  <c r="H25" i="30"/>
  <c r="H11" i="30"/>
  <c r="H100" i="30"/>
  <c r="H86" i="30"/>
  <c r="H72" i="30"/>
  <c r="H58" i="30"/>
  <c r="H44" i="30"/>
  <c r="H30" i="30"/>
  <c r="H16" i="30"/>
  <c r="H101" i="30"/>
  <c r="H87" i="30"/>
  <c r="H73" i="30"/>
  <c r="H59" i="30"/>
  <c r="H45" i="30"/>
  <c r="H31" i="30"/>
  <c r="H17" i="30"/>
  <c r="H102" i="30"/>
  <c r="H88" i="30"/>
  <c r="H74" i="30"/>
  <c r="H60" i="30"/>
  <c r="H46" i="30"/>
  <c r="H32" i="30"/>
  <c r="H18" i="30"/>
  <c r="H29" i="30"/>
  <c r="H43" i="30"/>
  <c r="H57" i="30"/>
  <c r="H71" i="30"/>
  <c r="H85" i="30"/>
  <c r="H99" i="30"/>
  <c r="H15" i="30"/>
  <c r="I93" i="30"/>
  <c r="I79" i="30"/>
  <c r="I65" i="30"/>
  <c r="I51" i="30"/>
  <c r="I37" i="30"/>
  <c r="I23" i="30"/>
  <c r="I9" i="30"/>
  <c r="I94" i="30"/>
  <c r="I80" i="30"/>
  <c r="I66" i="30"/>
  <c r="I52" i="30"/>
  <c r="I38" i="30"/>
  <c r="I24" i="30"/>
  <c r="I10" i="30"/>
  <c r="I95" i="30"/>
  <c r="I81" i="30"/>
  <c r="I67" i="30"/>
  <c r="I53" i="30"/>
  <c r="I39" i="30"/>
  <c r="I25" i="30"/>
  <c r="I11" i="30"/>
  <c r="I99" i="30"/>
  <c r="I85" i="30"/>
  <c r="I71" i="30"/>
  <c r="I57" i="30"/>
  <c r="I43" i="30"/>
  <c r="I29" i="30"/>
  <c r="I15" i="30"/>
  <c r="I101" i="30"/>
  <c r="I87" i="30"/>
  <c r="I73" i="30"/>
  <c r="I59" i="30"/>
  <c r="I45" i="30"/>
  <c r="I31" i="30"/>
  <c r="I17" i="30"/>
  <c r="I102" i="30"/>
  <c r="I88" i="30"/>
  <c r="I74" i="30"/>
  <c r="I60" i="30"/>
  <c r="I46" i="30"/>
  <c r="I32" i="30"/>
  <c r="I18" i="30"/>
  <c r="I92" i="30"/>
  <c r="I78" i="30"/>
  <c r="I64" i="30"/>
  <c r="I50" i="30"/>
  <c r="I36" i="30"/>
  <c r="I22" i="30"/>
  <c r="I8" i="30"/>
  <c r="I44" i="30"/>
  <c r="I58" i="30"/>
  <c r="I72" i="30"/>
  <c r="I86" i="30"/>
  <c r="I100" i="30"/>
  <c r="I16" i="30"/>
  <c r="I30" i="30"/>
  <c r="K95" i="30"/>
  <c r="K81" i="30"/>
  <c r="K67" i="30"/>
  <c r="K53" i="30"/>
  <c r="K39" i="30"/>
  <c r="K25" i="30"/>
  <c r="K11" i="30"/>
  <c r="K99" i="30"/>
  <c r="K85" i="30"/>
  <c r="K71" i="30"/>
  <c r="K57" i="30"/>
  <c r="K43" i="30"/>
  <c r="K29" i="30"/>
  <c r="K15" i="30"/>
  <c r="K100" i="30"/>
  <c r="K86" i="30"/>
  <c r="K72" i="30"/>
  <c r="K58" i="30"/>
  <c r="K44" i="30"/>
  <c r="K30" i="30"/>
  <c r="K16" i="30"/>
  <c r="K101" i="30"/>
  <c r="K87" i="30"/>
  <c r="K73" i="30"/>
  <c r="K59" i="30"/>
  <c r="K45" i="30"/>
  <c r="K31" i="30"/>
  <c r="K17" i="30"/>
  <c r="K92" i="30"/>
  <c r="K78" i="30"/>
  <c r="K64" i="30"/>
  <c r="K50" i="30"/>
  <c r="K36" i="30"/>
  <c r="K22" i="30"/>
  <c r="K8" i="30"/>
  <c r="K93" i="30"/>
  <c r="K79" i="30"/>
  <c r="K65" i="30"/>
  <c r="K51" i="30"/>
  <c r="K37" i="30"/>
  <c r="K23" i="30"/>
  <c r="K9" i="30"/>
  <c r="K94" i="30"/>
  <c r="K80" i="30"/>
  <c r="K66" i="30"/>
  <c r="K52" i="30"/>
  <c r="K38" i="30"/>
  <c r="K24" i="30"/>
  <c r="K10" i="30"/>
  <c r="K74" i="30"/>
  <c r="K88" i="30"/>
  <c r="K102" i="30"/>
  <c r="K18" i="30"/>
  <c r="K32" i="30"/>
  <c r="K46" i="30"/>
  <c r="K60" i="30"/>
  <c r="J94" i="30"/>
  <c r="J80" i="30"/>
  <c r="J66" i="30"/>
  <c r="J52" i="30"/>
  <c r="J38" i="30"/>
  <c r="J24" i="30"/>
  <c r="J10" i="30"/>
  <c r="J95" i="30"/>
  <c r="J81" i="30"/>
  <c r="J67" i="30"/>
  <c r="J53" i="30"/>
  <c r="J39" i="30"/>
  <c r="J25" i="30"/>
  <c r="J11" i="30"/>
  <c r="J99" i="30"/>
  <c r="J85" i="30"/>
  <c r="J71" i="30"/>
  <c r="J57" i="30"/>
  <c r="J43" i="30"/>
  <c r="J29" i="30"/>
  <c r="J15" i="30"/>
  <c r="J100" i="30"/>
  <c r="J86" i="30"/>
  <c r="J72" i="30"/>
  <c r="J58" i="30"/>
  <c r="J44" i="30"/>
  <c r="J30" i="30"/>
  <c r="J16" i="30"/>
  <c r="J102" i="30"/>
  <c r="J88" i="30"/>
  <c r="J74" i="30"/>
  <c r="J60" i="30"/>
  <c r="J46" i="30"/>
  <c r="J32" i="30"/>
  <c r="J18" i="30"/>
  <c r="J92" i="30"/>
  <c r="J78" i="30"/>
  <c r="J64" i="30"/>
  <c r="J50" i="30"/>
  <c r="J36" i="30"/>
  <c r="J22" i="30"/>
  <c r="J8" i="30"/>
  <c r="J93" i="30"/>
  <c r="J79" i="30"/>
  <c r="J65" i="30"/>
  <c r="J51" i="30"/>
  <c r="J37" i="30"/>
  <c r="J23" i="30"/>
  <c r="J9" i="30"/>
  <c r="J59" i="30"/>
  <c r="J73" i="30"/>
  <c r="J87" i="30"/>
  <c r="J101" i="30"/>
  <c r="J17" i="30"/>
  <c r="J31" i="30"/>
  <c r="J45" i="30"/>
  <c r="P88" i="30"/>
  <c r="P95" i="30" s="1"/>
  <c r="P102" i="30" s="1"/>
  <c r="P74" i="30"/>
  <c r="P86" i="30"/>
  <c r="P93" i="30" s="1"/>
  <c r="P100" i="30" s="1"/>
  <c r="P72" i="30"/>
  <c r="P79" i="30" s="1"/>
  <c r="P85" i="30"/>
  <c r="P92" i="30" s="1"/>
  <c r="P99" i="30" s="1"/>
  <c r="P71" i="30"/>
  <c r="P78" i="30" s="1"/>
  <c r="P87" i="30"/>
  <c r="P94" i="30" s="1"/>
  <c r="P101" i="30" s="1"/>
  <c r="P73" i="30"/>
  <c r="P80" i="30" s="1"/>
  <c r="T6" i="30"/>
  <c r="AC6" i="30" s="1"/>
  <c r="Q6" i="30"/>
  <c r="Z6" i="30" s="1"/>
  <c r="S6" i="30"/>
  <c r="AB6" i="30" s="1"/>
  <c r="R6" i="30"/>
  <c r="AA6" i="30" s="1"/>
  <c r="C73" i="1"/>
  <c r="E6" i="30"/>
  <c r="F6" i="30"/>
  <c r="A7" i="37"/>
  <c r="A6" i="37"/>
  <c r="Y25" i="30" l="1"/>
  <c r="AA11" i="30"/>
  <c r="AA10" i="30"/>
  <c r="AA17" i="30" s="1"/>
  <c r="AA24" i="30" s="1"/>
  <c r="AA31" i="30" s="1"/>
  <c r="AA38" i="30" s="1"/>
  <c r="AA45" i="30" s="1"/>
  <c r="AA52" i="30" s="1"/>
  <c r="AA59" i="30" s="1"/>
  <c r="AA66" i="30" s="1"/>
  <c r="AA8" i="30"/>
  <c r="AA15" i="30" s="1"/>
  <c r="AA22" i="30" s="1"/>
  <c r="AA29" i="30" s="1"/>
  <c r="AA36" i="30" s="1"/>
  <c r="AA43" i="30" s="1"/>
  <c r="AA50" i="30" s="1"/>
  <c r="AA57" i="30" s="1"/>
  <c r="AA64" i="30" s="1"/>
  <c r="AA9" i="30"/>
  <c r="AA16" i="30" s="1"/>
  <c r="AA23" i="30" s="1"/>
  <c r="AA30" i="30" s="1"/>
  <c r="AA37" i="30" s="1"/>
  <c r="AA44" i="30" s="1"/>
  <c r="AA51" i="30" s="1"/>
  <c r="AA58" i="30" s="1"/>
  <c r="AA65" i="30" s="1"/>
  <c r="AB8" i="30"/>
  <c r="AB15" i="30" s="1"/>
  <c r="AB22" i="30" s="1"/>
  <c r="AB29" i="30" s="1"/>
  <c r="AB36" i="30" s="1"/>
  <c r="AB43" i="30" s="1"/>
  <c r="AB50" i="30" s="1"/>
  <c r="AB57" i="30" s="1"/>
  <c r="AB64" i="30" s="1"/>
  <c r="AB11" i="30"/>
  <c r="AB10" i="30"/>
  <c r="AB17" i="30" s="1"/>
  <c r="AB24" i="30" s="1"/>
  <c r="AB31" i="30" s="1"/>
  <c r="AB38" i="30" s="1"/>
  <c r="AB45" i="30" s="1"/>
  <c r="AB52" i="30" s="1"/>
  <c r="AB59" i="30" s="1"/>
  <c r="AB66" i="30" s="1"/>
  <c r="AB9" i="30"/>
  <c r="AB16" i="30" s="1"/>
  <c r="AB23" i="30" s="1"/>
  <c r="AB30" i="30" s="1"/>
  <c r="AB37" i="30" s="1"/>
  <c r="AB44" i="30" s="1"/>
  <c r="AB51" i="30" s="1"/>
  <c r="AB58" i="30" s="1"/>
  <c r="AB65" i="30" s="1"/>
  <c r="Z9" i="30"/>
  <c r="Z16" i="30" s="1"/>
  <c r="Z23" i="30" s="1"/>
  <c r="Z30" i="30" s="1"/>
  <c r="Z37" i="30" s="1"/>
  <c r="Z44" i="30" s="1"/>
  <c r="Z51" i="30" s="1"/>
  <c r="Z58" i="30" s="1"/>
  <c r="Z65" i="30" s="1"/>
  <c r="Z11" i="30"/>
  <c r="Z10" i="30"/>
  <c r="Z17" i="30" s="1"/>
  <c r="Z24" i="30" s="1"/>
  <c r="Z31" i="30" s="1"/>
  <c r="Z38" i="30" s="1"/>
  <c r="Z45" i="30" s="1"/>
  <c r="Z52" i="30" s="1"/>
  <c r="Z59" i="30" s="1"/>
  <c r="Z66" i="30" s="1"/>
  <c r="Z8" i="30"/>
  <c r="Z15" i="30" s="1"/>
  <c r="Z22" i="30" s="1"/>
  <c r="Z29" i="30" s="1"/>
  <c r="Z36" i="30" s="1"/>
  <c r="Z43" i="30" s="1"/>
  <c r="Z50" i="30" s="1"/>
  <c r="Z57" i="30" s="1"/>
  <c r="Z64" i="30" s="1"/>
  <c r="AC11" i="30"/>
  <c r="AC8" i="30"/>
  <c r="AC15" i="30" s="1"/>
  <c r="AC22" i="30" s="1"/>
  <c r="AC29" i="30" s="1"/>
  <c r="AC36" i="30" s="1"/>
  <c r="AC43" i="30" s="1"/>
  <c r="AC50" i="30" s="1"/>
  <c r="AC57" i="30" s="1"/>
  <c r="AC64" i="30" s="1"/>
  <c r="AC9" i="30"/>
  <c r="AC16" i="30" s="1"/>
  <c r="AC23" i="30" s="1"/>
  <c r="AC30" i="30" s="1"/>
  <c r="AC37" i="30" s="1"/>
  <c r="AC44" i="30" s="1"/>
  <c r="AC51" i="30" s="1"/>
  <c r="AC58" i="30" s="1"/>
  <c r="AC65" i="30" s="1"/>
  <c r="AC10" i="30"/>
  <c r="AC17" i="30" s="1"/>
  <c r="AC24" i="30" s="1"/>
  <c r="AC31" i="30" s="1"/>
  <c r="AC38" i="30" s="1"/>
  <c r="AC45" i="30" s="1"/>
  <c r="AC52" i="30" s="1"/>
  <c r="AC59" i="30" s="1"/>
  <c r="AC66" i="30" s="1"/>
  <c r="F101" i="30"/>
  <c r="F87" i="30"/>
  <c r="F73" i="30"/>
  <c r="F59" i="30"/>
  <c r="F45" i="30"/>
  <c r="F31" i="30"/>
  <c r="F17" i="30"/>
  <c r="F102" i="30"/>
  <c r="F88" i="30"/>
  <c r="F74" i="30"/>
  <c r="F60" i="30"/>
  <c r="F46" i="30"/>
  <c r="F32" i="30"/>
  <c r="F18" i="30"/>
  <c r="F92" i="30"/>
  <c r="F78" i="30"/>
  <c r="F64" i="30"/>
  <c r="F50" i="30"/>
  <c r="F36" i="30"/>
  <c r="F22" i="30"/>
  <c r="F8" i="30"/>
  <c r="F93" i="30"/>
  <c r="F79" i="30"/>
  <c r="F65" i="30"/>
  <c r="F51" i="30"/>
  <c r="F37" i="30"/>
  <c r="F23" i="30"/>
  <c r="F9" i="30"/>
  <c r="F95" i="30"/>
  <c r="F81" i="30"/>
  <c r="F67" i="30"/>
  <c r="F53" i="30"/>
  <c r="F39" i="30"/>
  <c r="F25" i="30"/>
  <c r="F11" i="30"/>
  <c r="F99" i="30"/>
  <c r="F85" i="30"/>
  <c r="F71" i="30"/>
  <c r="F57" i="30"/>
  <c r="F43" i="30"/>
  <c r="F29" i="30"/>
  <c r="F15" i="30"/>
  <c r="F100" i="30"/>
  <c r="F86" i="30"/>
  <c r="F72" i="30"/>
  <c r="F58" i="30"/>
  <c r="F44" i="30"/>
  <c r="F30" i="30"/>
  <c r="F16" i="30"/>
  <c r="F10" i="30"/>
  <c r="F24" i="30"/>
  <c r="F38" i="30"/>
  <c r="F52" i="30"/>
  <c r="F66" i="30"/>
  <c r="F80" i="30"/>
  <c r="F94" i="30"/>
  <c r="R11" i="30"/>
  <c r="R18" i="30" s="1"/>
  <c r="R25" i="30" s="1"/>
  <c r="R32" i="30" s="1"/>
  <c r="R39" i="30" s="1"/>
  <c r="R46" i="30" s="1"/>
  <c r="R53" i="30" s="1"/>
  <c r="R60" i="30" s="1"/>
  <c r="R67" i="30" s="1"/>
  <c r="R8" i="30"/>
  <c r="R15" i="30" s="1"/>
  <c r="R22" i="30" s="1"/>
  <c r="R29" i="30" s="1"/>
  <c r="R36" i="30" s="1"/>
  <c r="R43" i="30" s="1"/>
  <c r="R50" i="30" s="1"/>
  <c r="R57" i="30" s="1"/>
  <c r="R64" i="30" s="1"/>
  <c r="R9" i="30"/>
  <c r="R16" i="30" s="1"/>
  <c r="R23" i="30" s="1"/>
  <c r="R30" i="30" s="1"/>
  <c r="R37" i="30" s="1"/>
  <c r="R44" i="30" s="1"/>
  <c r="R51" i="30" s="1"/>
  <c r="R58" i="30" s="1"/>
  <c r="R65" i="30" s="1"/>
  <c r="R10" i="30"/>
  <c r="R17" i="30" s="1"/>
  <c r="R24" i="30" s="1"/>
  <c r="R31" i="30" s="1"/>
  <c r="R38" i="30" s="1"/>
  <c r="R45" i="30" s="1"/>
  <c r="R52" i="30" s="1"/>
  <c r="R59" i="30" s="1"/>
  <c r="R66" i="30" s="1"/>
  <c r="E100" i="30"/>
  <c r="E86" i="30"/>
  <c r="E72" i="30"/>
  <c r="E58" i="30"/>
  <c r="E44" i="30"/>
  <c r="E30" i="30"/>
  <c r="E16" i="30"/>
  <c r="E101" i="30"/>
  <c r="E87" i="30"/>
  <c r="E73" i="30"/>
  <c r="E59" i="30"/>
  <c r="E45" i="30"/>
  <c r="E31" i="30"/>
  <c r="E17" i="30"/>
  <c r="E102" i="30"/>
  <c r="E88" i="30"/>
  <c r="E74" i="30"/>
  <c r="E60" i="30"/>
  <c r="E46" i="30"/>
  <c r="E32" i="30"/>
  <c r="E18" i="30"/>
  <c r="E92" i="30"/>
  <c r="E78" i="30"/>
  <c r="E64" i="30"/>
  <c r="E50" i="30"/>
  <c r="E36" i="30"/>
  <c r="E22" i="30"/>
  <c r="E8" i="30"/>
  <c r="E94" i="30"/>
  <c r="E80" i="30"/>
  <c r="E66" i="30"/>
  <c r="E52" i="30"/>
  <c r="E38" i="30"/>
  <c r="E24" i="30"/>
  <c r="E10" i="30"/>
  <c r="E95" i="30"/>
  <c r="E81" i="30"/>
  <c r="E67" i="30"/>
  <c r="E53" i="30"/>
  <c r="E39" i="30"/>
  <c r="E25" i="30"/>
  <c r="E11" i="30"/>
  <c r="E99" i="30"/>
  <c r="E85" i="30"/>
  <c r="E71" i="30"/>
  <c r="E57" i="30"/>
  <c r="E43" i="30"/>
  <c r="E29" i="30"/>
  <c r="E15" i="30"/>
  <c r="E93" i="30"/>
  <c r="E9" i="30"/>
  <c r="E23" i="30"/>
  <c r="E37" i="30"/>
  <c r="E51" i="30"/>
  <c r="E65" i="30"/>
  <c r="E79" i="30"/>
  <c r="S8" i="30"/>
  <c r="S15" i="30" s="1"/>
  <c r="S22" i="30" s="1"/>
  <c r="S29" i="30" s="1"/>
  <c r="S36" i="30" s="1"/>
  <c r="S43" i="30" s="1"/>
  <c r="S50" i="30" s="1"/>
  <c r="S57" i="30" s="1"/>
  <c r="S64" i="30" s="1"/>
  <c r="S9" i="30"/>
  <c r="S16" i="30" s="1"/>
  <c r="S23" i="30" s="1"/>
  <c r="S30" i="30" s="1"/>
  <c r="S37" i="30" s="1"/>
  <c r="S44" i="30" s="1"/>
  <c r="S51" i="30" s="1"/>
  <c r="S58" i="30" s="1"/>
  <c r="S65" i="30" s="1"/>
  <c r="S10" i="30"/>
  <c r="S17" i="30" s="1"/>
  <c r="S24" i="30" s="1"/>
  <c r="S31" i="30" s="1"/>
  <c r="S38" i="30" s="1"/>
  <c r="S45" i="30" s="1"/>
  <c r="S52" i="30" s="1"/>
  <c r="S59" i="30" s="1"/>
  <c r="S66" i="30" s="1"/>
  <c r="S11" i="30"/>
  <c r="S18" i="30" s="1"/>
  <c r="S25" i="30" s="1"/>
  <c r="S32" i="30" s="1"/>
  <c r="S39" i="30" s="1"/>
  <c r="S46" i="30" s="1"/>
  <c r="S53" i="30" s="1"/>
  <c r="S60" i="30" s="1"/>
  <c r="S67" i="30" s="1"/>
  <c r="Q10" i="30"/>
  <c r="Q17" i="30" s="1"/>
  <c r="Q24" i="30" s="1"/>
  <c r="Q31" i="30" s="1"/>
  <c r="Q38" i="30" s="1"/>
  <c r="Q45" i="30" s="1"/>
  <c r="Q52" i="30" s="1"/>
  <c r="Q59" i="30" s="1"/>
  <c r="Q66" i="30" s="1"/>
  <c r="Q11" i="30"/>
  <c r="Q18" i="30" s="1"/>
  <c r="Q25" i="30" s="1"/>
  <c r="Q32" i="30" s="1"/>
  <c r="Q39" i="30" s="1"/>
  <c r="Q46" i="30" s="1"/>
  <c r="Q53" i="30" s="1"/>
  <c r="Q60" i="30" s="1"/>
  <c r="Q67" i="30" s="1"/>
  <c r="Q8" i="30"/>
  <c r="Q15" i="30" s="1"/>
  <c r="Q22" i="30" s="1"/>
  <c r="Q29" i="30" s="1"/>
  <c r="Q36" i="30" s="1"/>
  <c r="Q43" i="30" s="1"/>
  <c r="Q50" i="30" s="1"/>
  <c r="Q57" i="30" s="1"/>
  <c r="Q64" i="30" s="1"/>
  <c r="Q9" i="30"/>
  <c r="Q16" i="30" s="1"/>
  <c r="Q23" i="30" s="1"/>
  <c r="Q30" i="30" s="1"/>
  <c r="Q37" i="30" s="1"/>
  <c r="Q44" i="30" s="1"/>
  <c r="Q51" i="30" s="1"/>
  <c r="Q58" i="30" s="1"/>
  <c r="Q65" i="30" s="1"/>
  <c r="T9" i="30"/>
  <c r="T16" i="30" s="1"/>
  <c r="T23" i="30" s="1"/>
  <c r="T30" i="30" s="1"/>
  <c r="T37" i="30" s="1"/>
  <c r="T44" i="30" s="1"/>
  <c r="T51" i="30" s="1"/>
  <c r="T58" i="30" s="1"/>
  <c r="T65" i="30" s="1"/>
  <c r="T10" i="30"/>
  <c r="T17" i="30" s="1"/>
  <c r="T24" i="30" s="1"/>
  <c r="T31" i="30" s="1"/>
  <c r="T38" i="30" s="1"/>
  <c r="T45" i="30" s="1"/>
  <c r="T52" i="30" s="1"/>
  <c r="T59" i="30" s="1"/>
  <c r="T66" i="30" s="1"/>
  <c r="T11" i="30"/>
  <c r="T18" i="30" s="1"/>
  <c r="T25" i="30" s="1"/>
  <c r="T32" i="30" s="1"/>
  <c r="T39" i="30" s="1"/>
  <c r="T46" i="30" s="1"/>
  <c r="T53" i="30" s="1"/>
  <c r="T60" i="30" s="1"/>
  <c r="T67" i="30" s="1"/>
  <c r="T8" i="30"/>
  <c r="T15" i="30" s="1"/>
  <c r="T22" i="30" s="1"/>
  <c r="T29" i="30" s="1"/>
  <c r="T36" i="30" s="1"/>
  <c r="T43" i="30" s="1"/>
  <c r="T50" i="30" s="1"/>
  <c r="T57" i="30" s="1"/>
  <c r="T64" i="30" s="1"/>
  <c r="P81" i="30"/>
  <c r="D73" i="1"/>
  <c r="B14" i="20"/>
  <c r="D9" i="41" s="1"/>
  <c r="C192" i="1" s="1"/>
  <c r="O6" i="30"/>
  <c r="X6" i="30" s="1"/>
  <c r="N6" i="30"/>
  <c r="W6" i="30" s="1"/>
  <c r="A11" i="37"/>
  <c r="C52" i="41" s="1"/>
  <c r="C63" i="41" s="1"/>
  <c r="C73" i="41" s="1"/>
  <c r="D74" i="1"/>
  <c r="C88" i="1"/>
  <c r="A10" i="37"/>
  <c r="C51" i="41" s="1"/>
  <c r="C62" i="41" s="1"/>
  <c r="C72" i="41" s="1"/>
  <c r="B126" i="1"/>
  <c r="AB18" i="30" l="1"/>
  <c r="AC18" i="30"/>
  <c r="AB71" i="30"/>
  <c r="AB78" i="30" s="1"/>
  <c r="AB85" i="30"/>
  <c r="AB92" i="30" s="1"/>
  <c r="AB99" i="30" s="1"/>
  <c r="X8" i="30"/>
  <c r="X15" i="30" s="1"/>
  <c r="X22" i="30" s="1"/>
  <c r="X29" i="30" s="1"/>
  <c r="X36" i="30" s="1"/>
  <c r="X43" i="30" s="1"/>
  <c r="X50" i="30" s="1"/>
  <c r="X57" i="30" s="1"/>
  <c r="X64" i="30" s="1"/>
  <c r="X11" i="30"/>
  <c r="X10" i="30"/>
  <c r="X17" i="30" s="1"/>
  <c r="X24" i="30" s="1"/>
  <c r="X31" i="30" s="1"/>
  <c r="X38" i="30" s="1"/>
  <c r="X45" i="30" s="1"/>
  <c r="X52" i="30" s="1"/>
  <c r="X59" i="30" s="1"/>
  <c r="X66" i="30" s="1"/>
  <c r="X9" i="30"/>
  <c r="X16" i="30" s="1"/>
  <c r="X23" i="30" s="1"/>
  <c r="X30" i="30" s="1"/>
  <c r="X37" i="30" s="1"/>
  <c r="X44" i="30" s="1"/>
  <c r="X51" i="30" s="1"/>
  <c r="X58" i="30" s="1"/>
  <c r="X65" i="30" s="1"/>
  <c r="Z85" i="30"/>
  <c r="Z92" i="30" s="1"/>
  <c r="Z99" i="30" s="1"/>
  <c r="Z71" i="30"/>
  <c r="Z78" i="30" s="1"/>
  <c r="AA86" i="30"/>
  <c r="AA93" i="30" s="1"/>
  <c r="AA100" i="30" s="1"/>
  <c r="AA72" i="30"/>
  <c r="AA79" i="30" s="1"/>
  <c r="Z73" i="30"/>
  <c r="Z80" i="30" s="1"/>
  <c r="Z87" i="30"/>
  <c r="Z94" i="30" s="1"/>
  <c r="Z101" i="30" s="1"/>
  <c r="AA71" i="30"/>
  <c r="AA78" i="30" s="1"/>
  <c r="AA85" i="30"/>
  <c r="AA92" i="30" s="1"/>
  <c r="AA99" i="30" s="1"/>
  <c r="Z18" i="30"/>
  <c r="AA73" i="30"/>
  <c r="AA80" i="30" s="1"/>
  <c r="AA87" i="30"/>
  <c r="AA94" i="30" s="1"/>
  <c r="AA101" i="30" s="1"/>
  <c r="AC85" i="30"/>
  <c r="AC92" i="30" s="1"/>
  <c r="AC99" i="30" s="1"/>
  <c r="AC71" i="30"/>
  <c r="AC78" i="30" s="1"/>
  <c r="W11" i="30"/>
  <c r="AB12" i="30" s="1"/>
  <c r="W10" i="30"/>
  <c r="W8" i="30"/>
  <c r="W9" i="30"/>
  <c r="Z72" i="30"/>
  <c r="Z79" i="30" s="1"/>
  <c r="Z86" i="30"/>
  <c r="Z93" i="30" s="1"/>
  <c r="Z100" i="30" s="1"/>
  <c r="AA18" i="30"/>
  <c r="AC87" i="30"/>
  <c r="AC94" i="30" s="1"/>
  <c r="AC101" i="30" s="1"/>
  <c r="AC73" i="30"/>
  <c r="AC80" i="30" s="1"/>
  <c r="AB86" i="30"/>
  <c r="AB93" i="30" s="1"/>
  <c r="AB100" i="30" s="1"/>
  <c r="AB72" i="30"/>
  <c r="AB79" i="30" s="1"/>
  <c r="AC72" i="30"/>
  <c r="AC79" i="30" s="1"/>
  <c r="AC86" i="30"/>
  <c r="AC93" i="30" s="1"/>
  <c r="AC100" i="30" s="1"/>
  <c r="AB73" i="30"/>
  <c r="AB80" i="30" s="1"/>
  <c r="AB87" i="30"/>
  <c r="AB94" i="30" s="1"/>
  <c r="AB101" i="30" s="1"/>
  <c r="Y32" i="30"/>
  <c r="H75" i="30"/>
  <c r="L79" i="30"/>
  <c r="L80" i="30"/>
  <c r="L73" i="30"/>
  <c r="J75" i="30"/>
  <c r="I82" i="30"/>
  <c r="N9" i="17"/>
  <c r="B6" i="39"/>
  <c r="O9" i="17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E19" i="32"/>
  <c r="E18" i="32"/>
  <c r="E17" i="32"/>
  <c r="E16" i="32"/>
  <c r="E15" i="32"/>
  <c r="E14" i="32"/>
  <c r="E13" i="32"/>
  <c r="E12" i="32"/>
  <c r="E11" i="32"/>
  <c r="E10" i="32"/>
  <c r="E9" i="32"/>
  <c r="E8" i="32"/>
  <c r="E7" i="32"/>
  <c r="E6" i="32"/>
  <c r="N10" i="30"/>
  <c r="N17" i="30" s="1"/>
  <c r="N24" i="30" s="1"/>
  <c r="N31" i="30" s="1"/>
  <c r="N38" i="30" s="1"/>
  <c r="N45" i="30" s="1"/>
  <c r="N52" i="30" s="1"/>
  <c r="N59" i="30" s="1"/>
  <c r="N66" i="30" s="1"/>
  <c r="N8" i="30"/>
  <c r="N15" i="30" s="1"/>
  <c r="N22" i="30" s="1"/>
  <c r="N29" i="30" s="1"/>
  <c r="N36" i="30" s="1"/>
  <c r="N43" i="30" s="1"/>
  <c r="N50" i="30" s="1"/>
  <c r="N57" i="30" s="1"/>
  <c r="N64" i="30" s="1"/>
  <c r="N9" i="30"/>
  <c r="N16" i="30" s="1"/>
  <c r="N23" i="30" s="1"/>
  <c r="N30" i="30" s="1"/>
  <c r="N37" i="30" s="1"/>
  <c r="N44" i="30" s="1"/>
  <c r="N51" i="30" s="1"/>
  <c r="N58" i="30" s="1"/>
  <c r="N65" i="30" s="1"/>
  <c r="N11" i="30"/>
  <c r="N18" i="30" s="1"/>
  <c r="N25" i="30" s="1"/>
  <c r="N32" i="30" s="1"/>
  <c r="N39" i="30" s="1"/>
  <c r="N46" i="30" s="1"/>
  <c r="N53" i="30" s="1"/>
  <c r="N60" i="30" s="1"/>
  <c r="N67" i="30" s="1"/>
  <c r="N10" i="17"/>
  <c r="O10" i="17"/>
  <c r="U19" i="32"/>
  <c r="U18" i="32"/>
  <c r="U17" i="32"/>
  <c r="U16" i="32"/>
  <c r="U15" i="32"/>
  <c r="U14" i="32"/>
  <c r="U13" i="32"/>
  <c r="U12" i="32"/>
  <c r="U11" i="32"/>
  <c r="U10" i="32"/>
  <c r="U9" i="32"/>
  <c r="U8" i="32"/>
  <c r="U7" i="32"/>
  <c r="U6" i="32"/>
  <c r="C6" i="39"/>
  <c r="W16" i="32"/>
  <c r="W12" i="32"/>
  <c r="W8" i="32"/>
  <c r="W19" i="32"/>
  <c r="W15" i="32"/>
  <c r="W11" i="32"/>
  <c r="W7" i="32"/>
  <c r="W18" i="32"/>
  <c r="W14" i="32"/>
  <c r="W10" i="32"/>
  <c r="W6" i="32"/>
  <c r="W17" i="32"/>
  <c r="W13" i="32"/>
  <c r="W9" i="32"/>
  <c r="O10" i="30"/>
  <c r="O17" i="30" s="1"/>
  <c r="O24" i="30" s="1"/>
  <c r="O31" i="30" s="1"/>
  <c r="O38" i="30" s="1"/>
  <c r="O45" i="30" s="1"/>
  <c r="O52" i="30" s="1"/>
  <c r="O59" i="30" s="1"/>
  <c r="O66" i="30" s="1"/>
  <c r="O11" i="30"/>
  <c r="O18" i="30" s="1"/>
  <c r="O25" i="30" s="1"/>
  <c r="O32" i="30" s="1"/>
  <c r="O39" i="30" s="1"/>
  <c r="O46" i="30" s="1"/>
  <c r="O53" i="30" s="1"/>
  <c r="O60" i="30" s="1"/>
  <c r="O67" i="30" s="1"/>
  <c r="O9" i="30"/>
  <c r="O16" i="30" s="1"/>
  <c r="O23" i="30" s="1"/>
  <c r="O30" i="30" s="1"/>
  <c r="O37" i="30" s="1"/>
  <c r="O44" i="30" s="1"/>
  <c r="O51" i="30" s="1"/>
  <c r="O58" i="30" s="1"/>
  <c r="O65" i="30" s="1"/>
  <c r="O8" i="30"/>
  <c r="O15" i="30" s="1"/>
  <c r="O22" i="30" s="1"/>
  <c r="O29" i="30" s="1"/>
  <c r="O36" i="30" s="1"/>
  <c r="O43" i="30" s="1"/>
  <c r="O50" i="30" s="1"/>
  <c r="O57" i="30" s="1"/>
  <c r="O64" i="30" s="1"/>
  <c r="H82" i="30"/>
  <c r="I75" i="30"/>
  <c r="F75" i="30"/>
  <c r="L71" i="30"/>
  <c r="L72" i="30"/>
  <c r="T86" i="30"/>
  <c r="T93" i="30" s="1"/>
  <c r="T100" i="30" s="1"/>
  <c r="T72" i="30"/>
  <c r="T79" i="30" s="1"/>
  <c r="T87" i="30"/>
  <c r="T94" i="30" s="1"/>
  <c r="T101" i="30" s="1"/>
  <c r="T73" i="30"/>
  <c r="T80" i="30" s="1"/>
  <c r="S88" i="30"/>
  <c r="S95" i="30" s="1"/>
  <c r="S102" i="30" s="1"/>
  <c r="S74" i="30"/>
  <c r="F82" i="30"/>
  <c r="T85" i="30"/>
  <c r="T92" i="30" s="1"/>
  <c r="T99" i="30" s="1"/>
  <c r="T71" i="30"/>
  <c r="T78" i="30" s="1"/>
  <c r="R85" i="30"/>
  <c r="R92" i="30" s="1"/>
  <c r="R99" i="30" s="1"/>
  <c r="R71" i="30"/>
  <c r="R78" i="30" s="1"/>
  <c r="Q88" i="30"/>
  <c r="Q95" i="30" s="1"/>
  <c r="Q102" i="30" s="1"/>
  <c r="Q74" i="30"/>
  <c r="R87" i="30"/>
  <c r="R94" i="30" s="1"/>
  <c r="R101" i="30" s="1"/>
  <c r="R73" i="30"/>
  <c r="R80" i="30" s="1"/>
  <c r="K75" i="30"/>
  <c r="L74" i="30"/>
  <c r="E75" i="30"/>
  <c r="G75" i="30"/>
  <c r="Q85" i="30"/>
  <c r="Q92" i="30" s="1"/>
  <c r="Q99" i="30" s="1"/>
  <c r="Q71" i="30"/>
  <c r="Q78" i="30" s="1"/>
  <c r="R86" i="30"/>
  <c r="R93" i="30" s="1"/>
  <c r="R100" i="30" s="1"/>
  <c r="R72" i="30"/>
  <c r="R79" i="30" s="1"/>
  <c r="L78" i="30"/>
  <c r="S86" i="30"/>
  <c r="S93" i="30" s="1"/>
  <c r="S100" i="30" s="1"/>
  <c r="S72" i="30"/>
  <c r="S79" i="30" s="1"/>
  <c r="Q87" i="30"/>
  <c r="Q94" i="30" s="1"/>
  <c r="Q101" i="30" s="1"/>
  <c r="Q73" i="30"/>
  <c r="Q80" i="30" s="1"/>
  <c r="R88" i="30"/>
  <c r="R95" i="30" s="1"/>
  <c r="R102" i="30" s="1"/>
  <c r="R74" i="30"/>
  <c r="S87" i="30"/>
  <c r="S94" i="30" s="1"/>
  <c r="S101" i="30" s="1"/>
  <c r="S73" i="30"/>
  <c r="S80" i="30" s="1"/>
  <c r="Q86" i="30"/>
  <c r="Q93" i="30" s="1"/>
  <c r="Q100" i="30" s="1"/>
  <c r="Q72" i="30"/>
  <c r="Q79" i="30" s="1"/>
  <c r="T88" i="30"/>
  <c r="T95" i="30" s="1"/>
  <c r="T102" i="30" s="1"/>
  <c r="T74" i="30"/>
  <c r="S85" i="30"/>
  <c r="S92" i="30" s="1"/>
  <c r="S99" i="30" s="1"/>
  <c r="S71" i="30"/>
  <c r="S78" i="30" s="1"/>
  <c r="K82" i="30"/>
  <c r="L81" i="30"/>
  <c r="E82" i="30"/>
  <c r="G82" i="30"/>
  <c r="J82" i="30"/>
  <c r="D126" i="1"/>
  <c r="E126" i="1"/>
  <c r="B144" i="1"/>
  <c r="L87" i="30"/>
  <c r="L86" i="30"/>
  <c r="J89" i="30"/>
  <c r="L88" i="30"/>
  <c r="E89" i="30"/>
  <c r="G89" i="30"/>
  <c r="I89" i="30"/>
  <c r="L85" i="30"/>
  <c r="F89" i="30"/>
  <c r="K89" i="30"/>
  <c r="H89" i="30"/>
  <c r="AA12" i="30" l="1"/>
  <c r="X18" i="30"/>
  <c r="X12" i="30"/>
  <c r="AA25" i="30"/>
  <c r="X71" i="30"/>
  <c r="X78" i="30" s="1"/>
  <c r="X85" i="30"/>
  <c r="X92" i="30" s="1"/>
  <c r="X99" i="30" s="1"/>
  <c r="W16" i="30"/>
  <c r="AD9" i="30"/>
  <c r="Z25" i="30"/>
  <c r="AC12" i="30"/>
  <c r="W15" i="30"/>
  <c r="AD8" i="30"/>
  <c r="R126" i="30" s="1"/>
  <c r="Z12" i="30"/>
  <c r="AC25" i="30"/>
  <c r="W17" i="30"/>
  <c r="AD10" i="30"/>
  <c r="I126" i="30" s="1"/>
  <c r="X86" i="30"/>
  <c r="X93" i="30" s="1"/>
  <c r="X100" i="30" s="1"/>
  <c r="X72" i="30"/>
  <c r="X79" i="30" s="1"/>
  <c r="Y39" i="30"/>
  <c r="W12" i="30"/>
  <c r="W18" i="30"/>
  <c r="AB19" i="30" s="1"/>
  <c r="AD11" i="30"/>
  <c r="Y12" i="30"/>
  <c r="X87" i="30"/>
  <c r="X94" i="30" s="1"/>
  <c r="X101" i="30" s="1"/>
  <c r="X73" i="30"/>
  <c r="X80" i="30" s="1"/>
  <c r="AB25" i="30"/>
  <c r="G144" i="1"/>
  <c r="F144" i="1"/>
  <c r="E144" i="1"/>
  <c r="D144" i="1"/>
  <c r="O86" i="30"/>
  <c r="O93" i="30" s="1"/>
  <c r="O100" i="30" s="1"/>
  <c r="O72" i="30"/>
  <c r="O79" i="30" s="1"/>
  <c r="O87" i="30"/>
  <c r="O94" i="30" s="1"/>
  <c r="O101" i="30" s="1"/>
  <c r="O73" i="30"/>
  <c r="O80" i="30" s="1"/>
  <c r="T81" i="30"/>
  <c r="S81" i="30"/>
  <c r="O88" i="30"/>
  <c r="O95" i="30" s="1"/>
  <c r="O102" i="30" s="1"/>
  <c r="O74" i="30"/>
  <c r="N74" i="30"/>
  <c r="N71" i="30"/>
  <c r="N72" i="30"/>
  <c r="N73" i="30"/>
  <c r="R81" i="30"/>
  <c r="O85" i="30"/>
  <c r="O92" i="30" s="1"/>
  <c r="O99" i="30" s="1"/>
  <c r="O71" i="30"/>
  <c r="O78" i="30" s="1"/>
  <c r="Q81" i="30"/>
  <c r="U126" i="30" l="1"/>
  <c r="G143" i="30" s="1"/>
  <c r="AC19" i="30"/>
  <c r="L126" i="30"/>
  <c r="D143" i="30" s="1"/>
  <c r="W19" i="30"/>
  <c r="W25" i="30"/>
  <c r="AD18" i="30"/>
  <c r="Y19" i="30"/>
  <c r="AB32" i="30"/>
  <c r="Y46" i="30"/>
  <c r="AD16" i="30"/>
  <c r="W23" i="30"/>
  <c r="W22" i="30"/>
  <c r="AD15" i="30"/>
  <c r="R127" i="30" s="1"/>
  <c r="U127" i="30" s="1"/>
  <c r="G144" i="30" s="1"/>
  <c r="AA19" i="30"/>
  <c r="AC32" i="30"/>
  <c r="AA32" i="30"/>
  <c r="Z32" i="30"/>
  <c r="W24" i="30"/>
  <c r="AD17" i="30"/>
  <c r="I127" i="30" s="1"/>
  <c r="L127" i="30" s="1"/>
  <c r="D144" i="30" s="1"/>
  <c r="Z19" i="30"/>
  <c r="X19" i="30"/>
  <c r="X25" i="30"/>
  <c r="T75" i="30"/>
  <c r="R75" i="30"/>
  <c r="S75" i="30"/>
  <c r="K144" i="1"/>
  <c r="Q75" i="30"/>
  <c r="N78" i="30"/>
  <c r="U71" i="30"/>
  <c r="N80" i="30"/>
  <c r="U73" i="30"/>
  <c r="N79" i="30"/>
  <c r="U72" i="30"/>
  <c r="N81" i="30"/>
  <c r="U74" i="30"/>
  <c r="N75" i="30"/>
  <c r="P75" i="30"/>
  <c r="O81" i="30"/>
  <c r="O75" i="30"/>
  <c r="K145" i="1"/>
  <c r="K146" i="1"/>
  <c r="B25" i="34"/>
  <c r="B32" i="34"/>
  <c r="B28" i="34"/>
  <c r="B27" i="34"/>
  <c r="B26" i="34"/>
  <c r="K153" i="1"/>
  <c r="K147" i="1"/>
  <c r="B31" i="34"/>
  <c r="K154" i="1"/>
  <c r="K148" i="1"/>
  <c r="B24" i="34"/>
  <c r="C28" i="34"/>
  <c r="C32" i="34"/>
  <c r="C26" i="34"/>
  <c r="C27" i="34"/>
  <c r="C31" i="34"/>
  <c r="C25" i="34"/>
  <c r="C24" i="34"/>
  <c r="AH4" i="32"/>
  <c r="AB26" i="30" l="1"/>
  <c r="M144" i="30"/>
  <c r="D162" i="30"/>
  <c r="M143" i="30"/>
  <c r="D161" i="30"/>
  <c r="J144" i="30"/>
  <c r="J143" i="30"/>
  <c r="Z26" i="30"/>
  <c r="AC26" i="30"/>
  <c r="AC39" i="30"/>
  <c r="Y53" i="30"/>
  <c r="W31" i="30"/>
  <c r="AD24" i="30"/>
  <c r="I128" i="30" s="1"/>
  <c r="L128" i="30" s="1"/>
  <c r="D145" i="30" s="1"/>
  <c r="AB39" i="30"/>
  <c r="Z39" i="30"/>
  <c r="W29" i="30"/>
  <c r="AD22" i="30"/>
  <c r="R128" i="30" s="1"/>
  <c r="U128" i="30" s="1"/>
  <c r="G145" i="30" s="1"/>
  <c r="X26" i="30"/>
  <c r="X32" i="30"/>
  <c r="AA26" i="30"/>
  <c r="AD23" i="30"/>
  <c r="W30" i="30"/>
  <c r="W26" i="30"/>
  <c r="AD25" i="30"/>
  <c r="W32" i="30"/>
  <c r="AB33" i="30" s="1"/>
  <c r="Y26" i="30"/>
  <c r="AA39" i="30"/>
  <c r="T82" i="30"/>
  <c r="O82" i="30"/>
  <c r="Q82" i="30"/>
  <c r="U79" i="30"/>
  <c r="N86" i="30"/>
  <c r="N87" i="30"/>
  <c r="U80" i="30"/>
  <c r="S82" i="30"/>
  <c r="R82" i="30"/>
  <c r="N88" i="30"/>
  <c r="U81" i="30"/>
  <c r="N82" i="30"/>
  <c r="P82" i="30"/>
  <c r="U78" i="30"/>
  <c r="N85" i="30"/>
  <c r="AA33" i="30" l="1"/>
  <c r="AZ7" i="32"/>
  <c r="CF7" i="32"/>
  <c r="D7" i="32"/>
  <c r="K7" i="32" s="1"/>
  <c r="Q7" i="32" s="1"/>
  <c r="BP7" i="32"/>
  <c r="CV7" i="32"/>
  <c r="AJ7" i="32"/>
  <c r="AZ6" i="32"/>
  <c r="AJ6" i="32"/>
  <c r="BP6" i="32"/>
  <c r="CF6" i="32"/>
  <c r="T6" i="32"/>
  <c r="AA6" i="32" s="1"/>
  <c r="AG6" i="32" s="1"/>
  <c r="D6" i="32"/>
  <c r="K6" i="32" s="1"/>
  <c r="Q6" i="32" s="1"/>
  <c r="CV6" i="32"/>
  <c r="M145" i="30"/>
  <c r="D163" i="30"/>
  <c r="J145" i="30"/>
  <c r="W33" i="30"/>
  <c r="W39" i="30"/>
  <c r="AD32" i="30"/>
  <c r="Y33" i="30"/>
  <c r="W38" i="30"/>
  <c r="AD31" i="30"/>
  <c r="I129" i="30" s="1"/>
  <c r="L129" i="30" s="1"/>
  <c r="D146" i="30" s="1"/>
  <c r="AA46" i="30"/>
  <c r="X33" i="30"/>
  <c r="X39" i="30"/>
  <c r="AD29" i="30"/>
  <c r="R129" i="30" s="1"/>
  <c r="U129" i="30" s="1"/>
  <c r="G146" i="30" s="1"/>
  <c r="W36" i="30"/>
  <c r="Y60" i="30"/>
  <c r="W37" i="30"/>
  <c r="AD30" i="30"/>
  <c r="Z46" i="30"/>
  <c r="AC33" i="30"/>
  <c r="AB46" i="30"/>
  <c r="Z33" i="30"/>
  <c r="AC46" i="30"/>
  <c r="N89" i="30"/>
  <c r="O89" i="30"/>
  <c r="O96" i="30" s="1"/>
  <c r="U88" i="30"/>
  <c r="N95" i="30"/>
  <c r="N96" i="30" s="1"/>
  <c r="R89" i="30"/>
  <c r="R96" i="30" s="1"/>
  <c r="Q89" i="30"/>
  <c r="Q96" i="30" s="1"/>
  <c r="P89" i="30"/>
  <c r="P96" i="30" s="1"/>
  <c r="S89" i="30"/>
  <c r="S96" i="30" s="1"/>
  <c r="T89" i="30"/>
  <c r="T96" i="30" s="1"/>
  <c r="N92" i="30"/>
  <c r="U85" i="30"/>
  <c r="N94" i="30"/>
  <c r="U87" i="30"/>
  <c r="U86" i="30"/>
  <c r="N93" i="30"/>
  <c r="K134" i="3"/>
  <c r="B15" i="3"/>
  <c r="D15" i="3" s="1"/>
  <c r="B14" i="3"/>
  <c r="D14" i="3" s="1"/>
  <c r="B37" i="2"/>
  <c r="B36" i="2"/>
  <c r="AC40" i="30" l="1"/>
  <c r="AA40" i="30"/>
  <c r="Z40" i="30"/>
  <c r="AB40" i="30"/>
  <c r="M146" i="30"/>
  <c r="D164" i="30"/>
  <c r="CF8" i="32"/>
  <c r="D8" i="32"/>
  <c r="K8" i="32" s="1"/>
  <c r="Q8" i="32" s="1"/>
  <c r="BP8" i="32"/>
  <c r="AZ8" i="32"/>
  <c r="CV8" i="32"/>
  <c r="AJ8" i="32"/>
  <c r="J146" i="30"/>
  <c r="W43" i="30"/>
  <c r="AD36" i="30"/>
  <c r="R130" i="30" s="1"/>
  <c r="U130" i="30" s="1"/>
  <c r="G147" i="30" s="1"/>
  <c r="AD38" i="30"/>
  <c r="I130" i="30" s="1"/>
  <c r="L130" i="30" s="1"/>
  <c r="D147" i="30" s="1"/>
  <c r="W45" i="30"/>
  <c r="W44" i="30"/>
  <c r="AD37" i="30"/>
  <c r="AA53" i="30"/>
  <c r="Z53" i="30"/>
  <c r="AB53" i="30"/>
  <c r="Y67" i="30"/>
  <c r="X40" i="30"/>
  <c r="X46" i="30"/>
  <c r="W40" i="30"/>
  <c r="W46" i="30"/>
  <c r="AD39" i="30"/>
  <c r="Y40" i="30"/>
  <c r="AC53" i="30"/>
  <c r="N100" i="30"/>
  <c r="U100" i="30" s="1"/>
  <c r="U93" i="30"/>
  <c r="N101" i="30"/>
  <c r="U101" i="30" s="1"/>
  <c r="U94" i="30"/>
  <c r="U95" i="30"/>
  <c r="N102" i="30"/>
  <c r="N99" i="30"/>
  <c r="U99" i="30" s="1"/>
  <c r="U92" i="30"/>
  <c r="E64" i="3"/>
  <c r="B159" i="3" s="1"/>
  <c r="C159" i="3" s="1"/>
  <c r="E63" i="3"/>
  <c r="B158" i="3" s="1"/>
  <c r="C158" i="3" s="1"/>
  <c r="AB47" i="30" l="1"/>
  <c r="D9" i="32"/>
  <c r="K9" i="32" s="1"/>
  <c r="Q9" i="32" s="1"/>
  <c r="CV9" i="32"/>
  <c r="CF9" i="32"/>
  <c r="BP9" i="32"/>
  <c r="AZ9" i="32"/>
  <c r="AJ9" i="32"/>
  <c r="M147" i="30"/>
  <c r="D165" i="30"/>
  <c r="J147" i="30"/>
  <c r="AA47" i="30"/>
  <c r="AC47" i="30"/>
  <c r="AA60" i="30"/>
  <c r="AC60" i="30"/>
  <c r="AB60" i="30"/>
  <c r="W51" i="30"/>
  <c r="AD44" i="30"/>
  <c r="W52" i="30"/>
  <c r="AD45" i="30"/>
  <c r="I131" i="30" s="1"/>
  <c r="L131" i="30" s="1"/>
  <c r="D148" i="30" s="1"/>
  <c r="W47" i="30"/>
  <c r="AD46" i="30"/>
  <c r="W53" i="30"/>
  <c r="Y47" i="30"/>
  <c r="Z60" i="30"/>
  <c r="Y74" i="30"/>
  <c r="Y88" i="30"/>
  <c r="X47" i="30"/>
  <c r="X53" i="30"/>
  <c r="Z47" i="30"/>
  <c r="AD43" i="30"/>
  <c r="R131" i="30" s="1"/>
  <c r="U131" i="30" s="1"/>
  <c r="G148" i="30" s="1"/>
  <c r="W50" i="30"/>
  <c r="E159" i="3"/>
  <c r="D159" i="3"/>
  <c r="G159" i="3"/>
  <c r="F159" i="3"/>
  <c r="F158" i="3"/>
  <c r="D158" i="3"/>
  <c r="E158" i="3"/>
  <c r="G158" i="3"/>
  <c r="S103" i="30"/>
  <c r="O103" i="30"/>
  <c r="N103" i="30"/>
  <c r="T103" i="30"/>
  <c r="Q103" i="30"/>
  <c r="P103" i="30"/>
  <c r="U102" i="30"/>
  <c r="R103" i="30"/>
  <c r="F63" i="3"/>
  <c r="J148" i="30" l="1"/>
  <c r="D11" i="32" s="1"/>
  <c r="K11" i="32" s="1"/>
  <c r="Q11" i="32" s="1"/>
  <c r="D166" i="30"/>
  <c r="CV10" i="32"/>
  <c r="BP10" i="32"/>
  <c r="AJ10" i="32"/>
  <c r="D10" i="32"/>
  <c r="CF10" i="32"/>
  <c r="AZ10" i="32"/>
  <c r="M148" i="30"/>
  <c r="X54" i="30"/>
  <c r="X60" i="30"/>
  <c r="W54" i="30"/>
  <c r="AD53" i="30"/>
  <c r="W60" i="30"/>
  <c r="Y54" i="30"/>
  <c r="AB67" i="30"/>
  <c r="AB54" i="30"/>
  <c r="Y95" i="30"/>
  <c r="AD51" i="30"/>
  <c r="W58" i="30"/>
  <c r="AC54" i="30"/>
  <c r="Y81" i="30"/>
  <c r="W59" i="30"/>
  <c r="AD52" i="30"/>
  <c r="I132" i="30" s="1"/>
  <c r="L132" i="30" s="1"/>
  <c r="D149" i="30" s="1"/>
  <c r="AC67" i="30"/>
  <c r="AD50" i="30"/>
  <c r="R132" i="30" s="1"/>
  <c r="U132" i="30" s="1"/>
  <c r="G149" i="30" s="1"/>
  <c r="W57" i="30"/>
  <c r="Z67" i="30"/>
  <c r="AA54" i="30"/>
  <c r="Z54" i="30"/>
  <c r="AA67" i="30"/>
  <c r="A132" i="30"/>
  <c r="A114" i="30" s="1"/>
  <c r="A131" i="30"/>
  <c r="A113" i="30" s="1"/>
  <c r="B49" i="30"/>
  <c r="AA61" i="30" l="1"/>
  <c r="AB61" i="30"/>
  <c r="Z61" i="30"/>
  <c r="AJ11" i="32"/>
  <c r="AZ11" i="32"/>
  <c r="BP11" i="32"/>
  <c r="CF11" i="32"/>
  <c r="CV11" i="32"/>
  <c r="M149" i="30"/>
  <c r="D167" i="30"/>
  <c r="K10" i="32"/>
  <c r="J149" i="30"/>
  <c r="AC61" i="30"/>
  <c r="AD58" i="30"/>
  <c r="W65" i="30"/>
  <c r="AB88" i="30"/>
  <c r="AB74" i="30"/>
  <c r="W61" i="30"/>
  <c r="AD60" i="30"/>
  <c r="W67" i="30"/>
  <c r="Y61" i="30"/>
  <c r="AA88" i="30"/>
  <c r="AA74" i="30"/>
  <c r="AC88" i="30"/>
  <c r="AC74" i="30"/>
  <c r="Y102" i="30"/>
  <c r="W64" i="30"/>
  <c r="AD57" i="30"/>
  <c r="AD59" i="30"/>
  <c r="W66" i="30"/>
  <c r="X61" i="30"/>
  <c r="X67" i="30"/>
  <c r="Z74" i="30"/>
  <c r="Z88" i="30"/>
  <c r="H59" i="1"/>
  <c r="W59" i="1" s="1"/>
  <c r="AL59" i="1" s="1"/>
  <c r="G59" i="1"/>
  <c r="AK59" i="1" s="1"/>
  <c r="AZ12" i="32" l="1"/>
  <c r="CV12" i="32"/>
  <c r="AJ12" i="32"/>
  <c r="CF12" i="32"/>
  <c r="D12" i="32"/>
  <c r="BP12" i="32"/>
  <c r="Q10" i="32"/>
  <c r="I133" i="30"/>
  <c r="L133" i="30" s="1"/>
  <c r="D150" i="30" s="1"/>
  <c r="R133" i="30"/>
  <c r="U133" i="30" s="1"/>
  <c r="G150" i="30" s="1"/>
  <c r="X68" i="30"/>
  <c r="X74" i="30"/>
  <c r="X88" i="30"/>
  <c r="AC81" i="30"/>
  <c r="AD66" i="30"/>
  <c r="W73" i="30"/>
  <c r="AC68" i="30"/>
  <c r="AB81" i="30"/>
  <c r="AA81" i="30"/>
  <c r="AB95" i="30"/>
  <c r="AA95" i="30"/>
  <c r="AB68" i="30"/>
  <c r="Z95" i="30"/>
  <c r="W71" i="30"/>
  <c r="AD64" i="30"/>
  <c r="AA68" i="30"/>
  <c r="AC95" i="30"/>
  <c r="Z81" i="30"/>
  <c r="AD65" i="30"/>
  <c r="W72" i="30"/>
  <c r="Z68" i="30"/>
  <c r="W68" i="30"/>
  <c r="W74" i="30"/>
  <c r="AD67" i="30"/>
  <c r="Y68" i="30"/>
  <c r="N161" i="30"/>
  <c r="M150" i="30" l="1"/>
  <c r="D168" i="30"/>
  <c r="K12" i="32"/>
  <c r="J150" i="30"/>
  <c r="I134" i="30"/>
  <c r="L134" i="30" s="1"/>
  <c r="D151" i="30" s="1"/>
  <c r="R134" i="30"/>
  <c r="U134" i="30" s="1"/>
  <c r="G151" i="30" s="1"/>
  <c r="W75" i="30"/>
  <c r="W81" i="30"/>
  <c r="AD74" i="30"/>
  <c r="Y75" i="30"/>
  <c r="AC102" i="30"/>
  <c r="AA102" i="30"/>
  <c r="AD73" i="30"/>
  <c r="W80" i="30"/>
  <c r="AB102" i="30"/>
  <c r="AD72" i="30"/>
  <c r="W79" i="30"/>
  <c r="AC75" i="30"/>
  <c r="W78" i="30"/>
  <c r="AD71" i="30"/>
  <c r="Z102" i="30"/>
  <c r="AA75" i="30"/>
  <c r="X95" i="30"/>
  <c r="X75" i="30"/>
  <c r="X81" i="30"/>
  <c r="Z75" i="30"/>
  <c r="AB75" i="30"/>
  <c r="I12" i="13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F143" i="3" s="1"/>
  <c r="C129" i="3"/>
  <c r="C143" i="3" s="1"/>
  <c r="B107" i="3"/>
  <c r="H106" i="3"/>
  <c r="G106" i="3"/>
  <c r="F106" i="3"/>
  <c r="E106" i="3"/>
  <c r="D106" i="3"/>
  <c r="C106" i="3"/>
  <c r="B80" i="3"/>
  <c r="E71" i="3"/>
  <c r="B166" i="3" s="1"/>
  <c r="C166" i="3" s="1"/>
  <c r="E65" i="3"/>
  <c r="B160" i="3" s="1"/>
  <c r="C160" i="3" s="1"/>
  <c r="B58" i="3"/>
  <c r="D58" i="3" s="1"/>
  <c r="B32" i="3"/>
  <c r="N31" i="3"/>
  <c r="L31" i="3"/>
  <c r="I31" i="3"/>
  <c r="B16" i="3"/>
  <c r="D16" i="3" s="1"/>
  <c r="B13" i="3"/>
  <c r="D13" i="3" s="1"/>
  <c r="B12" i="3"/>
  <c r="D12" i="3" s="1"/>
  <c r="B11" i="3"/>
  <c r="D11" i="3" s="1"/>
  <c r="B10" i="3"/>
  <c r="D10" i="3" s="1"/>
  <c r="B9" i="3"/>
  <c r="D9" i="3" s="1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H12" i="11"/>
  <c r="H11" i="11"/>
  <c r="G30" i="10"/>
  <c r="G29" i="10"/>
  <c r="G28" i="10"/>
  <c r="K18" i="10"/>
  <c r="K17" i="10"/>
  <c r="E3" i="10"/>
  <c r="AD15" i="17"/>
  <c r="AD14" i="17"/>
  <c r="AD13" i="17"/>
  <c r="AD12" i="17"/>
  <c r="AD11" i="17"/>
  <c r="AD10" i="17"/>
  <c r="AD9" i="17"/>
  <c r="C53" i="34"/>
  <c r="B53" i="34"/>
  <c r="A53" i="34"/>
  <c r="C52" i="34"/>
  <c r="B52" i="34"/>
  <c r="A52" i="34"/>
  <c r="C51" i="34"/>
  <c r="B51" i="34"/>
  <c r="A51" i="34"/>
  <c r="B15" i="34"/>
  <c r="E15" i="34" s="1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D4" i="39"/>
  <c r="A161" i="30"/>
  <c r="A143" i="30"/>
  <c r="A134" i="30"/>
  <c r="A116" i="30" s="1"/>
  <c r="A133" i="30"/>
  <c r="A115" i="30" s="1"/>
  <c r="A130" i="30"/>
  <c r="A112" i="30" s="1"/>
  <c r="A129" i="30"/>
  <c r="A111" i="30" s="1"/>
  <c r="A128" i="30"/>
  <c r="A110" i="30" s="1"/>
  <c r="A127" i="30"/>
  <c r="A109" i="30" s="1"/>
  <c r="A126" i="30"/>
  <c r="A108" i="30" s="1"/>
  <c r="B35" i="30"/>
  <c r="B28" i="30"/>
  <c r="B21" i="30"/>
  <c r="B14" i="30"/>
  <c r="B7" i="30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5" i="37"/>
  <c r="A4" i="37"/>
  <c r="A2" i="37"/>
  <c r="B25" i="35"/>
  <c r="E111" i="1"/>
  <c r="B9" i="28"/>
  <c r="D9" i="28" s="1"/>
  <c r="B8" i="28"/>
  <c r="D8" i="28" s="1"/>
  <c r="B7" i="28"/>
  <c r="B6" i="28"/>
  <c r="B5" i="28"/>
  <c r="D5" i="28" s="1"/>
  <c r="F15" i="17"/>
  <c r="F14" i="17"/>
  <c r="F13" i="17"/>
  <c r="F12" i="17"/>
  <c r="F11" i="17"/>
  <c r="F10" i="17"/>
  <c r="F9" i="17"/>
  <c r="D24" i="16"/>
  <c r="D23" i="16"/>
  <c r="D22" i="16"/>
  <c r="D21" i="16"/>
  <c r="D20" i="16"/>
  <c r="D19" i="16"/>
  <c r="D18" i="16"/>
  <c r="C87" i="1"/>
  <c r="C96" i="1" s="1"/>
  <c r="F10" i="18"/>
  <c r="F9" i="18"/>
  <c r="F8" i="18"/>
  <c r="F7" i="18"/>
  <c r="F6" i="18"/>
  <c r="F5" i="18"/>
  <c r="E4" i="18"/>
  <c r="F4" i="18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F59" i="1"/>
  <c r="U59" i="1" s="1"/>
  <c r="AJ59" i="1" s="1"/>
  <c r="E59" i="1"/>
  <c r="T59" i="1" s="1"/>
  <c r="AI59" i="1" s="1"/>
  <c r="D59" i="1"/>
  <c r="S59" i="1" s="1"/>
  <c r="AH59" i="1" s="1"/>
  <c r="T7" i="30"/>
  <c r="S7" i="30"/>
  <c r="R7" i="30"/>
  <c r="Q7" i="30"/>
  <c r="N7" i="30"/>
  <c r="K7" i="30"/>
  <c r="J7" i="30"/>
  <c r="I7" i="30"/>
  <c r="H7" i="30"/>
  <c r="E7" i="30"/>
  <c r="C59" i="1"/>
  <c r="R59" i="1" s="1"/>
  <c r="AG59" i="1" s="1"/>
  <c r="D10" i="41"/>
  <c r="M161" i="30"/>
  <c r="L161" i="30"/>
  <c r="K161" i="30"/>
  <c r="B11" i="18"/>
  <c r="D169" i="30" l="1"/>
  <c r="CV13" i="32"/>
  <c r="CF13" i="32"/>
  <c r="BP13" i="32"/>
  <c r="AZ13" i="32"/>
  <c r="AJ13" i="32"/>
  <c r="D13" i="32"/>
  <c r="Q12" i="32"/>
  <c r="X82" i="30"/>
  <c r="M151" i="30"/>
  <c r="J151" i="30"/>
  <c r="I135" i="30"/>
  <c r="L135" i="30" s="1"/>
  <c r="D152" i="30" s="1"/>
  <c r="R135" i="30"/>
  <c r="U135" i="30" s="1"/>
  <c r="G152" i="30" s="1"/>
  <c r="AA82" i="30"/>
  <c r="AD79" i="30"/>
  <c r="W86" i="30"/>
  <c r="AC82" i="30"/>
  <c r="AB82" i="30"/>
  <c r="AD78" i="30"/>
  <c r="W85" i="30"/>
  <c r="W87" i="30"/>
  <c r="AD80" i="30"/>
  <c r="W82" i="30"/>
  <c r="AD81" i="30"/>
  <c r="W88" i="30"/>
  <c r="Y82" i="30"/>
  <c r="X102" i="30"/>
  <c r="Z82" i="30"/>
  <c r="B202" i="3"/>
  <c r="E202" i="3"/>
  <c r="C202" i="3"/>
  <c r="E58" i="3"/>
  <c r="B153" i="3" s="1"/>
  <c r="G166" i="3"/>
  <c r="F166" i="3"/>
  <c r="D166" i="3"/>
  <c r="H166" i="3" s="1"/>
  <c r="E166" i="3"/>
  <c r="I166" i="3" s="1"/>
  <c r="D160" i="3"/>
  <c r="G160" i="3"/>
  <c r="F160" i="3"/>
  <c r="E160" i="3"/>
  <c r="E143" i="3"/>
  <c r="I143" i="3" s="1"/>
  <c r="L143" i="3" s="1"/>
  <c r="D137" i="3"/>
  <c r="F137" i="3" s="1"/>
  <c r="D136" i="3"/>
  <c r="D135" i="3"/>
  <c r="D142" i="3"/>
  <c r="D134" i="3"/>
  <c r="F134" i="3" s="1"/>
  <c r="D141" i="3"/>
  <c r="D133" i="3"/>
  <c r="D140" i="3"/>
  <c r="D132" i="3"/>
  <c r="D139" i="3"/>
  <c r="D131" i="3"/>
  <c r="D138" i="3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75" i="1"/>
  <c r="H4" i="10"/>
  <c r="H6" i="10" s="1"/>
  <c r="F13" i="10" s="1"/>
  <c r="F65" i="3"/>
  <c r="D7" i="28"/>
  <c r="C90" i="1"/>
  <c r="C99" i="1" s="1"/>
  <c r="G31" i="10"/>
  <c r="E44" i="10" s="1"/>
  <c r="A6" i="29"/>
  <c r="B211" i="1" s="1"/>
  <c r="A19" i="29"/>
  <c r="A11" i="19"/>
  <c r="D6" i="28"/>
  <c r="E59" i="3"/>
  <c r="B154" i="3" s="1"/>
  <c r="C154" i="3" s="1"/>
  <c r="E61" i="3"/>
  <c r="B156" i="3" s="1"/>
  <c r="C156" i="3" s="1"/>
  <c r="E62" i="3"/>
  <c r="B157" i="3" s="1"/>
  <c r="C157" i="3" s="1"/>
  <c r="E60" i="3"/>
  <c r="B155" i="3" s="1"/>
  <c r="C155" i="3" s="1"/>
  <c r="D77" i="1"/>
  <c r="AA12" i="17"/>
  <c r="AA14" i="17"/>
  <c r="C6" i="18"/>
  <c r="E5" i="18"/>
  <c r="E9" i="18"/>
  <c r="BE11" i="17"/>
  <c r="BE13" i="17"/>
  <c r="BE15" i="17"/>
  <c r="F53" i="34"/>
  <c r="D15" i="18"/>
  <c r="W12" i="17"/>
  <c r="X12" i="17" s="1"/>
  <c r="Y12" i="17" s="1"/>
  <c r="W10" i="17"/>
  <c r="X10" i="17" s="1"/>
  <c r="Y10" i="17" s="1"/>
  <c r="B54" i="34"/>
  <c r="W14" i="17"/>
  <c r="X14" i="17" s="1"/>
  <c r="Y14" i="17" s="1"/>
  <c r="B14" i="18"/>
  <c r="F52" i="34"/>
  <c r="K15" i="10"/>
  <c r="E10" i="18"/>
  <c r="F51" i="34"/>
  <c r="C54" i="34"/>
  <c r="BE9" i="17"/>
  <c r="AA10" i="17"/>
  <c r="C31" i="18"/>
  <c r="V10" i="17"/>
  <c r="Z10" i="17"/>
  <c r="V12" i="17"/>
  <c r="Z12" i="17"/>
  <c r="V14" i="17"/>
  <c r="Z14" i="17"/>
  <c r="B10" i="18"/>
  <c r="B16" i="18"/>
  <c r="C23" i="18"/>
  <c r="V9" i="17"/>
  <c r="Z9" i="17"/>
  <c r="V11" i="17"/>
  <c r="Z11" i="17"/>
  <c r="V13" i="17"/>
  <c r="Z13" i="17"/>
  <c r="V15" i="17"/>
  <c r="Z15" i="17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W9" i="17"/>
  <c r="X9" i="17" s="1"/>
  <c r="Y9" i="17" s="1"/>
  <c r="AA9" i="17"/>
  <c r="BE10" i="17"/>
  <c r="W11" i="17"/>
  <c r="X11" i="17" s="1"/>
  <c r="Y11" i="17" s="1"/>
  <c r="AA11" i="17"/>
  <c r="BE12" i="17"/>
  <c r="W13" i="17"/>
  <c r="X13" i="17" s="1"/>
  <c r="Y13" i="17" s="1"/>
  <c r="AA13" i="17"/>
  <c r="BE14" i="17"/>
  <c r="W15" i="17"/>
  <c r="X15" i="17" s="1"/>
  <c r="Y15" i="17" s="1"/>
  <c r="AA15" i="17"/>
  <c r="B8" i="18"/>
  <c r="C27" i="18"/>
  <c r="D94" i="1"/>
  <c r="C9" i="3"/>
  <c r="E9" i="3" s="1"/>
  <c r="D31" i="2"/>
  <c r="C8" i="2"/>
  <c r="E8" i="2" s="1"/>
  <c r="E22" i="2" s="1"/>
  <c r="G7" i="30"/>
  <c r="D37" i="14"/>
  <c r="P14" i="17"/>
  <c r="D33" i="14"/>
  <c r="P10" i="17"/>
  <c r="G161" i="30"/>
  <c r="D33" i="2"/>
  <c r="C11" i="3"/>
  <c r="E11" i="3" s="1"/>
  <c r="F4" i="39"/>
  <c r="BN4" i="32"/>
  <c r="D35" i="14"/>
  <c r="P12" i="17"/>
  <c r="J161" i="30"/>
  <c r="AX4" i="32"/>
  <c r="E4" i="39"/>
  <c r="E6" i="18"/>
  <c r="E8" i="18"/>
  <c r="D93" i="1"/>
  <c r="H161" i="30"/>
  <c r="B4" i="39"/>
  <c r="B4" i="32"/>
  <c r="G4" i="39"/>
  <c r="CD4" i="32"/>
  <c r="D78" i="1"/>
  <c r="D88" i="1"/>
  <c r="I161" i="30"/>
  <c r="D32" i="2"/>
  <c r="C10" i="3"/>
  <c r="E10" i="3" s="1"/>
  <c r="D38" i="2"/>
  <c r="C16" i="3"/>
  <c r="E16" i="3" s="1"/>
  <c r="C4" i="39"/>
  <c r="R4" i="32"/>
  <c r="H4" i="39"/>
  <c r="CT4" i="32"/>
  <c r="E7" i="18"/>
  <c r="D79" i="1"/>
  <c r="D32" i="14"/>
  <c r="P9" i="17"/>
  <c r="D34" i="14"/>
  <c r="P11" i="17"/>
  <c r="D36" i="14"/>
  <c r="P13" i="17"/>
  <c r="D38" i="14"/>
  <c r="P15" i="17"/>
  <c r="CF14" i="32" l="1"/>
  <c r="AZ14" i="32"/>
  <c r="CV14" i="32"/>
  <c r="BP14" i="32"/>
  <c r="AJ14" i="32"/>
  <c r="D14" i="32"/>
  <c r="K14" i="32" s="1"/>
  <c r="Q14" i="32" s="1"/>
  <c r="M152" i="30"/>
  <c r="D170" i="30"/>
  <c r="J152" i="30"/>
  <c r="K13" i="32"/>
  <c r="I136" i="30"/>
  <c r="L136" i="30" s="1"/>
  <c r="D153" i="30" s="1"/>
  <c r="R136" i="30"/>
  <c r="U136" i="30" s="1"/>
  <c r="G153" i="30" s="1"/>
  <c r="W89" i="30"/>
  <c r="AD88" i="30"/>
  <c r="W95" i="30"/>
  <c r="Y89" i="30"/>
  <c r="AA89" i="30"/>
  <c r="Z89" i="30"/>
  <c r="AB89" i="30"/>
  <c r="AC89" i="30"/>
  <c r="X89" i="30"/>
  <c r="AD87" i="30"/>
  <c r="W94" i="30"/>
  <c r="W92" i="30"/>
  <c r="AD85" i="30"/>
  <c r="AD86" i="30"/>
  <c r="W93" i="30"/>
  <c r="B167" i="3"/>
  <c r="E135" i="3"/>
  <c r="H158" i="3"/>
  <c r="E138" i="3"/>
  <c r="H161" i="3"/>
  <c r="E140" i="3"/>
  <c r="H163" i="3"/>
  <c r="E142" i="3"/>
  <c r="H165" i="3"/>
  <c r="F139" i="3"/>
  <c r="I162" i="3"/>
  <c r="F141" i="3"/>
  <c r="I164" i="3"/>
  <c r="F136" i="3"/>
  <c r="I159" i="3"/>
  <c r="E136" i="3"/>
  <c r="H159" i="3"/>
  <c r="E139" i="3"/>
  <c r="H162" i="3"/>
  <c r="E141" i="3"/>
  <c r="H164" i="3"/>
  <c r="F138" i="3"/>
  <c r="I161" i="3"/>
  <c r="F140" i="3"/>
  <c r="I163" i="3"/>
  <c r="F142" i="3"/>
  <c r="I165" i="3"/>
  <c r="H160" i="3"/>
  <c r="F135" i="3"/>
  <c r="I158" i="3"/>
  <c r="I160" i="3"/>
  <c r="E130" i="3"/>
  <c r="I137" i="3"/>
  <c r="L137" i="3" s="1"/>
  <c r="D156" i="3"/>
  <c r="H156" i="3" s="1"/>
  <c r="G156" i="3"/>
  <c r="F156" i="3"/>
  <c r="E156" i="3"/>
  <c r="I156" i="3" s="1"/>
  <c r="F155" i="3"/>
  <c r="E155" i="3"/>
  <c r="I155" i="3" s="1"/>
  <c r="D155" i="3"/>
  <c r="G155" i="3"/>
  <c r="G157" i="3"/>
  <c r="F157" i="3"/>
  <c r="D157" i="3"/>
  <c r="H157" i="3" s="1"/>
  <c r="E157" i="3"/>
  <c r="I157" i="3" s="1"/>
  <c r="D154" i="3"/>
  <c r="H154" i="3" s="1"/>
  <c r="G154" i="3"/>
  <c r="F154" i="3"/>
  <c r="E154" i="3"/>
  <c r="I154" i="3" s="1"/>
  <c r="F130" i="3"/>
  <c r="E131" i="3"/>
  <c r="I115" i="3"/>
  <c r="I120" i="3"/>
  <c r="J166" i="3" s="1"/>
  <c r="E132" i="3"/>
  <c r="F131" i="3"/>
  <c r="I117" i="3"/>
  <c r="E134" i="3"/>
  <c r="I134" i="3" s="1"/>
  <c r="L134" i="3" s="1"/>
  <c r="F133" i="3"/>
  <c r="E133" i="3"/>
  <c r="F132" i="3"/>
  <c r="I116" i="3"/>
  <c r="I139" i="3"/>
  <c r="L139" i="3" s="1"/>
  <c r="I114" i="3"/>
  <c r="E109" i="3"/>
  <c r="F109" i="3"/>
  <c r="F111" i="3"/>
  <c r="E111" i="3"/>
  <c r="I118" i="3"/>
  <c r="E110" i="3"/>
  <c r="F110" i="3"/>
  <c r="E108" i="3"/>
  <c r="F108" i="3"/>
  <c r="I119" i="3"/>
  <c r="I112" i="3"/>
  <c r="I113" i="3"/>
  <c r="O11" i="17"/>
  <c r="D6" i="39"/>
  <c r="AM19" i="32"/>
  <c r="AM18" i="32"/>
  <c r="AM17" i="32"/>
  <c r="AM16" i="32"/>
  <c r="AM15" i="32"/>
  <c r="AM14" i="32"/>
  <c r="AM13" i="32"/>
  <c r="AM12" i="32"/>
  <c r="AM11" i="32"/>
  <c r="AM10" i="32"/>
  <c r="AM9" i="32"/>
  <c r="AM8" i="32"/>
  <c r="AM7" i="32"/>
  <c r="AM6" i="32"/>
  <c r="AK19" i="32"/>
  <c r="AK18" i="32"/>
  <c r="AK17" i="32"/>
  <c r="AK16" i="32"/>
  <c r="AK15" i="32"/>
  <c r="AK14" i="32"/>
  <c r="AK13" i="32"/>
  <c r="AQ13" i="32" s="1"/>
  <c r="AK12" i="32"/>
  <c r="AQ12" i="32" s="1"/>
  <c r="AK11" i="32"/>
  <c r="AQ11" i="32" s="1"/>
  <c r="AK10" i="32"/>
  <c r="AQ10" i="32" s="1"/>
  <c r="AK9" i="32"/>
  <c r="AQ9" i="32" s="1"/>
  <c r="AK8" i="32"/>
  <c r="AQ8" i="32" s="1"/>
  <c r="AK7" i="32"/>
  <c r="AQ7" i="32" s="1"/>
  <c r="AK6" i="32"/>
  <c r="AQ6" i="32" s="1"/>
  <c r="N11" i="17"/>
  <c r="R11" i="17" s="1"/>
  <c r="BS17" i="32"/>
  <c r="BS13" i="32"/>
  <c r="BW13" i="32" s="1"/>
  <c r="BS9" i="32"/>
  <c r="BW9" i="32" s="1"/>
  <c r="BQ18" i="32"/>
  <c r="BQ10" i="32"/>
  <c r="BQ17" i="32"/>
  <c r="BQ9" i="32"/>
  <c r="BS16" i="32"/>
  <c r="BS12" i="32"/>
  <c r="BW12" i="32" s="1"/>
  <c r="BS8" i="32"/>
  <c r="BW8" i="32" s="1"/>
  <c r="BQ16" i="32"/>
  <c r="BQ8" i="32"/>
  <c r="N13" i="17"/>
  <c r="BS19" i="32"/>
  <c r="BS15" i="32"/>
  <c r="BS11" i="32"/>
  <c r="BW11" i="32" s="1"/>
  <c r="BS7" i="32"/>
  <c r="BW7" i="32" s="1"/>
  <c r="BQ14" i="32"/>
  <c r="BQ6" i="32"/>
  <c r="O13" i="17"/>
  <c r="BQ13" i="32"/>
  <c r="BS18" i="32"/>
  <c r="BS14" i="32"/>
  <c r="BS10" i="32"/>
  <c r="BW10" i="32" s="1"/>
  <c r="BS6" i="32"/>
  <c r="BW6" i="32" s="1"/>
  <c r="BQ12" i="32"/>
  <c r="F6" i="39"/>
  <c r="BQ19" i="32"/>
  <c r="BQ15" i="32"/>
  <c r="BQ11" i="32"/>
  <c r="BQ7" i="32"/>
  <c r="CI15" i="32"/>
  <c r="CI12" i="32"/>
  <c r="CI17" i="32"/>
  <c r="CI9" i="32"/>
  <c r="CG16" i="32"/>
  <c r="CG12" i="32"/>
  <c r="CG8" i="32"/>
  <c r="CI14" i="32"/>
  <c r="CI6" i="32"/>
  <c r="O14" i="17"/>
  <c r="CI16" i="32"/>
  <c r="CI8" i="32"/>
  <c r="CI13" i="32"/>
  <c r="CG18" i="32"/>
  <c r="CG14" i="32"/>
  <c r="CG10" i="32"/>
  <c r="CG6" i="32"/>
  <c r="G6" i="39"/>
  <c r="CI18" i="32"/>
  <c r="CI10" i="32"/>
  <c r="CG13" i="32"/>
  <c r="CI11" i="32"/>
  <c r="CG11" i="32"/>
  <c r="CG9" i="32"/>
  <c r="CG7" i="32"/>
  <c r="N14" i="17"/>
  <c r="CI7" i="32"/>
  <c r="CI19" i="32"/>
  <c r="CG19" i="32"/>
  <c r="CG17" i="32"/>
  <c r="CG15" i="32"/>
  <c r="CY17" i="32"/>
  <c r="CW17" i="32"/>
  <c r="CY14" i="32"/>
  <c r="CW9" i="32"/>
  <c r="DC9" i="32" s="1"/>
  <c r="CY6" i="32"/>
  <c r="CY19" i="32"/>
  <c r="CW14" i="32"/>
  <c r="CY11" i="32"/>
  <c r="CW6" i="32"/>
  <c r="DC6" i="32" s="1"/>
  <c r="DI6" i="32" s="1"/>
  <c r="N15" i="17"/>
  <c r="CW19" i="32"/>
  <c r="CY16" i="32"/>
  <c r="CW11" i="32"/>
  <c r="DC11" i="32" s="1"/>
  <c r="CY8" i="32"/>
  <c r="CY18" i="32"/>
  <c r="CW13" i="32"/>
  <c r="DC13" i="32" s="1"/>
  <c r="CY10" i="32"/>
  <c r="CW18" i="32"/>
  <c r="CY15" i="32"/>
  <c r="CW10" i="32"/>
  <c r="DC10" i="32" s="1"/>
  <c r="CY7" i="32"/>
  <c r="CW15" i="32"/>
  <c r="CY12" i="32"/>
  <c r="CW7" i="32"/>
  <c r="DC7" i="32" s="1"/>
  <c r="CW12" i="32"/>
  <c r="DC12" i="32" s="1"/>
  <c r="H6" i="39"/>
  <c r="CY9" i="32"/>
  <c r="O15" i="17"/>
  <c r="CW8" i="32"/>
  <c r="DC8" i="32" s="1"/>
  <c r="CW16" i="32"/>
  <c r="CY13" i="32"/>
  <c r="Y151" i="30"/>
  <c r="AA144" i="30"/>
  <c r="W151" i="30"/>
  <c r="Y144" i="30"/>
  <c r="U151" i="30"/>
  <c r="W144" i="30"/>
  <c r="AC151" i="30"/>
  <c r="AC144" i="30"/>
  <c r="S151" i="30"/>
  <c r="U144" i="30"/>
  <c r="S144" i="30"/>
  <c r="AE144" i="30"/>
  <c r="AE151" i="30"/>
  <c r="AA151" i="30"/>
  <c r="W148" i="30"/>
  <c r="W153" i="30"/>
  <c r="W146" i="30"/>
  <c r="W155" i="30"/>
  <c r="W154" i="30"/>
  <c r="W149" i="30"/>
  <c r="W147" i="30"/>
  <c r="W156" i="30"/>
  <c r="Y146" i="30"/>
  <c r="AA149" i="30"/>
  <c r="Y155" i="30"/>
  <c r="Y147" i="30"/>
  <c r="AE148" i="30"/>
  <c r="AE149" i="30"/>
  <c r="AC149" i="30"/>
  <c r="AE146" i="30"/>
  <c r="Y149" i="30"/>
  <c r="Y156" i="30"/>
  <c r="AE147" i="30"/>
  <c r="AE155" i="30"/>
  <c r="AA148" i="30"/>
  <c r="AC154" i="30"/>
  <c r="AE156" i="30"/>
  <c r="Y153" i="30"/>
  <c r="AA146" i="30"/>
  <c r="AA153" i="30"/>
  <c r="AC156" i="30"/>
  <c r="AE154" i="30"/>
  <c r="AE153" i="30"/>
  <c r="AA147" i="30"/>
  <c r="AC153" i="30"/>
  <c r="AC146" i="30"/>
  <c r="AC148" i="30"/>
  <c r="AC155" i="30"/>
  <c r="AC147" i="30"/>
  <c r="AA154" i="30"/>
  <c r="AA156" i="30"/>
  <c r="Y154" i="30"/>
  <c r="Y148" i="30"/>
  <c r="AA155" i="30"/>
  <c r="U155" i="30"/>
  <c r="U146" i="30"/>
  <c r="S147" i="30"/>
  <c r="U154" i="30"/>
  <c r="S156" i="30"/>
  <c r="U156" i="30"/>
  <c r="U153" i="30"/>
  <c r="S154" i="30"/>
  <c r="S155" i="30"/>
  <c r="U147" i="30"/>
  <c r="S153" i="30"/>
  <c r="S146" i="30"/>
  <c r="S148" i="30"/>
  <c r="U148" i="30"/>
  <c r="U149" i="30"/>
  <c r="S149" i="30"/>
  <c r="N134" i="30"/>
  <c r="N136" i="30"/>
  <c r="Q136" i="30" s="1"/>
  <c r="N135" i="30"/>
  <c r="Q135" i="30" s="1"/>
  <c r="N138" i="30"/>
  <c r="Q138" i="30" s="1"/>
  <c r="E135" i="30"/>
  <c r="H135" i="30" s="1"/>
  <c r="N133" i="30"/>
  <c r="E134" i="30"/>
  <c r="N137" i="30"/>
  <c r="Q137" i="30" s="1"/>
  <c r="E138" i="30"/>
  <c r="H138" i="30" s="1"/>
  <c r="E137" i="30"/>
  <c r="H137" i="30" s="1"/>
  <c r="N128" i="30"/>
  <c r="E139" i="30"/>
  <c r="H139" i="30" s="1"/>
  <c r="N139" i="30"/>
  <c r="Q139" i="30" s="1"/>
  <c r="E128" i="30"/>
  <c r="E136" i="30"/>
  <c r="H136" i="30" s="1"/>
  <c r="E133" i="30"/>
  <c r="N131" i="30"/>
  <c r="N130" i="30"/>
  <c r="N127" i="30"/>
  <c r="E129" i="30"/>
  <c r="N132" i="30"/>
  <c r="E127" i="30"/>
  <c r="E132" i="30"/>
  <c r="N129" i="30"/>
  <c r="E130" i="30"/>
  <c r="E131" i="30"/>
  <c r="M134" i="30"/>
  <c r="M136" i="30"/>
  <c r="P136" i="30" s="1"/>
  <c r="M135" i="30"/>
  <c r="P135" i="30" s="1"/>
  <c r="M138" i="30"/>
  <c r="D135" i="30"/>
  <c r="G135" i="30" s="1"/>
  <c r="D134" i="30"/>
  <c r="M133" i="30"/>
  <c r="M137" i="30"/>
  <c r="P137" i="30" s="1"/>
  <c r="D137" i="30"/>
  <c r="G137" i="30" s="1"/>
  <c r="D138" i="30"/>
  <c r="M128" i="30"/>
  <c r="D139" i="30"/>
  <c r="M139" i="30"/>
  <c r="D128" i="30"/>
  <c r="D133" i="30"/>
  <c r="D136" i="30"/>
  <c r="G136" i="30" s="1"/>
  <c r="M130" i="30"/>
  <c r="M127" i="30"/>
  <c r="M131" i="30"/>
  <c r="D130" i="30"/>
  <c r="D132" i="30"/>
  <c r="M129" i="30"/>
  <c r="D129" i="30"/>
  <c r="D131" i="30"/>
  <c r="M132" i="30"/>
  <c r="D127" i="30"/>
  <c r="AE72" i="30"/>
  <c r="D41" i="3" s="1"/>
  <c r="AF71" i="30"/>
  <c r="D89" i="3" s="1"/>
  <c r="AE71" i="30"/>
  <c r="AE79" i="30"/>
  <c r="D42" i="3" s="1"/>
  <c r="AF78" i="30"/>
  <c r="D90" i="3" s="1"/>
  <c r="AE78" i="30"/>
  <c r="AE74" i="30"/>
  <c r="AE81" i="30"/>
  <c r="M126" i="30"/>
  <c r="AE86" i="30"/>
  <c r="D43" i="3" s="1"/>
  <c r="AE85" i="30"/>
  <c r="AE88" i="30"/>
  <c r="AF85" i="30"/>
  <c r="D91" i="3" s="1"/>
  <c r="A10" i="18"/>
  <c r="A26" i="18" s="1"/>
  <c r="F107" i="3"/>
  <c r="E107" i="3"/>
  <c r="F60" i="3"/>
  <c r="F59" i="3"/>
  <c r="C91" i="1"/>
  <c r="C100" i="1" s="1"/>
  <c r="D76" i="1"/>
  <c r="C92" i="1"/>
  <c r="C101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C153" i="3"/>
  <c r="C167" i="3" s="1"/>
  <c r="F58" i="3"/>
  <c r="H4" i="18"/>
  <c r="H5" i="18"/>
  <c r="B6" i="29"/>
  <c r="B19" i="29"/>
  <c r="A11" i="17"/>
  <c r="B20" i="16"/>
  <c r="C20" i="16" s="1"/>
  <c r="D90" i="1"/>
  <c r="D99" i="1"/>
  <c r="H118" i="1" s="1"/>
  <c r="H11" i="13" s="1"/>
  <c r="J11" i="13" s="1"/>
  <c r="L11" i="13" s="1"/>
  <c r="M11" i="13" s="1"/>
  <c r="B34" i="14"/>
  <c r="E34" i="14" s="1"/>
  <c r="A6" i="18"/>
  <c r="A22" i="18" s="1"/>
  <c r="A13" i="19"/>
  <c r="D92" i="1"/>
  <c r="A8" i="29"/>
  <c r="B213" i="1" s="1"/>
  <c r="A21" i="29"/>
  <c r="H20" i="18"/>
  <c r="I20" i="18" s="1"/>
  <c r="F54" i="34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17" i="29"/>
  <c r="A9" i="19"/>
  <c r="A4" i="29"/>
  <c r="B209" i="1" s="1"/>
  <c r="C97" i="1"/>
  <c r="E13" i="34"/>
  <c r="C14" i="34"/>
  <c r="E14" i="34" s="1"/>
  <c r="C93" i="1"/>
  <c r="C102" i="1" s="1"/>
  <c r="A14" i="19"/>
  <c r="A22" i="29"/>
  <c r="A9" i="29"/>
  <c r="B214" i="1" s="1"/>
  <c r="C89" i="1"/>
  <c r="C98" i="1" s="1"/>
  <c r="A10" i="19"/>
  <c r="A18" i="29"/>
  <c r="A5" i="29"/>
  <c r="B210" i="1" s="1"/>
  <c r="E12" i="34"/>
  <c r="A10" i="29"/>
  <c r="B215" i="1" s="1"/>
  <c r="A15" i="19"/>
  <c r="A23" i="29"/>
  <c r="C94" i="1"/>
  <c r="C103" i="1" s="1"/>
  <c r="A7" i="29"/>
  <c r="B212" i="1" s="1"/>
  <c r="A12" i="19"/>
  <c r="A20" i="29"/>
  <c r="N126" i="30"/>
  <c r="B172" i="1"/>
  <c r="G172" i="1" s="1"/>
  <c r="B173" i="1"/>
  <c r="G173" i="1" s="1"/>
  <c r="AQ14" i="32" l="1"/>
  <c r="DI8" i="32"/>
  <c r="DI12" i="32"/>
  <c r="DI11" i="32"/>
  <c r="DI7" i="32"/>
  <c r="DI10" i="32"/>
  <c r="AW8" i="32"/>
  <c r="DI9" i="32"/>
  <c r="DC14" i="32"/>
  <c r="DI14" i="32" s="1"/>
  <c r="BW14" i="32"/>
  <c r="BZ14" i="32" s="1"/>
  <c r="D171" i="30"/>
  <c r="J153" i="30"/>
  <c r="AZ15" i="32"/>
  <c r="CV15" i="32"/>
  <c r="DC15" i="32" s="1"/>
  <c r="DI15" i="32" s="1"/>
  <c r="BP15" i="32"/>
  <c r="AJ15" i="32"/>
  <c r="AQ15" i="32" s="1"/>
  <c r="AW15" i="32" s="1"/>
  <c r="D15" i="32"/>
  <c r="CF15" i="32"/>
  <c r="CM15" i="32" s="1"/>
  <c r="CS15" i="32" s="1"/>
  <c r="DI13" i="32"/>
  <c r="Q13" i="32"/>
  <c r="CM12" i="32"/>
  <c r="CS12" i="32" s="1"/>
  <c r="CM13" i="32"/>
  <c r="CS13" i="32" s="1"/>
  <c r="CM7" i="32"/>
  <c r="CS7" i="32" s="1"/>
  <c r="CM6" i="32"/>
  <c r="CM9" i="32"/>
  <c r="CS9" i="32" s="1"/>
  <c r="CM10" i="32"/>
  <c r="CS10" i="32" s="1"/>
  <c r="CM11" i="32"/>
  <c r="CS11" i="32" s="1"/>
  <c r="CM14" i="32"/>
  <c r="CS14" i="32" s="1"/>
  <c r="CM8" i="32"/>
  <c r="CS8" i="32" s="1"/>
  <c r="AW14" i="32"/>
  <c r="AW7" i="32"/>
  <c r="CC9" i="32"/>
  <c r="BZ9" i="32"/>
  <c r="CC8" i="32"/>
  <c r="BZ8" i="32"/>
  <c r="CC13" i="32"/>
  <c r="BZ13" i="32"/>
  <c r="BZ6" i="32"/>
  <c r="CC6" i="32"/>
  <c r="CC7" i="32"/>
  <c r="BZ7" i="32"/>
  <c r="BZ12" i="32"/>
  <c r="CC12" i="32"/>
  <c r="CC10" i="32"/>
  <c r="BZ10" i="32"/>
  <c r="CC11" i="32"/>
  <c r="BZ11" i="32"/>
  <c r="AW9" i="32"/>
  <c r="AW10" i="32"/>
  <c r="AW11" i="32"/>
  <c r="AW12" i="32"/>
  <c r="AW13" i="32"/>
  <c r="AW6" i="32"/>
  <c r="M153" i="30"/>
  <c r="I137" i="30"/>
  <c r="L137" i="30" s="1"/>
  <c r="D154" i="30" s="1"/>
  <c r="R137" i="30"/>
  <c r="U137" i="30" s="1"/>
  <c r="G154" i="30" s="1"/>
  <c r="AD93" i="30"/>
  <c r="W100" i="30"/>
  <c r="AD100" i="30" s="1"/>
  <c r="W99" i="30"/>
  <c r="AD99" i="30" s="1"/>
  <c r="AD92" i="30"/>
  <c r="AD94" i="30"/>
  <c r="W101" i="30"/>
  <c r="AD101" i="30" s="1"/>
  <c r="W96" i="30"/>
  <c r="W102" i="30"/>
  <c r="AD95" i="30"/>
  <c r="Y96" i="30"/>
  <c r="AB96" i="30"/>
  <c r="Z96" i="30"/>
  <c r="AC96" i="30"/>
  <c r="AA96" i="30"/>
  <c r="X96" i="30"/>
  <c r="H155" i="3"/>
  <c r="I141" i="3"/>
  <c r="L141" i="3" s="1"/>
  <c r="I140" i="3"/>
  <c r="L140" i="3" s="1"/>
  <c r="I142" i="3"/>
  <c r="L142" i="3" s="1"/>
  <c r="I138" i="3"/>
  <c r="L138" i="3" s="1"/>
  <c r="J158" i="3"/>
  <c r="K182" i="3" s="1"/>
  <c r="J162" i="3"/>
  <c r="I136" i="3"/>
  <c r="L136" i="3" s="1"/>
  <c r="I135" i="3"/>
  <c r="L135" i="3" s="1"/>
  <c r="J159" i="3"/>
  <c r="J160" i="3"/>
  <c r="J163" i="3"/>
  <c r="J161" i="3"/>
  <c r="J165" i="3"/>
  <c r="J164" i="3"/>
  <c r="I130" i="3"/>
  <c r="L130" i="3" s="1"/>
  <c r="I111" i="3"/>
  <c r="J157" i="3" s="1"/>
  <c r="I133" i="3"/>
  <c r="L133" i="3" s="1"/>
  <c r="I132" i="3"/>
  <c r="I131" i="3"/>
  <c r="I108" i="3"/>
  <c r="J154" i="3" s="1"/>
  <c r="I110" i="3"/>
  <c r="J156" i="3" s="1"/>
  <c r="I109" i="3"/>
  <c r="BA19" i="32"/>
  <c r="BA18" i="32"/>
  <c r="BA17" i="32"/>
  <c r="BA16" i="32"/>
  <c r="BA15" i="32"/>
  <c r="BA14" i="32"/>
  <c r="BA13" i="32"/>
  <c r="BA12" i="32"/>
  <c r="BA11" i="32"/>
  <c r="BA10" i="32"/>
  <c r="BA9" i="32"/>
  <c r="BA8" i="32"/>
  <c r="BA7" i="32"/>
  <c r="BA6" i="32"/>
  <c r="E6" i="39"/>
  <c r="N12" i="17"/>
  <c r="R12" i="17" s="1"/>
  <c r="O12" i="17"/>
  <c r="BC16" i="32"/>
  <c r="BC12" i="32"/>
  <c r="BG12" i="32" s="1"/>
  <c r="BC8" i="32"/>
  <c r="BG8" i="32" s="1"/>
  <c r="BM8" i="32" s="1"/>
  <c r="BC19" i="32"/>
  <c r="BC15" i="32"/>
  <c r="BC11" i="32"/>
  <c r="BG11" i="32" s="1"/>
  <c r="BC7" i="32"/>
  <c r="BG7" i="32" s="1"/>
  <c r="BC18" i="32"/>
  <c r="BC14" i="32"/>
  <c r="BG14" i="32" s="1"/>
  <c r="BM14" i="32" s="1"/>
  <c r="BC10" i="32"/>
  <c r="BG10" i="32" s="1"/>
  <c r="BC6" i="32"/>
  <c r="BG6" i="32" s="1"/>
  <c r="BC17" i="32"/>
  <c r="BC13" i="32"/>
  <c r="BG13" i="32" s="1"/>
  <c r="BC9" i="32"/>
  <c r="BG9" i="32" s="1"/>
  <c r="B23" i="11"/>
  <c r="I6" i="29"/>
  <c r="AG11" i="17"/>
  <c r="AF11" i="17"/>
  <c r="B11" i="17"/>
  <c r="F173" i="1"/>
  <c r="H173" i="1"/>
  <c r="E173" i="1"/>
  <c r="E172" i="1"/>
  <c r="H172" i="1"/>
  <c r="F172" i="1"/>
  <c r="A43" i="34"/>
  <c r="A42" i="34"/>
  <c r="E74" i="14"/>
  <c r="H75" i="14" s="1"/>
  <c r="K75" i="14" s="1"/>
  <c r="I31" i="18"/>
  <c r="I30" i="18"/>
  <c r="I32" i="18"/>
  <c r="D91" i="1"/>
  <c r="I21" i="18"/>
  <c r="D89" i="1"/>
  <c r="A41" i="34"/>
  <c r="D34" i="41"/>
  <c r="B174" i="1"/>
  <c r="G174" i="1" s="1"/>
  <c r="B175" i="1"/>
  <c r="G175" i="1" s="1"/>
  <c r="B176" i="1"/>
  <c r="G176" i="1" s="1"/>
  <c r="T11" i="17"/>
  <c r="L57" i="30"/>
  <c r="G133" i="30" s="1"/>
  <c r="D101" i="1"/>
  <c r="J118" i="1" s="1"/>
  <c r="L64" i="30"/>
  <c r="G134" i="30" s="1"/>
  <c r="E113" i="1"/>
  <c r="C8" i="13" s="1"/>
  <c r="E21" i="14"/>
  <c r="H21" i="14" s="1"/>
  <c r="B11" i="19"/>
  <c r="I107" i="3"/>
  <c r="G153" i="3"/>
  <c r="F153" i="3"/>
  <c r="A13" i="17"/>
  <c r="A8" i="18"/>
  <c r="A24" i="18" s="1"/>
  <c r="B22" i="16"/>
  <c r="C22" i="16" s="1"/>
  <c r="B21" i="29"/>
  <c r="E153" i="3"/>
  <c r="D153" i="3"/>
  <c r="H153" i="3" s="1"/>
  <c r="B8" i="29"/>
  <c r="B36" i="14"/>
  <c r="E36" i="14" s="1"/>
  <c r="R13" i="17"/>
  <c r="I61" i="30"/>
  <c r="O4" i="18"/>
  <c r="U58" i="30"/>
  <c r="K68" i="30"/>
  <c r="G61" i="30"/>
  <c r="L65" i="30"/>
  <c r="O61" i="30"/>
  <c r="L59" i="30"/>
  <c r="U65" i="30"/>
  <c r="E68" i="30"/>
  <c r="L67" i="30"/>
  <c r="H68" i="30"/>
  <c r="U60" i="30"/>
  <c r="U66" i="30"/>
  <c r="R68" i="30"/>
  <c r="S61" i="30"/>
  <c r="F14" i="20"/>
  <c r="T61" i="30"/>
  <c r="U59" i="30"/>
  <c r="L58" i="30"/>
  <c r="O68" i="30"/>
  <c r="N68" i="30"/>
  <c r="U67" i="30"/>
  <c r="P68" i="30"/>
  <c r="B19" i="16"/>
  <c r="C19" i="16" s="1"/>
  <c r="B33" i="14"/>
  <c r="E33" i="14" s="1"/>
  <c r="A5" i="18"/>
  <c r="A21" i="18" s="1"/>
  <c r="A10" i="17"/>
  <c r="R10" i="17"/>
  <c r="B5" i="29"/>
  <c r="D98" i="1"/>
  <c r="G118" i="1" s="1"/>
  <c r="H10" i="13" s="1"/>
  <c r="J10" i="13" s="1"/>
  <c r="L10" i="13" s="1"/>
  <c r="M10" i="13" s="1"/>
  <c r="B18" i="29"/>
  <c r="B23" i="16"/>
  <c r="C23" i="16" s="1"/>
  <c r="B37" i="14"/>
  <c r="E37" i="14" s="1"/>
  <c r="A9" i="18"/>
  <c r="A25" i="18" s="1"/>
  <c r="R14" i="17"/>
  <c r="A14" i="17"/>
  <c r="B9" i="29"/>
  <c r="D102" i="1"/>
  <c r="K118" i="1" s="1"/>
  <c r="B22" i="29"/>
  <c r="J61" i="30"/>
  <c r="K61" i="30"/>
  <c r="B18" i="16"/>
  <c r="C18" i="16" s="1"/>
  <c r="B32" i="14"/>
  <c r="E32" i="14" s="1"/>
  <c r="A9" i="17"/>
  <c r="A4" i="18"/>
  <c r="A20" i="18" s="1"/>
  <c r="R9" i="17"/>
  <c r="B17" i="29"/>
  <c r="D97" i="1"/>
  <c r="B4" i="29"/>
  <c r="F61" i="30"/>
  <c r="Q68" i="30"/>
  <c r="B24" i="16"/>
  <c r="C24" i="16" s="1"/>
  <c r="B38" i="14"/>
  <c r="E38" i="14" s="1"/>
  <c r="R15" i="17"/>
  <c r="A15" i="17"/>
  <c r="B10" i="29"/>
  <c r="D103" i="1"/>
  <c r="L118" i="1" s="1"/>
  <c r="B23" i="29"/>
  <c r="Q61" i="30"/>
  <c r="P61" i="30"/>
  <c r="B35" i="14"/>
  <c r="E35" i="14" s="1"/>
  <c r="B21" i="16"/>
  <c r="C21" i="16" s="1"/>
  <c r="A7" i="18"/>
  <c r="A23" i="18" s="1"/>
  <c r="A12" i="17"/>
  <c r="B20" i="29"/>
  <c r="B7" i="29"/>
  <c r="D100" i="1"/>
  <c r="I118" i="1" s="1"/>
  <c r="H12" i="13" s="1"/>
  <c r="J12" i="13" s="1"/>
  <c r="L12" i="13" s="1"/>
  <c r="M12" i="13" s="1"/>
  <c r="F68" i="30"/>
  <c r="L66" i="30"/>
  <c r="U57" i="30"/>
  <c r="H133" i="30" s="1"/>
  <c r="J68" i="30"/>
  <c r="R61" i="30"/>
  <c r="H61" i="30"/>
  <c r="E61" i="30"/>
  <c r="L60" i="30"/>
  <c r="U64" i="30"/>
  <c r="H134" i="30" s="1"/>
  <c r="T68" i="30"/>
  <c r="I68" i="30"/>
  <c r="S68" i="30"/>
  <c r="N61" i="30"/>
  <c r="G68" i="30"/>
  <c r="F31" i="34"/>
  <c r="F25" i="34"/>
  <c r="F35" i="34"/>
  <c r="F26" i="34"/>
  <c r="F37" i="34"/>
  <c r="F32" i="34"/>
  <c r="F24" i="34"/>
  <c r="F36" i="34"/>
  <c r="BM10" i="32" l="1"/>
  <c r="CC14" i="32"/>
  <c r="BG15" i="32"/>
  <c r="BM15" i="32" s="1"/>
  <c r="D172" i="30"/>
  <c r="CV16" i="32"/>
  <c r="BP16" i="32"/>
  <c r="BW16" i="32" s="1"/>
  <c r="AJ16" i="32"/>
  <c r="AQ16" i="32" s="1"/>
  <c r="D16" i="32"/>
  <c r="K16" i="32" s="1"/>
  <c r="Q16" i="32" s="1"/>
  <c r="CF16" i="32"/>
  <c r="CM16" i="32" s="1"/>
  <c r="CS16" i="32" s="1"/>
  <c r="AZ16" i="32"/>
  <c r="BG16" i="32" s="1"/>
  <c r="BM16" i="32" s="1"/>
  <c r="K15" i="32"/>
  <c r="BW15" i="32"/>
  <c r="CS6" i="32"/>
  <c r="BM11" i="32"/>
  <c r="BM12" i="32"/>
  <c r="BM9" i="32"/>
  <c r="BM13" i="32"/>
  <c r="BM6" i="32"/>
  <c r="BM7" i="32"/>
  <c r="M154" i="30"/>
  <c r="J154" i="30"/>
  <c r="I138" i="30"/>
  <c r="L138" i="30" s="1"/>
  <c r="D155" i="30" s="1"/>
  <c r="R138" i="30"/>
  <c r="U138" i="30" s="1"/>
  <c r="G155" i="30" s="1"/>
  <c r="I139" i="30"/>
  <c r="L139" i="30" s="1"/>
  <c r="D156" i="30" s="1"/>
  <c r="R139" i="30"/>
  <c r="U139" i="30" s="1"/>
  <c r="G156" i="30" s="1"/>
  <c r="W103" i="30"/>
  <c r="AD102" i="30"/>
  <c r="Y103" i="30"/>
  <c r="AA103" i="30"/>
  <c r="AC103" i="30"/>
  <c r="Z103" i="30"/>
  <c r="AB103" i="30"/>
  <c r="X103" i="30"/>
  <c r="I153" i="3"/>
  <c r="I167" i="3" s="1"/>
  <c r="E167" i="3"/>
  <c r="B201" i="3"/>
  <c r="E20" i="14" s="1"/>
  <c r="F167" i="3"/>
  <c r="D167" i="3"/>
  <c r="H167" i="3"/>
  <c r="C201" i="3"/>
  <c r="E73" i="14" s="1"/>
  <c r="G167" i="3"/>
  <c r="L132" i="3"/>
  <c r="I144" i="3"/>
  <c r="J155" i="3"/>
  <c r="I121" i="3"/>
  <c r="J153" i="3"/>
  <c r="L131" i="3"/>
  <c r="B26" i="11"/>
  <c r="I9" i="29"/>
  <c r="I5" i="29"/>
  <c r="B25" i="11"/>
  <c r="I8" i="29"/>
  <c r="O23" i="11"/>
  <c r="P23" i="11" s="1"/>
  <c r="L23" i="11"/>
  <c r="E23" i="11"/>
  <c r="F23" i="11" s="1"/>
  <c r="G23" i="11" s="1"/>
  <c r="I23" i="11" s="1"/>
  <c r="D23" i="11"/>
  <c r="I4" i="29"/>
  <c r="C21" i="11" s="1"/>
  <c r="B24" i="11"/>
  <c r="H7" i="29"/>
  <c r="I7" i="29"/>
  <c r="B27" i="11"/>
  <c r="I10" i="29"/>
  <c r="B12" i="17"/>
  <c r="AF12" i="17"/>
  <c r="AG12" i="17"/>
  <c r="B14" i="17"/>
  <c r="AG14" i="17"/>
  <c r="AF14" i="17"/>
  <c r="AG9" i="17"/>
  <c r="B9" i="17"/>
  <c r="AF9" i="17"/>
  <c r="AG15" i="17"/>
  <c r="AF15" i="17"/>
  <c r="B15" i="17"/>
  <c r="AF10" i="17"/>
  <c r="AG10" i="17"/>
  <c r="B10" i="17"/>
  <c r="AG13" i="17"/>
  <c r="B13" i="17"/>
  <c r="AF13" i="17"/>
  <c r="F175" i="1"/>
  <c r="E175" i="1"/>
  <c r="H175" i="1"/>
  <c r="E176" i="1"/>
  <c r="F176" i="1"/>
  <c r="H176" i="1"/>
  <c r="H174" i="1"/>
  <c r="F174" i="1"/>
  <c r="E174" i="1"/>
  <c r="P134" i="30"/>
  <c r="P133" i="30"/>
  <c r="Q134" i="30"/>
  <c r="Q133" i="30"/>
  <c r="A45" i="34"/>
  <c r="A46" i="34"/>
  <c r="A44" i="34"/>
  <c r="K184" i="3"/>
  <c r="D38" i="41"/>
  <c r="AF64" i="30"/>
  <c r="D88" i="3" s="1"/>
  <c r="AF57" i="30"/>
  <c r="D87" i="3" s="1"/>
  <c r="B22" i="11"/>
  <c r="B21" i="11"/>
  <c r="T14" i="17"/>
  <c r="T10" i="17"/>
  <c r="T13" i="17"/>
  <c r="T9" i="17"/>
  <c r="T12" i="17"/>
  <c r="T15" i="17"/>
  <c r="AE64" i="30"/>
  <c r="AE57" i="30"/>
  <c r="AE67" i="30"/>
  <c r="AE58" i="30"/>
  <c r="D39" i="3" s="1"/>
  <c r="AE65" i="30"/>
  <c r="D40" i="3" s="1"/>
  <c r="AE60" i="30"/>
  <c r="B13" i="19"/>
  <c r="B10" i="19"/>
  <c r="B14" i="19"/>
  <c r="B12" i="19"/>
  <c r="B15" i="19"/>
  <c r="F118" i="1"/>
  <c r="B9" i="19"/>
  <c r="DL6" i="32" l="1"/>
  <c r="J155" i="30"/>
  <c r="BP18" i="32" s="1"/>
  <c r="BW18" i="32" s="1"/>
  <c r="M156" i="30"/>
  <c r="D174" i="30"/>
  <c r="DC16" i="32"/>
  <c r="CF18" i="32"/>
  <c r="CM18" i="32" s="1"/>
  <c r="CS18" i="32" s="1"/>
  <c r="CC15" i="32"/>
  <c r="BZ15" i="32"/>
  <c r="Q15" i="32"/>
  <c r="M155" i="30"/>
  <c r="D173" i="30"/>
  <c r="AW16" i="32"/>
  <c r="J156" i="30"/>
  <c r="CV17" i="32"/>
  <c r="DC17" i="32" s="1"/>
  <c r="DI17" i="32" s="1"/>
  <c r="CF17" i="32"/>
  <c r="CM17" i="32" s="1"/>
  <c r="AZ17" i="32"/>
  <c r="BG17" i="32" s="1"/>
  <c r="BM17" i="32" s="1"/>
  <c r="BP17" i="32"/>
  <c r="AJ17" i="32"/>
  <c r="AQ17" i="32" s="1"/>
  <c r="AW17" i="32" s="1"/>
  <c r="D17" i="32"/>
  <c r="CC16" i="32"/>
  <c r="BZ16" i="32"/>
  <c r="L144" i="3"/>
  <c r="J167" i="3"/>
  <c r="E15" i="14" s="1"/>
  <c r="J23" i="11"/>
  <c r="M23" i="11"/>
  <c r="O26" i="11"/>
  <c r="P26" i="11" s="1"/>
  <c r="L26" i="11"/>
  <c r="E26" i="11"/>
  <c r="F26" i="11" s="1"/>
  <c r="G26" i="11" s="1"/>
  <c r="I26" i="11" s="1"/>
  <c r="D26" i="11"/>
  <c r="O24" i="11"/>
  <c r="P24" i="11" s="1"/>
  <c r="L24" i="11"/>
  <c r="E24" i="11"/>
  <c r="F24" i="11" s="1"/>
  <c r="G24" i="11" s="1"/>
  <c r="I24" i="11" s="1"/>
  <c r="D24" i="11"/>
  <c r="O21" i="11"/>
  <c r="P21" i="11" s="1"/>
  <c r="L21" i="11"/>
  <c r="E21" i="11"/>
  <c r="F21" i="11" s="1"/>
  <c r="D21" i="11"/>
  <c r="O22" i="11"/>
  <c r="P22" i="11" s="1"/>
  <c r="L22" i="11"/>
  <c r="E22" i="11"/>
  <c r="F22" i="11" s="1"/>
  <c r="G22" i="11" s="1"/>
  <c r="I22" i="11" s="1"/>
  <c r="D22" i="11"/>
  <c r="O25" i="11"/>
  <c r="P25" i="11" s="1"/>
  <c r="L25" i="11"/>
  <c r="E25" i="11"/>
  <c r="F25" i="11" s="1"/>
  <c r="G25" i="11" s="1"/>
  <c r="I25" i="11" s="1"/>
  <c r="D25" i="11"/>
  <c r="O27" i="11"/>
  <c r="P27" i="11" s="1"/>
  <c r="L27" i="11"/>
  <c r="E27" i="11"/>
  <c r="F27" i="11" s="1"/>
  <c r="G27" i="11" s="1"/>
  <c r="I27" i="11" s="1"/>
  <c r="D27" i="11"/>
  <c r="H9" i="13"/>
  <c r="J9" i="13" s="1"/>
  <c r="L9" i="13" s="1"/>
  <c r="M9" i="13" s="1"/>
  <c r="E118" i="1"/>
  <c r="D18" i="32" l="1"/>
  <c r="K18" i="32" s="1"/>
  <c r="Q18" i="32" s="1"/>
  <c r="CV18" i="32"/>
  <c r="DC18" i="32" s="1"/>
  <c r="DI18" i="32" s="1"/>
  <c r="AJ18" i="32"/>
  <c r="AQ18" i="32" s="1"/>
  <c r="AW18" i="32" s="1"/>
  <c r="AZ18" i="32"/>
  <c r="BG18" i="32" s="1"/>
  <c r="BM18" i="32" s="1"/>
  <c r="K17" i="32"/>
  <c r="CS17" i="32"/>
  <c r="DI16" i="32"/>
  <c r="BW17" i="32"/>
  <c r="AZ19" i="32"/>
  <c r="CV19" i="32"/>
  <c r="DC19" i="32" s="1"/>
  <c r="DI19" i="32" s="1"/>
  <c r="BP19" i="32"/>
  <c r="BW19" i="32" s="1"/>
  <c r="AJ19" i="32"/>
  <c r="D19" i="32"/>
  <c r="K19" i="32" s="1"/>
  <c r="Q19" i="32" s="1"/>
  <c r="CF19" i="32"/>
  <c r="CC18" i="32"/>
  <c r="BZ18" i="32"/>
  <c r="M27" i="11"/>
  <c r="M26" i="11"/>
  <c r="J25" i="11"/>
  <c r="J26" i="11"/>
  <c r="M25" i="11"/>
  <c r="J27" i="11"/>
  <c r="M24" i="11"/>
  <c r="J24" i="11"/>
  <c r="M21" i="11"/>
  <c r="N21" i="11" s="1"/>
  <c r="Q21" i="11" s="1"/>
  <c r="J22" i="11"/>
  <c r="F28" i="11"/>
  <c r="G21" i="11"/>
  <c r="M22" i="11"/>
  <c r="H8" i="13"/>
  <c r="J8" i="13" s="1"/>
  <c r="L8" i="13" s="1"/>
  <c r="M8" i="13" s="1"/>
  <c r="M13" i="13" s="1"/>
  <c r="E17" i="14"/>
  <c r="M17" i="14"/>
  <c r="CV20" i="32" l="1"/>
  <c r="E23" i="29" s="1"/>
  <c r="DI21" i="32"/>
  <c r="E10" i="29" s="1"/>
  <c r="AQ19" i="32"/>
  <c r="AJ20" i="32"/>
  <c r="E19" i="29" s="1"/>
  <c r="BP20" i="32"/>
  <c r="E21" i="29" s="1"/>
  <c r="DC21" i="32"/>
  <c r="D20" i="32"/>
  <c r="E17" i="29" s="1"/>
  <c r="BZ19" i="32"/>
  <c r="CC19" i="32"/>
  <c r="BZ17" i="32"/>
  <c r="CC17" i="32"/>
  <c r="BW21" i="32"/>
  <c r="CM19" i="32"/>
  <c r="CF20" i="32"/>
  <c r="E22" i="29" s="1"/>
  <c r="Q17" i="32"/>
  <c r="K21" i="32"/>
  <c r="AZ20" i="32"/>
  <c r="E20" i="29" s="1"/>
  <c r="BG19" i="32"/>
  <c r="R21" i="11"/>
  <c r="I21" i="11"/>
  <c r="G28" i="11"/>
  <c r="P17" i="14"/>
  <c r="H17" i="14"/>
  <c r="CC21" i="32" l="1"/>
  <c r="E8" i="29" s="1"/>
  <c r="BZ21" i="32"/>
  <c r="CS19" i="32"/>
  <c r="CS21" i="32" s="1"/>
  <c r="E9" i="29" s="1"/>
  <c r="CM21" i="32"/>
  <c r="BM19" i="32"/>
  <c r="BM21" i="32" s="1"/>
  <c r="E7" i="29" s="1"/>
  <c r="BG21" i="32"/>
  <c r="AW19" i="32"/>
  <c r="AW21" i="32" s="1"/>
  <c r="E6" i="29" s="1"/>
  <c r="AQ21" i="32"/>
  <c r="J21" i="11"/>
  <c r="I28" i="11"/>
  <c r="K21" i="11" l="1"/>
  <c r="J28" i="11"/>
  <c r="O7" i="30" l="1"/>
  <c r="F7" i="30" l="1"/>
  <c r="L8" i="30" s="1"/>
  <c r="L9" i="30" l="1"/>
  <c r="J12" i="30"/>
  <c r="I12" i="30"/>
  <c r="F12" i="30"/>
  <c r="L10" i="30"/>
  <c r="K12" i="30"/>
  <c r="E12" i="30"/>
  <c r="H12" i="30"/>
  <c r="G12" i="30"/>
  <c r="P7" i="30"/>
  <c r="J135" i="30" l="1"/>
  <c r="B152" i="30" s="1"/>
  <c r="S137" i="30"/>
  <c r="E154" i="30" s="1"/>
  <c r="J137" i="30"/>
  <c r="B154" i="30" s="1"/>
  <c r="J136" i="30"/>
  <c r="B153" i="30" s="1"/>
  <c r="P126" i="30"/>
  <c r="S126" i="30" s="1"/>
  <c r="E143" i="30" s="1"/>
  <c r="U8" i="30"/>
  <c r="T12" i="30"/>
  <c r="AE143" i="30" s="1"/>
  <c r="U11" i="30"/>
  <c r="AE11" i="30" s="1"/>
  <c r="R12" i="30"/>
  <c r="AA143" i="30" s="1"/>
  <c r="S12" i="30"/>
  <c r="AC143" i="30" s="1"/>
  <c r="U9" i="30"/>
  <c r="AE9" i="30" s="1"/>
  <c r="N12" i="30"/>
  <c r="S143" i="30" s="1"/>
  <c r="O12" i="30"/>
  <c r="U143" i="30" s="1"/>
  <c r="U10" i="30"/>
  <c r="Q12" i="30"/>
  <c r="Y143" i="30" s="1"/>
  <c r="P12" i="30"/>
  <c r="W143" i="30" s="1"/>
  <c r="D80" i="3" l="1"/>
  <c r="Q126" i="30"/>
  <c r="T126" i="30" s="1"/>
  <c r="F143" i="30" s="1"/>
  <c r="AE8" i="30"/>
  <c r="B172" i="30"/>
  <c r="K154" i="30"/>
  <c r="H154" i="30"/>
  <c r="D32" i="3"/>
  <c r="T139" i="30"/>
  <c r="F156" i="30" s="1"/>
  <c r="K137" i="30"/>
  <c r="C154" i="30" s="1"/>
  <c r="T138" i="30"/>
  <c r="F155" i="30" s="1"/>
  <c r="K136" i="30"/>
  <c r="C153" i="30" s="1"/>
  <c r="K135" i="30"/>
  <c r="C152" i="30" s="1"/>
  <c r="T137" i="30"/>
  <c r="F154" i="30" s="1"/>
  <c r="AH17" i="32" l="1"/>
  <c r="AO17" i="32" s="1"/>
  <c r="AU17" i="32" s="1"/>
  <c r="B17" i="32"/>
  <c r="I17" i="32" s="1"/>
  <c r="O17" i="32" s="1"/>
  <c r="C172" i="30"/>
  <c r="E172" i="30" s="1"/>
  <c r="CD17" i="32"/>
  <c r="CK17" i="32" s="1"/>
  <c r="CQ17" i="32" s="1"/>
  <c r="R17" i="32"/>
  <c r="CT17" i="32"/>
  <c r="DA17" i="32" s="1"/>
  <c r="DG17" i="32" s="1"/>
  <c r="AX17" i="32"/>
  <c r="BE17" i="32" s="1"/>
  <c r="BK17" i="32" s="1"/>
  <c r="BN17" i="32"/>
  <c r="BU17" i="32" s="1"/>
  <c r="I154" i="30"/>
  <c r="L154" i="30"/>
  <c r="I14" i="30"/>
  <c r="H14" i="30"/>
  <c r="G14" i="30"/>
  <c r="F172" i="30" l="1"/>
  <c r="Q172" i="30" s="1"/>
  <c r="R172" i="30" s="1"/>
  <c r="P154" i="30"/>
  <c r="C42" i="2" s="1"/>
  <c r="F42" i="2" s="1"/>
  <c r="S17" i="32"/>
  <c r="Z17" i="32" s="1"/>
  <c r="AF17" i="32" s="1"/>
  <c r="BX17" i="32"/>
  <c r="CA17" i="32"/>
  <c r="Y17" i="32"/>
  <c r="AE17" i="32" s="1"/>
  <c r="N154" i="30"/>
  <c r="R154" i="30"/>
  <c r="CU17" i="32"/>
  <c r="DB17" i="32" s="1"/>
  <c r="DH17" i="32" s="1"/>
  <c r="AY17" i="32"/>
  <c r="BF17" i="32" s="1"/>
  <c r="BL17" i="32" s="1"/>
  <c r="BO17" i="32"/>
  <c r="BV17" i="32" s="1"/>
  <c r="CE17" i="32"/>
  <c r="CL17" i="32" s="1"/>
  <c r="CR17" i="32" s="1"/>
  <c r="C17" i="32"/>
  <c r="J17" i="32" s="1"/>
  <c r="P17" i="32" s="1"/>
  <c r="AI17" i="32"/>
  <c r="AP17" i="32" s="1"/>
  <c r="AV17" i="32" s="1"/>
  <c r="G21" i="30"/>
  <c r="H21" i="30"/>
  <c r="I21" i="30"/>
  <c r="Q14" i="30"/>
  <c r="Y145" i="30" s="1"/>
  <c r="DJ17" i="32" l="1"/>
  <c r="O172" i="30"/>
  <c r="P172" i="30" s="1"/>
  <c r="S172" i="30" s="1"/>
  <c r="C91" i="3"/>
  <c r="CB17" i="32"/>
  <c r="DK17" i="32" s="1"/>
  <c r="BY17" i="32"/>
  <c r="Z154" i="30"/>
  <c r="T17" i="32" s="1"/>
  <c r="AA17" i="32" s="1"/>
  <c r="AG17" i="32" s="1"/>
  <c r="DL17" i="32" s="1"/>
  <c r="T154" i="30"/>
  <c r="AB154" i="30"/>
  <c r="X154" i="30"/>
  <c r="AF154" i="30"/>
  <c r="AD154" i="30"/>
  <c r="V154" i="30"/>
  <c r="C43" i="3"/>
  <c r="G43" i="3" s="1"/>
  <c r="O43" i="3" s="1"/>
  <c r="P43" i="3" s="1"/>
  <c r="H28" i="30"/>
  <c r="I28" i="30"/>
  <c r="G28" i="30"/>
  <c r="Q21" i="30"/>
  <c r="Y152" i="30" s="1"/>
  <c r="R14" i="30"/>
  <c r="AA145" i="30" s="1"/>
  <c r="H35" i="30" l="1"/>
  <c r="I35" i="30"/>
  <c r="G35" i="30"/>
  <c r="Q28" i="30"/>
  <c r="R21" i="30"/>
  <c r="AA152" i="30" s="1"/>
  <c r="P14" i="30"/>
  <c r="W145" i="30" s="1"/>
  <c r="S14" i="30"/>
  <c r="J14" i="30"/>
  <c r="AC145" i="30" l="1"/>
  <c r="G42" i="30"/>
  <c r="H42" i="30"/>
  <c r="I42" i="30"/>
  <c r="Q35" i="30"/>
  <c r="J21" i="30"/>
  <c r="S21" i="30"/>
  <c r="R28" i="30"/>
  <c r="P21" i="30"/>
  <c r="W152" i="30" s="1"/>
  <c r="AC152" i="30" l="1"/>
  <c r="H49" i="30"/>
  <c r="G49" i="30"/>
  <c r="I49" i="30"/>
  <c r="Q42" i="30"/>
  <c r="S28" i="30"/>
  <c r="R35" i="30"/>
  <c r="J28" i="30"/>
  <c r="P28" i="30"/>
  <c r="Q49" i="30" l="1"/>
  <c r="R42" i="30"/>
  <c r="J35" i="30"/>
  <c r="S35" i="30"/>
  <c r="P35" i="30"/>
  <c r="J42" i="30" l="1"/>
  <c r="S42" i="30"/>
  <c r="R49" i="30"/>
  <c r="P42" i="30"/>
  <c r="F62" i="3" l="1"/>
  <c r="D35" i="2"/>
  <c r="C13" i="3"/>
  <c r="E13" i="3" s="1"/>
  <c r="D37" i="2"/>
  <c r="F64" i="3"/>
  <c r="C15" i="3"/>
  <c r="E15" i="3" s="1"/>
  <c r="S49" i="30"/>
  <c r="J49" i="30"/>
  <c r="P49" i="30"/>
  <c r="F28" i="34" l="1"/>
  <c r="F30" i="34"/>
  <c r="C14" i="3"/>
  <c r="E14" i="3" s="1"/>
  <c r="D36" i="2"/>
  <c r="F61" i="3"/>
  <c r="C12" i="3"/>
  <c r="E12" i="3" s="1"/>
  <c r="E23" i="3" s="1"/>
  <c r="D34" i="2"/>
  <c r="T14" i="30"/>
  <c r="K14" i="30"/>
  <c r="AE145" i="30" l="1"/>
  <c r="C38" i="34"/>
  <c r="N14" i="30"/>
  <c r="E14" i="30"/>
  <c r="F27" i="34"/>
  <c r="B38" i="34"/>
  <c r="K21" i="30"/>
  <c r="T21" i="30"/>
  <c r="O14" i="30"/>
  <c r="F14" i="30"/>
  <c r="AE152" i="30" l="1"/>
  <c r="U145" i="30"/>
  <c r="S145" i="30"/>
  <c r="L93" i="30"/>
  <c r="AE93" i="30" s="1"/>
  <c r="D44" i="3" s="1"/>
  <c r="L94" i="30"/>
  <c r="L92" i="30"/>
  <c r="K96" i="30"/>
  <c r="H74" i="14"/>
  <c r="F29" i="34"/>
  <c r="F38" i="34" s="1"/>
  <c r="C11" i="34"/>
  <c r="E11" i="34" s="1"/>
  <c r="T19" i="30"/>
  <c r="C15" i="20"/>
  <c r="F19" i="30"/>
  <c r="O19" i="30"/>
  <c r="E21" i="30"/>
  <c r="N21" i="30"/>
  <c r="E19" i="30"/>
  <c r="L17" i="30"/>
  <c r="G127" i="30" s="1"/>
  <c r="B144" i="30" s="1"/>
  <c r="L15" i="30"/>
  <c r="L18" i="30"/>
  <c r="L16" i="30"/>
  <c r="H19" i="30"/>
  <c r="G19" i="30"/>
  <c r="I19" i="30"/>
  <c r="J19" i="30"/>
  <c r="K19" i="30"/>
  <c r="U17" i="30"/>
  <c r="H127" i="30" s="1"/>
  <c r="C144" i="30" s="1"/>
  <c r="U15" i="30"/>
  <c r="Q127" i="30" s="1"/>
  <c r="T127" i="30" s="1"/>
  <c r="F144" i="30" s="1"/>
  <c r="N19" i="30"/>
  <c r="U16" i="30"/>
  <c r="U18" i="30"/>
  <c r="Q19" i="30"/>
  <c r="R19" i="30"/>
  <c r="P19" i="30"/>
  <c r="S19" i="30"/>
  <c r="K28" i="30"/>
  <c r="T28" i="30"/>
  <c r="O21" i="30"/>
  <c r="F21" i="30"/>
  <c r="AE18" i="30" l="1"/>
  <c r="AE16" i="30"/>
  <c r="P127" i="30"/>
  <c r="S127" i="30" s="1"/>
  <c r="E144" i="30" s="1"/>
  <c r="B162" i="30" s="1"/>
  <c r="AE15" i="30"/>
  <c r="AF15" i="30"/>
  <c r="D81" i="3" s="1"/>
  <c r="C162" i="30"/>
  <c r="AE150" i="30"/>
  <c r="AA150" i="30"/>
  <c r="S150" i="30"/>
  <c r="I144" i="30"/>
  <c r="S7" i="32" s="1"/>
  <c r="Z7" i="32" s="1"/>
  <c r="AF7" i="32" s="1"/>
  <c r="U150" i="30"/>
  <c r="P138" i="30"/>
  <c r="S138" i="30" s="1"/>
  <c r="E155" i="30" s="1"/>
  <c r="G138" i="30"/>
  <c r="AC150" i="30"/>
  <c r="L144" i="30"/>
  <c r="W150" i="30"/>
  <c r="S152" i="30"/>
  <c r="Y150" i="30"/>
  <c r="U152" i="30"/>
  <c r="T136" i="30"/>
  <c r="F153" i="30" s="1"/>
  <c r="C171" i="30" s="1"/>
  <c r="K134" i="30"/>
  <c r="C151" i="30" s="1"/>
  <c r="S134" i="30"/>
  <c r="E151" i="30" s="1"/>
  <c r="T134" i="30"/>
  <c r="F151" i="30" s="1"/>
  <c r="T135" i="30"/>
  <c r="F152" i="30" s="1"/>
  <c r="C170" i="30" s="1"/>
  <c r="K133" i="30"/>
  <c r="C150" i="30" s="1"/>
  <c r="J134" i="30"/>
  <c r="B151" i="30" s="1"/>
  <c r="S136" i="30"/>
  <c r="E153" i="30" s="1"/>
  <c r="B171" i="30" s="1"/>
  <c r="S133" i="30"/>
  <c r="E150" i="30" s="1"/>
  <c r="S135" i="30"/>
  <c r="E152" i="30" s="1"/>
  <c r="B170" i="30" s="1"/>
  <c r="J133" i="30"/>
  <c r="B150" i="30" s="1"/>
  <c r="T133" i="30"/>
  <c r="F150" i="30" s="1"/>
  <c r="AE92" i="30"/>
  <c r="L101" i="30"/>
  <c r="L99" i="30"/>
  <c r="L100" i="30"/>
  <c r="AE100" i="30" s="1"/>
  <c r="D45" i="3" s="1"/>
  <c r="E96" i="30"/>
  <c r="L95" i="30"/>
  <c r="AE95" i="30" s="1"/>
  <c r="I96" i="30"/>
  <c r="H96" i="30"/>
  <c r="G96" i="30"/>
  <c r="J96" i="30"/>
  <c r="F96" i="30"/>
  <c r="K103" i="30"/>
  <c r="B68" i="14"/>
  <c r="K74" i="14"/>
  <c r="D35" i="41"/>
  <c r="D36" i="41" s="1"/>
  <c r="C17" i="20"/>
  <c r="B3" i="20" s="1"/>
  <c r="D11" i="41"/>
  <c r="C194" i="1"/>
  <c r="F15" i="20"/>
  <c r="F17" i="20" s="1"/>
  <c r="O26" i="30"/>
  <c r="F26" i="30"/>
  <c r="K26" i="30"/>
  <c r="D33" i="3"/>
  <c r="N28" i="30"/>
  <c r="E28" i="30"/>
  <c r="T26" i="30"/>
  <c r="U25" i="30"/>
  <c r="U22" i="30"/>
  <c r="N26" i="30"/>
  <c r="U23" i="30"/>
  <c r="K139" i="30" s="1"/>
  <c r="C156" i="30" s="1"/>
  <c r="C174" i="30" s="1"/>
  <c r="U24" i="30"/>
  <c r="H128" i="30" s="1"/>
  <c r="K128" i="30" s="1"/>
  <c r="C145" i="30" s="1"/>
  <c r="Q26" i="30"/>
  <c r="R26" i="30"/>
  <c r="P26" i="30"/>
  <c r="S26" i="30"/>
  <c r="L24" i="30"/>
  <c r="G128" i="30" s="1"/>
  <c r="J128" i="30" s="1"/>
  <c r="B145" i="30" s="1"/>
  <c r="E26" i="30"/>
  <c r="L23" i="30"/>
  <c r="L22" i="30"/>
  <c r="L25" i="30"/>
  <c r="G26" i="30"/>
  <c r="I26" i="30"/>
  <c r="H26" i="30"/>
  <c r="J26" i="30"/>
  <c r="K35" i="30"/>
  <c r="T35" i="30"/>
  <c r="O28" i="30"/>
  <c r="F28" i="30"/>
  <c r="AE23" i="30" l="1"/>
  <c r="E171" i="30"/>
  <c r="F171" i="30" s="1"/>
  <c r="E162" i="30"/>
  <c r="F162" i="30" s="1"/>
  <c r="Q162" i="30" s="1"/>
  <c r="R162" i="30" s="1"/>
  <c r="E170" i="30"/>
  <c r="F170" i="30" s="1"/>
  <c r="H144" i="30"/>
  <c r="K144" i="30"/>
  <c r="AE25" i="30"/>
  <c r="AF22" i="30"/>
  <c r="D82" i="3" s="1"/>
  <c r="AE22" i="30"/>
  <c r="B169" i="30"/>
  <c r="C169" i="30"/>
  <c r="C168" i="30"/>
  <c r="B168" i="30"/>
  <c r="P139" i="30"/>
  <c r="S139" i="30" s="1"/>
  <c r="E156" i="30" s="1"/>
  <c r="G139" i="30"/>
  <c r="J139" i="30" s="1"/>
  <c r="B156" i="30" s="1"/>
  <c r="K138" i="30"/>
  <c r="C155" i="30" s="1"/>
  <c r="C173" i="30" s="1"/>
  <c r="Q128" i="30"/>
  <c r="T128" i="30" s="1"/>
  <c r="F145" i="30" s="1"/>
  <c r="I145" i="30" s="1"/>
  <c r="S8" i="32" s="1"/>
  <c r="Z8" i="32" s="1"/>
  <c r="AF8" i="32" s="1"/>
  <c r="J138" i="30"/>
  <c r="B155" i="30" s="1"/>
  <c r="P128" i="30"/>
  <c r="S128" i="30" s="1"/>
  <c r="E145" i="30" s="1"/>
  <c r="H145" i="30" s="1"/>
  <c r="O154" i="30"/>
  <c r="E91" i="3" s="1"/>
  <c r="I152" i="30"/>
  <c r="S15" i="32" s="1"/>
  <c r="Z15" i="32" s="1"/>
  <c r="AF15" i="32" s="1"/>
  <c r="L152" i="30"/>
  <c r="I153" i="30"/>
  <c r="S16" i="32" s="1"/>
  <c r="Z16" i="32" s="1"/>
  <c r="AF16" i="32" s="1"/>
  <c r="L153" i="30"/>
  <c r="K153" i="30"/>
  <c r="H153" i="30"/>
  <c r="K152" i="30"/>
  <c r="H152" i="30"/>
  <c r="L150" i="30"/>
  <c r="I150" i="30"/>
  <c r="S13" i="32" s="1"/>
  <c r="Z13" i="32" s="1"/>
  <c r="AF13" i="32" s="1"/>
  <c r="L151" i="30"/>
  <c r="I151" i="30"/>
  <c r="S14" i="32" s="1"/>
  <c r="Z14" i="32" s="1"/>
  <c r="AF14" i="32" s="1"/>
  <c r="L156" i="30"/>
  <c r="I156" i="30"/>
  <c r="S19" i="32" s="1"/>
  <c r="Z19" i="32" s="1"/>
  <c r="AF19" i="32" s="1"/>
  <c r="K151" i="30"/>
  <c r="H151" i="30"/>
  <c r="N151" i="30" s="1"/>
  <c r="K150" i="30"/>
  <c r="H150" i="30"/>
  <c r="N150" i="30" s="1"/>
  <c r="AE99" i="30"/>
  <c r="AF92" i="30"/>
  <c r="D92" i="3" s="1"/>
  <c r="E103" i="30"/>
  <c r="L102" i="30"/>
  <c r="AE102" i="30" s="1"/>
  <c r="H103" i="30"/>
  <c r="I103" i="30"/>
  <c r="G103" i="30"/>
  <c r="J103" i="30"/>
  <c r="F103" i="30"/>
  <c r="D12" i="41"/>
  <c r="C193" i="1"/>
  <c r="D39" i="41"/>
  <c r="C3" i="20"/>
  <c r="F33" i="30"/>
  <c r="O33" i="30"/>
  <c r="D34" i="3"/>
  <c r="U29" i="30"/>
  <c r="Q129" i="30" s="1"/>
  <c r="T129" i="30" s="1"/>
  <c r="F146" i="30" s="1"/>
  <c r="U31" i="30"/>
  <c r="H129" i="30" s="1"/>
  <c r="K129" i="30" s="1"/>
  <c r="C146" i="30" s="1"/>
  <c r="U32" i="30"/>
  <c r="U30" i="30"/>
  <c r="N33" i="30"/>
  <c r="Q33" i="30"/>
  <c r="R33" i="30"/>
  <c r="P33" i="30"/>
  <c r="S33" i="30"/>
  <c r="N35" i="30"/>
  <c r="L31" i="30"/>
  <c r="G129" i="30" s="1"/>
  <c r="J129" i="30" s="1"/>
  <c r="B146" i="30" s="1"/>
  <c r="L29" i="30"/>
  <c r="E33" i="30"/>
  <c r="L30" i="30"/>
  <c r="L32" i="30"/>
  <c r="AE32" i="30" s="1"/>
  <c r="G33" i="30"/>
  <c r="H33" i="30"/>
  <c r="I33" i="30"/>
  <c r="J33" i="30"/>
  <c r="T33" i="30"/>
  <c r="K33" i="30"/>
  <c r="E35" i="30"/>
  <c r="K42" i="30"/>
  <c r="T42" i="30"/>
  <c r="O35" i="30"/>
  <c r="F35" i="30"/>
  <c r="N144" i="30" l="1"/>
  <c r="O144" i="30" s="1"/>
  <c r="B7" i="32"/>
  <c r="N153" i="30"/>
  <c r="O153" i="30" s="1"/>
  <c r="R144" i="30"/>
  <c r="AB144" i="30" s="1"/>
  <c r="E169" i="30"/>
  <c r="F169" i="30" s="1"/>
  <c r="O169" i="30" s="1"/>
  <c r="P169" i="30" s="1"/>
  <c r="E168" i="30"/>
  <c r="F168" i="30" s="1"/>
  <c r="O168" i="30" s="1"/>
  <c r="P168" i="30" s="1"/>
  <c r="P144" i="30"/>
  <c r="N145" i="30"/>
  <c r="O145" i="30" s="1"/>
  <c r="N152" i="30"/>
  <c r="O152" i="30" s="1"/>
  <c r="AE30" i="30"/>
  <c r="D35" i="3" s="1"/>
  <c r="P129" i="30"/>
  <c r="S129" i="30" s="1"/>
  <c r="E146" i="30" s="1"/>
  <c r="B164" i="30" s="1"/>
  <c r="AE29" i="30"/>
  <c r="AF29" i="30"/>
  <c r="D83" i="3" s="1"/>
  <c r="O170" i="30"/>
  <c r="P170" i="30" s="1"/>
  <c r="Q170" i="30"/>
  <c r="R170" i="30" s="1"/>
  <c r="F91" i="3"/>
  <c r="G91" i="3" s="1"/>
  <c r="O171" i="30"/>
  <c r="P171" i="30" s="1"/>
  <c r="Q171" i="30"/>
  <c r="R171" i="30" s="1"/>
  <c r="O162" i="30"/>
  <c r="Z144" i="30"/>
  <c r="T7" i="32" s="1"/>
  <c r="AA7" i="32" s="1"/>
  <c r="AG7" i="32" s="1"/>
  <c r="DL7" i="32" s="1"/>
  <c r="I155" i="30"/>
  <c r="C163" i="30"/>
  <c r="B174" i="30"/>
  <c r="K156" i="30"/>
  <c r="L155" i="30"/>
  <c r="C15" i="32"/>
  <c r="J15" i="32" s="1"/>
  <c r="P15" i="32" s="1"/>
  <c r="CE15" i="32"/>
  <c r="CL15" i="32" s="1"/>
  <c r="CR15" i="32" s="1"/>
  <c r="BO15" i="32"/>
  <c r="BV15" i="32" s="1"/>
  <c r="AI15" i="32"/>
  <c r="AP15" i="32" s="1"/>
  <c r="AV15" i="32" s="1"/>
  <c r="CU15" i="32"/>
  <c r="DB15" i="32" s="1"/>
  <c r="DH15" i="32" s="1"/>
  <c r="AY15" i="32"/>
  <c r="BF15" i="32" s="1"/>
  <c r="BL15" i="32" s="1"/>
  <c r="R150" i="30"/>
  <c r="T150" i="30" s="1"/>
  <c r="L146" i="30"/>
  <c r="C164" i="30"/>
  <c r="R151" i="30"/>
  <c r="AF151" i="30" s="1"/>
  <c r="CE16" i="32"/>
  <c r="CL16" i="32" s="1"/>
  <c r="CR16" i="32" s="1"/>
  <c r="AI16" i="32"/>
  <c r="AP16" i="32" s="1"/>
  <c r="AV16" i="32" s="1"/>
  <c r="BO16" i="32"/>
  <c r="BV16" i="32" s="1"/>
  <c r="CU16" i="32"/>
  <c r="DB16" i="32" s="1"/>
  <c r="DH16" i="32" s="1"/>
  <c r="C16" i="32"/>
  <c r="J16" i="32" s="1"/>
  <c r="P16" i="32" s="1"/>
  <c r="AY16" i="32"/>
  <c r="BF16" i="32" s="1"/>
  <c r="BL16" i="32" s="1"/>
  <c r="CD15" i="32"/>
  <c r="CK15" i="32" s="1"/>
  <c r="CQ15" i="32" s="1"/>
  <c r="AH15" i="32"/>
  <c r="AO15" i="32" s="1"/>
  <c r="AU15" i="32" s="1"/>
  <c r="R15" i="32"/>
  <c r="CT15" i="32"/>
  <c r="DA15" i="32" s="1"/>
  <c r="DG15" i="32" s="1"/>
  <c r="AX15" i="32"/>
  <c r="BE15" i="32" s="1"/>
  <c r="BK15" i="32" s="1"/>
  <c r="BN15" i="32"/>
  <c r="BU15" i="32" s="1"/>
  <c r="B15" i="32"/>
  <c r="I15" i="32" s="1"/>
  <c r="O15" i="32" s="1"/>
  <c r="H155" i="30"/>
  <c r="B173" i="30"/>
  <c r="R153" i="30"/>
  <c r="T153" i="30" s="1"/>
  <c r="B16" i="32"/>
  <c r="I16" i="32" s="1"/>
  <c r="O16" i="32" s="1"/>
  <c r="CD16" i="32"/>
  <c r="CK16" i="32" s="1"/>
  <c r="CQ16" i="32" s="1"/>
  <c r="AH16" i="32"/>
  <c r="AO16" i="32" s="1"/>
  <c r="AU16" i="32" s="1"/>
  <c r="R16" i="32"/>
  <c r="CT16" i="32"/>
  <c r="DA16" i="32" s="1"/>
  <c r="DG16" i="32" s="1"/>
  <c r="AX16" i="32"/>
  <c r="BE16" i="32" s="1"/>
  <c r="BK16" i="32" s="1"/>
  <c r="BN16" i="32"/>
  <c r="BU16" i="32" s="1"/>
  <c r="B163" i="30"/>
  <c r="H156" i="30"/>
  <c r="K145" i="30"/>
  <c r="K155" i="30"/>
  <c r="I146" i="30"/>
  <c r="S9" i="32" s="1"/>
  <c r="Z9" i="32" s="1"/>
  <c r="AF9" i="32" s="1"/>
  <c r="R152" i="30"/>
  <c r="R145" i="30"/>
  <c r="P145" i="30"/>
  <c r="L145" i="30"/>
  <c r="P153" i="30"/>
  <c r="P152" i="30"/>
  <c r="P151" i="30"/>
  <c r="C39" i="2" s="1"/>
  <c r="O151" i="30"/>
  <c r="O150" i="30"/>
  <c r="P150" i="30"/>
  <c r="C38" i="2" s="1"/>
  <c r="BO19" i="32"/>
  <c r="BV19" i="32" s="1"/>
  <c r="AI19" i="32"/>
  <c r="AP19" i="32" s="1"/>
  <c r="AV19" i="32" s="1"/>
  <c r="AY19" i="32"/>
  <c r="BF19" i="32" s="1"/>
  <c r="BL19" i="32" s="1"/>
  <c r="CE19" i="32"/>
  <c r="CL19" i="32" s="1"/>
  <c r="CR19" i="32" s="1"/>
  <c r="C19" i="32"/>
  <c r="J19" i="32" s="1"/>
  <c r="P19" i="32" s="1"/>
  <c r="CU19" i="32"/>
  <c r="DB19" i="32" s="1"/>
  <c r="DH19" i="32" s="1"/>
  <c r="AF99" i="30"/>
  <c r="D93" i="3" s="1"/>
  <c r="D40" i="41"/>
  <c r="K40" i="30"/>
  <c r="F40" i="30"/>
  <c r="O40" i="30"/>
  <c r="L36" i="30"/>
  <c r="L37" i="30"/>
  <c r="E40" i="30"/>
  <c r="L38" i="30"/>
  <c r="G130" i="30" s="1"/>
  <c r="B147" i="30" s="1"/>
  <c r="L39" i="30"/>
  <c r="G40" i="30"/>
  <c r="H40" i="30"/>
  <c r="I40" i="30"/>
  <c r="J40" i="30"/>
  <c r="U37" i="30"/>
  <c r="U39" i="30"/>
  <c r="U36" i="30"/>
  <c r="Q130" i="30" s="1"/>
  <c r="T130" i="30" s="1"/>
  <c r="F147" i="30" s="1"/>
  <c r="N40" i="30"/>
  <c r="U38" i="30"/>
  <c r="H130" i="30" s="1"/>
  <c r="C147" i="30" s="1"/>
  <c r="Q40" i="30"/>
  <c r="R40" i="30"/>
  <c r="S40" i="30"/>
  <c r="P40" i="30"/>
  <c r="N42" i="30"/>
  <c r="E42" i="30"/>
  <c r="T40" i="30"/>
  <c r="K49" i="30"/>
  <c r="T49" i="30"/>
  <c r="F42" i="30"/>
  <c r="O42" i="30"/>
  <c r="X144" i="30" l="1"/>
  <c r="T144" i="30"/>
  <c r="AF144" i="30"/>
  <c r="V144" i="30"/>
  <c r="AD144" i="30"/>
  <c r="N155" i="30"/>
  <c r="E163" i="30"/>
  <c r="F163" i="30" s="1"/>
  <c r="Q163" i="30" s="1"/>
  <c r="R163" i="30" s="1"/>
  <c r="E173" i="30"/>
  <c r="F173" i="30" s="1"/>
  <c r="E174" i="30"/>
  <c r="F174" i="30" s="1"/>
  <c r="AI18" i="32"/>
  <c r="AP18" i="32" s="1"/>
  <c r="AV18" i="32" s="1"/>
  <c r="S18" i="32"/>
  <c r="Z18" i="32" s="1"/>
  <c r="AF18" i="32" s="1"/>
  <c r="E164" i="30"/>
  <c r="F164" i="30" s="1"/>
  <c r="O164" i="30" s="1"/>
  <c r="P164" i="30" s="1"/>
  <c r="H146" i="30"/>
  <c r="N146" i="30" s="1"/>
  <c r="O146" i="30" s="1"/>
  <c r="K146" i="30"/>
  <c r="CA15" i="32"/>
  <c r="BX15" i="32"/>
  <c r="BY16" i="32"/>
  <c r="CB16" i="32"/>
  <c r="DK16" i="32" s="1"/>
  <c r="CB15" i="32"/>
  <c r="DK15" i="32" s="1"/>
  <c r="BY15" i="32"/>
  <c r="CB19" i="32"/>
  <c r="DK19" i="32" s="1"/>
  <c r="BY19" i="32"/>
  <c r="CA16" i="32"/>
  <c r="BX16" i="32"/>
  <c r="Y16" i="32"/>
  <c r="AE16" i="32" s="1"/>
  <c r="Y15" i="32"/>
  <c r="AE15" i="32" s="1"/>
  <c r="R156" i="30"/>
  <c r="AD156" i="30" s="1"/>
  <c r="N156" i="30"/>
  <c r="O156" i="30" s="1"/>
  <c r="P130" i="30"/>
  <c r="S130" i="30" s="1"/>
  <c r="E147" i="30" s="1"/>
  <c r="H147" i="30" s="1"/>
  <c r="AF36" i="30"/>
  <c r="D84" i="3" s="1"/>
  <c r="AE36" i="30"/>
  <c r="AE37" i="30"/>
  <c r="D36" i="3" s="1"/>
  <c r="AE39" i="30"/>
  <c r="Q169" i="30"/>
  <c r="R169" i="30" s="1"/>
  <c r="S169" i="30" s="1"/>
  <c r="P162" i="30"/>
  <c r="S162" i="30" s="1"/>
  <c r="S171" i="30"/>
  <c r="S170" i="30"/>
  <c r="H141" i="3"/>
  <c r="G141" i="3"/>
  <c r="B188" i="3"/>
  <c r="C188" i="3" s="1"/>
  <c r="H118" i="3"/>
  <c r="G118" i="3"/>
  <c r="V151" i="30"/>
  <c r="AD151" i="30"/>
  <c r="T151" i="30"/>
  <c r="AF150" i="30"/>
  <c r="P156" i="30"/>
  <c r="C44" i="2" s="1"/>
  <c r="CU18" i="32"/>
  <c r="DB18" i="32" s="1"/>
  <c r="DH18" i="32" s="1"/>
  <c r="AY18" i="32"/>
  <c r="BF18" i="32" s="1"/>
  <c r="BL18" i="32" s="1"/>
  <c r="CE18" i="32"/>
  <c r="CL18" i="32" s="1"/>
  <c r="CR18" i="32" s="1"/>
  <c r="BO18" i="32"/>
  <c r="BV18" i="32" s="1"/>
  <c r="R155" i="30"/>
  <c r="T155" i="30" s="1"/>
  <c r="C18" i="32"/>
  <c r="J18" i="32" s="1"/>
  <c r="P18" i="32" s="1"/>
  <c r="O155" i="30"/>
  <c r="AB151" i="30"/>
  <c r="Z151" i="30"/>
  <c r="T14" i="32" s="1"/>
  <c r="AA14" i="32" s="1"/>
  <c r="AG14" i="32" s="1"/>
  <c r="DL14" i="32" s="1"/>
  <c r="P155" i="30"/>
  <c r="C43" i="2" s="1"/>
  <c r="X151" i="30"/>
  <c r="AF153" i="30"/>
  <c r="Q168" i="30"/>
  <c r="AD150" i="30"/>
  <c r="AD153" i="30"/>
  <c r="V150" i="30"/>
  <c r="X153" i="30"/>
  <c r="Z150" i="30"/>
  <c r="T13" i="32" s="1"/>
  <c r="AA13" i="32" s="1"/>
  <c r="AG13" i="32" s="1"/>
  <c r="DL13" i="32" s="1"/>
  <c r="AB153" i="30"/>
  <c r="X150" i="30"/>
  <c r="AB150" i="30"/>
  <c r="V153" i="30"/>
  <c r="Z153" i="30"/>
  <c r="T16" i="32" s="1"/>
  <c r="AA16" i="32" s="1"/>
  <c r="AG16" i="32" s="1"/>
  <c r="DL16" i="32" s="1"/>
  <c r="C165" i="30"/>
  <c r="F38" i="2"/>
  <c r="C87" i="3"/>
  <c r="C41" i="3"/>
  <c r="G41" i="3" s="1"/>
  <c r="O41" i="3" s="1"/>
  <c r="P41" i="3" s="1"/>
  <c r="C40" i="2"/>
  <c r="F39" i="2"/>
  <c r="C88" i="3"/>
  <c r="C42" i="3"/>
  <c r="G42" i="3" s="1"/>
  <c r="O42" i="3" s="1"/>
  <c r="P42" i="3" s="1"/>
  <c r="C41" i="2"/>
  <c r="L147" i="30"/>
  <c r="Z152" i="30"/>
  <c r="T15" i="32" s="1"/>
  <c r="AA15" i="32" s="1"/>
  <c r="AG15" i="32" s="1"/>
  <c r="DL15" i="32" s="1"/>
  <c r="AB152" i="30"/>
  <c r="T152" i="30"/>
  <c r="V152" i="30"/>
  <c r="X152" i="30"/>
  <c r="AF152" i="30"/>
  <c r="AD152" i="30"/>
  <c r="Z145" i="30"/>
  <c r="T8" i="32" s="1"/>
  <c r="AA8" i="32" s="1"/>
  <c r="AG8" i="32" s="1"/>
  <c r="DL8" i="32" s="1"/>
  <c r="X145" i="30"/>
  <c r="AF145" i="30"/>
  <c r="AB145" i="30"/>
  <c r="AD145" i="30"/>
  <c r="T145" i="30"/>
  <c r="V145" i="30"/>
  <c r="I147" i="30"/>
  <c r="S10" i="32" s="1"/>
  <c r="Z10" i="32" s="1"/>
  <c r="CT18" i="32"/>
  <c r="DA18" i="32" s="1"/>
  <c r="DG18" i="32" s="1"/>
  <c r="BN18" i="32"/>
  <c r="BU18" i="32" s="1"/>
  <c r="AH18" i="32"/>
  <c r="AO18" i="32" s="1"/>
  <c r="AU18" i="32" s="1"/>
  <c r="R18" i="32"/>
  <c r="AX18" i="32"/>
  <c r="BE18" i="32" s="1"/>
  <c r="BK18" i="32" s="1"/>
  <c r="B18" i="32"/>
  <c r="I18" i="32" s="1"/>
  <c r="O18" i="32" s="1"/>
  <c r="CD18" i="32"/>
  <c r="CK18" i="32" s="1"/>
  <c r="CQ18" i="32" s="1"/>
  <c r="F47" i="30"/>
  <c r="K183" i="3"/>
  <c r="U43" i="30"/>
  <c r="Q131" i="30" s="1"/>
  <c r="T131" i="30" s="1"/>
  <c r="F148" i="30" s="1"/>
  <c r="U46" i="30"/>
  <c r="N47" i="30"/>
  <c r="U44" i="30"/>
  <c r="U45" i="30"/>
  <c r="H131" i="30" s="1"/>
  <c r="K131" i="30" s="1"/>
  <c r="C148" i="30" s="1"/>
  <c r="Q47" i="30"/>
  <c r="R47" i="30"/>
  <c r="P47" i="30"/>
  <c r="S47" i="30"/>
  <c r="E49" i="30"/>
  <c r="O47" i="30"/>
  <c r="N49" i="30"/>
  <c r="L43" i="30"/>
  <c r="L45" i="30"/>
  <c r="G131" i="30" s="1"/>
  <c r="J131" i="30" s="1"/>
  <c r="B148" i="30" s="1"/>
  <c r="L44" i="30"/>
  <c r="L46" i="30"/>
  <c r="E47" i="30"/>
  <c r="G47" i="30"/>
  <c r="I47" i="30"/>
  <c r="H47" i="30"/>
  <c r="J47" i="30"/>
  <c r="K47" i="30"/>
  <c r="AI9" i="32"/>
  <c r="AP9" i="32" s="1"/>
  <c r="AV9" i="32" s="1"/>
  <c r="T47" i="30"/>
  <c r="O49" i="30"/>
  <c r="F49" i="30"/>
  <c r="V156" i="30" l="1"/>
  <c r="Z156" i="30"/>
  <c r="T19" i="32" s="1"/>
  <c r="AA19" i="32" s="1"/>
  <c r="AG19" i="32" s="1"/>
  <c r="DL19" i="32" s="1"/>
  <c r="R146" i="30"/>
  <c r="V146" i="30" s="1"/>
  <c r="P146" i="30"/>
  <c r="AH9" i="32"/>
  <c r="AO9" i="32" s="1"/>
  <c r="AU9" i="32" s="1"/>
  <c r="AB156" i="30"/>
  <c r="DJ15" i="32"/>
  <c r="DJ16" i="32"/>
  <c r="AF156" i="30"/>
  <c r="T156" i="30"/>
  <c r="X156" i="30"/>
  <c r="O173" i="30"/>
  <c r="P173" i="30" s="1"/>
  <c r="Q173" i="30"/>
  <c r="R173" i="30" s="1"/>
  <c r="O174" i="30"/>
  <c r="P174" i="30" s="1"/>
  <c r="Q174" i="30"/>
  <c r="R174" i="30" s="1"/>
  <c r="N147" i="30"/>
  <c r="O147" i="30" s="1"/>
  <c r="AF10" i="32"/>
  <c r="CA18" i="32"/>
  <c r="BX18" i="32"/>
  <c r="CB18" i="32"/>
  <c r="DK18" i="32" s="1"/>
  <c r="BY18" i="32"/>
  <c r="Y18" i="32"/>
  <c r="AE18" i="32" s="1"/>
  <c r="DJ18" i="32" s="1"/>
  <c r="K147" i="30"/>
  <c r="B165" i="30"/>
  <c r="E165" i="30" s="1"/>
  <c r="F165" i="30" s="1"/>
  <c r="O165" i="30" s="1"/>
  <c r="P165" i="30" s="1"/>
  <c r="AE46" i="30"/>
  <c r="AE44" i="30"/>
  <c r="D37" i="3" s="1"/>
  <c r="P131" i="30"/>
  <c r="S131" i="30" s="1"/>
  <c r="E148" i="30" s="1"/>
  <c r="B166" i="30" s="1"/>
  <c r="AE43" i="30"/>
  <c r="AF43" i="30"/>
  <c r="D85" i="3" s="1"/>
  <c r="R168" i="30"/>
  <c r="S168" i="30" s="1"/>
  <c r="P147" i="30"/>
  <c r="J141" i="3"/>
  <c r="M141" i="3" s="1"/>
  <c r="J118" i="3"/>
  <c r="G188" i="3"/>
  <c r="F188" i="3"/>
  <c r="E188" i="3"/>
  <c r="I188" i="3" s="1"/>
  <c r="D188" i="3"/>
  <c r="H188" i="3" s="1"/>
  <c r="C92" i="3"/>
  <c r="E92" i="3" s="1"/>
  <c r="F43" i="2"/>
  <c r="C93" i="3"/>
  <c r="E93" i="3" s="1"/>
  <c r="F44" i="2"/>
  <c r="AF155" i="30"/>
  <c r="AB155" i="30"/>
  <c r="AD155" i="30"/>
  <c r="Q164" i="30"/>
  <c r="X155" i="30"/>
  <c r="V155" i="30"/>
  <c r="Z155" i="30"/>
  <c r="T18" i="32" s="1"/>
  <c r="AA18" i="32" s="1"/>
  <c r="AG18" i="32" s="1"/>
  <c r="DL18" i="32" s="1"/>
  <c r="O163" i="30"/>
  <c r="L148" i="30"/>
  <c r="C166" i="30"/>
  <c r="F40" i="2"/>
  <c r="C89" i="3"/>
  <c r="E89" i="3" s="1"/>
  <c r="F41" i="2"/>
  <c r="C90" i="3"/>
  <c r="E90" i="3" s="1"/>
  <c r="I148" i="30"/>
  <c r="S11" i="32" s="1"/>
  <c r="Z11" i="32" s="1"/>
  <c r="AF11" i="32" s="1"/>
  <c r="R147" i="30"/>
  <c r="Z147" i="30" s="1"/>
  <c r="T10" i="32" s="1"/>
  <c r="C44" i="3"/>
  <c r="G44" i="3" s="1"/>
  <c r="O44" i="3" s="1"/>
  <c r="P44" i="3" s="1"/>
  <c r="CD19" i="32"/>
  <c r="CK19" i="32" s="1"/>
  <c r="CQ19" i="32" s="1"/>
  <c r="AX19" i="32"/>
  <c r="BE19" i="32" s="1"/>
  <c r="BK19" i="32" s="1"/>
  <c r="R19" i="32"/>
  <c r="B19" i="32"/>
  <c r="I19" i="32" s="1"/>
  <c r="O19" i="32" s="1"/>
  <c r="BN19" i="32"/>
  <c r="BU19" i="32" s="1"/>
  <c r="CT19" i="32"/>
  <c r="DA19" i="32" s="1"/>
  <c r="DG19" i="32" s="1"/>
  <c r="AH19" i="32"/>
  <c r="AO19" i="32" s="1"/>
  <c r="AU19" i="32" s="1"/>
  <c r="O54" i="30"/>
  <c r="K54" i="30"/>
  <c r="CT9" i="32"/>
  <c r="DA9" i="32" s="1"/>
  <c r="DG9" i="32" s="1"/>
  <c r="R9" i="32"/>
  <c r="BN9" i="32"/>
  <c r="BU9" i="32" s="1"/>
  <c r="CD9" i="32"/>
  <c r="CK9" i="32" s="1"/>
  <c r="CQ9" i="32" s="1"/>
  <c r="AX9" i="32"/>
  <c r="BE9" i="32" s="1"/>
  <c r="BK9" i="32" s="1"/>
  <c r="B9" i="32"/>
  <c r="I9" i="32" s="1"/>
  <c r="O9" i="32" s="1"/>
  <c r="T54" i="30"/>
  <c r="L53" i="30"/>
  <c r="E54" i="30"/>
  <c r="L52" i="30"/>
  <c r="G132" i="30" s="1"/>
  <c r="J132" i="30" s="1"/>
  <c r="B149" i="30" s="1"/>
  <c r="L50" i="30"/>
  <c r="P132" i="30" s="1"/>
  <c r="S132" i="30" s="1"/>
  <c r="E149" i="30" s="1"/>
  <c r="L51" i="30"/>
  <c r="G54" i="30"/>
  <c r="H54" i="30"/>
  <c r="I54" i="30"/>
  <c r="J54" i="30"/>
  <c r="C9" i="32"/>
  <c r="J9" i="32" s="1"/>
  <c r="P9" i="32" s="1"/>
  <c r="CU9" i="32"/>
  <c r="DB9" i="32" s="1"/>
  <c r="DH9" i="32" s="1"/>
  <c r="BO9" i="32"/>
  <c r="BV9" i="32" s="1"/>
  <c r="CE9" i="32"/>
  <c r="CL9" i="32" s="1"/>
  <c r="CR9" i="32" s="1"/>
  <c r="AY9" i="32"/>
  <c r="BF9" i="32" s="1"/>
  <c r="BL9" i="32" s="1"/>
  <c r="U50" i="30"/>
  <c r="Q132" i="30" s="1"/>
  <c r="T132" i="30" s="1"/>
  <c r="F149" i="30" s="1"/>
  <c r="U53" i="30"/>
  <c r="U52" i="30"/>
  <c r="H132" i="30" s="1"/>
  <c r="K132" i="30" s="1"/>
  <c r="C149" i="30" s="1"/>
  <c r="U51" i="30"/>
  <c r="N54" i="30"/>
  <c r="Q54" i="30"/>
  <c r="R54" i="30"/>
  <c r="S54" i="30"/>
  <c r="P54" i="30"/>
  <c r="F54" i="30"/>
  <c r="Z146" i="30" l="1"/>
  <c r="T9" i="32" s="1"/>
  <c r="AA9" i="32" s="1"/>
  <c r="AG9" i="32" s="1"/>
  <c r="DL9" i="32" s="1"/>
  <c r="AF146" i="30"/>
  <c r="T146" i="30"/>
  <c r="AB146" i="30"/>
  <c r="X146" i="30"/>
  <c r="AD146" i="30"/>
  <c r="S173" i="30"/>
  <c r="S174" i="30"/>
  <c r="E166" i="30"/>
  <c r="F166" i="30" s="1"/>
  <c r="Q166" i="30" s="1"/>
  <c r="R166" i="30" s="1"/>
  <c r="K148" i="30"/>
  <c r="AA10" i="32"/>
  <c r="CB9" i="32"/>
  <c r="DK9" i="32" s="1"/>
  <c r="BY9" i="32"/>
  <c r="CA9" i="32"/>
  <c r="BX9" i="32"/>
  <c r="CA19" i="32"/>
  <c r="BX19" i="32"/>
  <c r="Y9" i="32"/>
  <c r="AE9" i="32" s="1"/>
  <c r="Y19" i="32"/>
  <c r="AE19" i="32" s="1"/>
  <c r="H148" i="30"/>
  <c r="N148" i="30" s="1"/>
  <c r="O148" i="30" s="1"/>
  <c r="R164" i="30"/>
  <c r="S164" i="30" s="1"/>
  <c r="P163" i="30"/>
  <c r="S163" i="30" s="1"/>
  <c r="J188" i="3"/>
  <c r="F89" i="3"/>
  <c r="G89" i="3" s="1"/>
  <c r="F92" i="3"/>
  <c r="G92" i="3" s="1"/>
  <c r="F93" i="3"/>
  <c r="G93" i="3" s="1"/>
  <c r="F90" i="3"/>
  <c r="G90" i="3" s="1"/>
  <c r="Q165" i="30"/>
  <c r="H149" i="30"/>
  <c r="V147" i="30"/>
  <c r="L149" i="30"/>
  <c r="C167" i="30"/>
  <c r="T147" i="30"/>
  <c r="AD147" i="30"/>
  <c r="AB147" i="30"/>
  <c r="B167" i="30"/>
  <c r="X147" i="30"/>
  <c r="AF147" i="30"/>
  <c r="K149" i="30"/>
  <c r="I149" i="30"/>
  <c r="S12" i="32" s="1"/>
  <c r="Z12" i="32" s="1"/>
  <c r="AF12" i="32" s="1"/>
  <c r="C45" i="3"/>
  <c r="G45" i="3" s="1"/>
  <c r="O45" i="3" s="1"/>
  <c r="P45" i="3" s="1"/>
  <c r="AI11" i="32"/>
  <c r="AP11" i="32" s="1"/>
  <c r="AV11" i="32" s="1"/>
  <c r="H15" i="14"/>
  <c r="D126" i="30"/>
  <c r="E126" i="30"/>
  <c r="C34" i="2"/>
  <c r="C35" i="3"/>
  <c r="G35" i="3" s="1"/>
  <c r="O35" i="3" s="1"/>
  <c r="P35" i="3" s="1"/>
  <c r="AH10" i="32"/>
  <c r="AO10" i="32" s="1"/>
  <c r="AU10" i="32" s="1"/>
  <c r="R10" i="32"/>
  <c r="AI10" i="32"/>
  <c r="AP10" i="32" s="1"/>
  <c r="AV10" i="32" s="1"/>
  <c r="AF50" i="30"/>
  <c r="D86" i="3" s="1"/>
  <c r="AE50" i="30"/>
  <c r="AE53" i="30"/>
  <c r="AE51" i="30"/>
  <c r="D38" i="3" s="1"/>
  <c r="AX10" i="32"/>
  <c r="BE10" i="32" s="1"/>
  <c r="BK10" i="32" s="1"/>
  <c r="BN10" i="32"/>
  <c r="BU10" i="32" s="1"/>
  <c r="CD10" i="32"/>
  <c r="CK10" i="32" s="1"/>
  <c r="CQ10" i="32" s="1"/>
  <c r="B10" i="32"/>
  <c r="I10" i="32" s="1"/>
  <c r="O10" i="32" s="1"/>
  <c r="CT10" i="32"/>
  <c r="DA10" i="32" s="1"/>
  <c r="CU10" i="32"/>
  <c r="DB10" i="32" s="1"/>
  <c r="AY10" i="32"/>
  <c r="BF10" i="32" s="1"/>
  <c r="BL10" i="32" s="1"/>
  <c r="C10" i="32"/>
  <c r="J10" i="32" s="1"/>
  <c r="P10" i="32" s="1"/>
  <c r="CE10" i="32"/>
  <c r="CL10" i="32" s="1"/>
  <c r="CR10" i="32" s="1"/>
  <c r="BO10" i="32"/>
  <c r="BV10" i="32" s="1"/>
  <c r="E167" i="30" l="1"/>
  <c r="R148" i="30"/>
  <c r="Z148" i="30" s="1"/>
  <c r="T11" i="32" s="1"/>
  <c r="DJ9" i="32"/>
  <c r="DJ19" i="32"/>
  <c r="P148" i="30"/>
  <c r="DH10" i="32"/>
  <c r="DG10" i="32"/>
  <c r="AG10" i="32"/>
  <c r="BX10" i="32"/>
  <c r="CA10" i="32"/>
  <c r="CB10" i="32"/>
  <c r="BY10" i="32"/>
  <c r="Y10" i="32"/>
  <c r="AE10" i="32" s="1"/>
  <c r="N149" i="30"/>
  <c r="O149" i="30" s="1"/>
  <c r="R165" i="30"/>
  <c r="S165" i="30" s="1"/>
  <c r="G140" i="3"/>
  <c r="H140" i="3"/>
  <c r="G143" i="3"/>
  <c r="H143" i="3"/>
  <c r="H142" i="3"/>
  <c r="G142" i="3"/>
  <c r="G139" i="3"/>
  <c r="H139" i="3"/>
  <c r="B187" i="3"/>
  <c r="C187" i="3" s="1"/>
  <c r="H117" i="3"/>
  <c r="G117" i="3"/>
  <c r="B190" i="3"/>
  <c r="C190" i="3" s="1"/>
  <c r="G120" i="3"/>
  <c r="H120" i="3"/>
  <c r="B189" i="3"/>
  <c r="C189" i="3" s="1"/>
  <c r="H119" i="3"/>
  <c r="G119" i="3"/>
  <c r="B186" i="3"/>
  <c r="C186" i="3" s="1"/>
  <c r="G116" i="3"/>
  <c r="H116" i="3"/>
  <c r="O166" i="30"/>
  <c r="F167" i="30"/>
  <c r="Q167" i="30" s="1"/>
  <c r="R167" i="30" s="1"/>
  <c r="F34" i="2"/>
  <c r="C83" i="3"/>
  <c r="E83" i="3" s="1"/>
  <c r="F83" i="3" s="1"/>
  <c r="P149" i="30"/>
  <c r="H126" i="30"/>
  <c r="K126" i="30" s="1"/>
  <c r="C143" i="30" s="1"/>
  <c r="R149" i="30"/>
  <c r="AD148" i="30"/>
  <c r="R11" i="32"/>
  <c r="BO11" i="32"/>
  <c r="BV11" i="32" s="1"/>
  <c r="CU11" i="32"/>
  <c r="DB11" i="32" s="1"/>
  <c r="DH11" i="32" s="1"/>
  <c r="CE11" i="32"/>
  <c r="CL11" i="32" s="1"/>
  <c r="CR11" i="32" s="1"/>
  <c r="C11" i="32"/>
  <c r="J11" i="32" s="1"/>
  <c r="P11" i="32" s="1"/>
  <c r="AY11" i="32"/>
  <c r="BF11" i="32" s="1"/>
  <c r="BL11" i="32" s="1"/>
  <c r="G126" i="30"/>
  <c r="J126" i="30" s="1"/>
  <c r="B143" i="30" s="1"/>
  <c r="C35" i="2"/>
  <c r="E35" i="2" s="1"/>
  <c r="C36" i="3"/>
  <c r="G36" i="3" s="1"/>
  <c r="O36" i="3" s="1"/>
  <c r="P36" i="3" s="1"/>
  <c r="AI12" i="32"/>
  <c r="AP12" i="32" s="1"/>
  <c r="AV12" i="32" s="1"/>
  <c r="AF148" i="30" l="1"/>
  <c r="AB148" i="30"/>
  <c r="X148" i="30"/>
  <c r="T148" i="30"/>
  <c r="V148" i="30"/>
  <c r="DJ10" i="32"/>
  <c r="AA11" i="32"/>
  <c r="DK10" i="32"/>
  <c r="DL10" i="32"/>
  <c r="CB11" i="32"/>
  <c r="DK11" i="32" s="1"/>
  <c r="BY11" i="32"/>
  <c r="Y11" i="32"/>
  <c r="AE11" i="32" s="1"/>
  <c r="P166" i="30"/>
  <c r="S166" i="30" s="1"/>
  <c r="J142" i="3"/>
  <c r="M142" i="3" s="1"/>
  <c r="E189" i="3"/>
  <c r="I189" i="3" s="1"/>
  <c r="D189" i="3"/>
  <c r="H189" i="3" s="1"/>
  <c r="G189" i="3"/>
  <c r="F189" i="3"/>
  <c r="J139" i="3"/>
  <c r="M139" i="3" s="1"/>
  <c r="G190" i="3"/>
  <c r="F190" i="3"/>
  <c r="D190" i="3"/>
  <c r="H190" i="3" s="1"/>
  <c r="E190" i="3"/>
  <c r="I190" i="3" s="1"/>
  <c r="J117" i="3"/>
  <c r="J143" i="3"/>
  <c r="M143" i="3" s="1"/>
  <c r="F186" i="3"/>
  <c r="D186" i="3"/>
  <c r="H186" i="3" s="1"/>
  <c r="E186" i="3"/>
  <c r="I186" i="3" s="1"/>
  <c r="G186" i="3"/>
  <c r="J119" i="3"/>
  <c r="G187" i="3"/>
  <c r="F187" i="3"/>
  <c r="E187" i="3"/>
  <c r="I187" i="3" s="1"/>
  <c r="D187" i="3"/>
  <c r="H187" i="3" s="1"/>
  <c r="J140" i="3"/>
  <c r="M140" i="3" s="1"/>
  <c r="J120" i="3"/>
  <c r="J116" i="3"/>
  <c r="O167" i="30"/>
  <c r="F35" i="2"/>
  <c r="C84" i="3"/>
  <c r="E84" i="3" s="1"/>
  <c r="F84" i="3" s="1"/>
  <c r="I143" i="30"/>
  <c r="C161" i="30"/>
  <c r="L143" i="30"/>
  <c r="AD149" i="30"/>
  <c r="V149" i="30"/>
  <c r="T149" i="30"/>
  <c r="AB149" i="30"/>
  <c r="Z149" i="30"/>
  <c r="T12" i="32" s="1"/>
  <c r="AA12" i="32" s="1"/>
  <c r="AG12" i="32" s="1"/>
  <c r="DL12" i="32" s="1"/>
  <c r="AF149" i="30"/>
  <c r="X149" i="30"/>
  <c r="B11" i="32"/>
  <c r="I11" i="32" s="1"/>
  <c r="O11" i="32" s="1"/>
  <c r="BN11" i="32"/>
  <c r="BU11" i="32" s="1"/>
  <c r="AH11" i="32"/>
  <c r="AO11" i="32" s="1"/>
  <c r="AU11" i="32" s="1"/>
  <c r="CT11" i="32"/>
  <c r="DA11" i="32" s="1"/>
  <c r="DG11" i="32" s="1"/>
  <c r="AX11" i="32"/>
  <c r="BE11" i="32" s="1"/>
  <c r="BK11" i="32" s="1"/>
  <c r="CD11" i="32"/>
  <c r="CK11" i="32" s="1"/>
  <c r="CQ11" i="32" s="1"/>
  <c r="C37" i="3"/>
  <c r="BN12" i="32"/>
  <c r="BU12" i="32" s="1"/>
  <c r="G83" i="3"/>
  <c r="B161" i="30"/>
  <c r="H143" i="30"/>
  <c r="N143" i="30" s="1"/>
  <c r="K143" i="30"/>
  <c r="C12" i="32"/>
  <c r="CE12" i="32"/>
  <c r="CL12" i="32" s="1"/>
  <c r="CR12" i="32" s="1"/>
  <c r="AY12" i="32"/>
  <c r="BF12" i="32" s="1"/>
  <c r="BL12" i="32" s="1"/>
  <c r="CU12" i="32"/>
  <c r="DB12" i="32" s="1"/>
  <c r="DH12" i="32" s="1"/>
  <c r="BO12" i="32"/>
  <c r="BV12" i="32" s="1"/>
  <c r="E161" i="30" l="1"/>
  <c r="T20" i="32"/>
  <c r="E18" i="29" s="1"/>
  <c r="E24" i="29" s="1"/>
  <c r="AG11" i="32"/>
  <c r="AA21" i="32"/>
  <c r="AI6" i="32"/>
  <c r="AP6" i="32" s="1"/>
  <c r="AV6" i="32" s="1"/>
  <c r="S6" i="32"/>
  <c r="Z6" i="32" s="1"/>
  <c r="CB12" i="32"/>
  <c r="BY12" i="32"/>
  <c r="CA11" i="32"/>
  <c r="DJ11" i="32" s="1"/>
  <c r="BX11" i="32"/>
  <c r="CA12" i="32"/>
  <c r="BX12" i="32"/>
  <c r="P167" i="30"/>
  <c r="S167" i="30" s="1"/>
  <c r="J187" i="3"/>
  <c r="J186" i="3"/>
  <c r="J189" i="3"/>
  <c r="J190" i="3"/>
  <c r="H133" i="3"/>
  <c r="G133" i="3"/>
  <c r="B180" i="3"/>
  <c r="C180" i="3" s="1"/>
  <c r="H110" i="3"/>
  <c r="G110" i="3"/>
  <c r="AY6" i="32"/>
  <c r="BF6" i="32" s="1"/>
  <c r="BO6" i="32"/>
  <c r="BV6" i="32" s="1"/>
  <c r="CE6" i="32"/>
  <c r="CL6" i="32" s="1"/>
  <c r="C6" i="32"/>
  <c r="J6" i="32" s="1"/>
  <c r="P6" i="32" s="1"/>
  <c r="O143" i="30"/>
  <c r="CU6" i="32"/>
  <c r="DB6" i="32" s="1"/>
  <c r="DH6" i="32" s="1"/>
  <c r="F161" i="30"/>
  <c r="O161" i="30" s="1"/>
  <c r="P161" i="30" s="1"/>
  <c r="C36" i="2"/>
  <c r="CT12" i="32"/>
  <c r="DA12" i="32" s="1"/>
  <c r="DG12" i="32" s="1"/>
  <c r="R12" i="32"/>
  <c r="AX12" i="32"/>
  <c r="BE12" i="32" s="1"/>
  <c r="B12" i="32"/>
  <c r="I12" i="32" s="1"/>
  <c r="O12" i="32" s="1"/>
  <c r="AH12" i="32"/>
  <c r="AO12" i="32" s="1"/>
  <c r="AU12" i="32" s="1"/>
  <c r="C38" i="3"/>
  <c r="G38" i="3" s="1"/>
  <c r="O38" i="3" s="1"/>
  <c r="P38" i="3" s="1"/>
  <c r="CD12" i="32"/>
  <c r="CK12" i="32" s="1"/>
  <c r="CQ12" i="32" s="1"/>
  <c r="J12" i="32"/>
  <c r="P12" i="32" s="1"/>
  <c r="CD6" i="32"/>
  <c r="CK6" i="32" s="1"/>
  <c r="P143" i="30"/>
  <c r="C32" i="3" s="1"/>
  <c r="G32" i="3" s="1"/>
  <c r="O32" i="3" s="1"/>
  <c r="P32" i="3" s="1"/>
  <c r="B6" i="32"/>
  <c r="I6" i="32" s="1"/>
  <c r="AX6" i="32"/>
  <c r="BE6" i="32" s="1"/>
  <c r="BK6" i="32" s="1"/>
  <c r="G84" i="3"/>
  <c r="CT6" i="32"/>
  <c r="DA6" i="32" s="1"/>
  <c r="DG6" i="32" s="1"/>
  <c r="R143" i="30"/>
  <c r="T143" i="30" s="1"/>
  <c r="BN6" i="32"/>
  <c r="BU6" i="32" s="1"/>
  <c r="R6" i="32"/>
  <c r="Y6" i="32" s="1"/>
  <c r="AH6" i="32"/>
  <c r="AO6" i="32" s="1"/>
  <c r="G37" i="3"/>
  <c r="O37" i="3" s="1"/>
  <c r="P37" i="3" s="1"/>
  <c r="DK12" i="32" l="1"/>
  <c r="DL11" i="32"/>
  <c r="DL21" i="32" s="1"/>
  <c r="AG21" i="32"/>
  <c r="E5" i="29" s="1"/>
  <c r="AF6" i="32"/>
  <c r="AF21" i="32" s="1"/>
  <c r="D5" i="29" s="1"/>
  <c r="Z21" i="32"/>
  <c r="CR6" i="32"/>
  <c r="CQ6" i="32"/>
  <c r="BY6" i="32"/>
  <c r="CB6" i="32"/>
  <c r="CA6" i="32"/>
  <c r="BX6" i="32"/>
  <c r="BL6" i="32"/>
  <c r="BK12" i="32"/>
  <c r="AU6" i="32"/>
  <c r="Y12" i="32"/>
  <c r="AE12" i="32" s="1"/>
  <c r="AE6" i="32"/>
  <c r="J133" i="3"/>
  <c r="M133" i="3" s="1"/>
  <c r="J110" i="3"/>
  <c r="E180" i="3"/>
  <c r="I180" i="3" s="1"/>
  <c r="D180" i="3"/>
  <c r="H180" i="3" s="1"/>
  <c r="G180" i="3"/>
  <c r="F180" i="3"/>
  <c r="H134" i="3"/>
  <c r="G134" i="3"/>
  <c r="B181" i="3"/>
  <c r="C181" i="3" s="1"/>
  <c r="H111" i="3"/>
  <c r="G111" i="3"/>
  <c r="Q161" i="30"/>
  <c r="C85" i="3"/>
  <c r="E85" i="3" s="1"/>
  <c r="F36" i="2"/>
  <c r="C37" i="2"/>
  <c r="O6" i="32"/>
  <c r="AB143" i="30"/>
  <c r="AD143" i="30"/>
  <c r="Z143" i="30"/>
  <c r="C31" i="2"/>
  <c r="V143" i="30"/>
  <c r="AF143" i="30"/>
  <c r="X143" i="30"/>
  <c r="AI13" i="32"/>
  <c r="AP13" i="32" s="1"/>
  <c r="AV13" i="32" s="1"/>
  <c r="CE13" i="32"/>
  <c r="CL13" i="32" s="1"/>
  <c r="CR13" i="32" s="1"/>
  <c r="BO13" i="32"/>
  <c r="BV13" i="32" s="1"/>
  <c r="AY13" i="32"/>
  <c r="BF13" i="32" s="1"/>
  <c r="BL13" i="32" s="1"/>
  <c r="CU13" i="32"/>
  <c r="DB13" i="32" s="1"/>
  <c r="DH13" i="32" s="1"/>
  <c r="C13" i="32"/>
  <c r="AH13" i="32"/>
  <c r="AO13" i="32" s="1"/>
  <c r="AU13" i="32" s="1"/>
  <c r="AX13" i="32"/>
  <c r="BE13" i="32" s="1"/>
  <c r="BK13" i="32" s="1"/>
  <c r="R13" i="32"/>
  <c r="CT13" i="32"/>
  <c r="DA13" i="32" s="1"/>
  <c r="DG13" i="32" s="1"/>
  <c r="CD13" i="32"/>
  <c r="CK13" i="32" s="1"/>
  <c r="CQ13" i="32" s="1"/>
  <c r="B13" i="32"/>
  <c r="BN13" i="32"/>
  <c r="BU13" i="32" s="1"/>
  <c r="DJ6" i="32" l="1"/>
  <c r="DJ12" i="32"/>
  <c r="DK6" i="32"/>
  <c r="CB13" i="32"/>
  <c r="BY13" i="32"/>
  <c r="CA13" i="32"/>
  <c r="BX13" i="32"/>
  <c r="Y13" i="32"/>
  <c r="AE13" i="32" s="1"/>
  <c r="R161" i="30"/>
  <c r="S161" i="30" s="1"/>
  <c r="J180" i="3"/>
  <c r="J111" i="3"/>
  <c r="J134" i="3"/>
  <c r="M134" i="3" s="1"/>
  <c r="F31" i="2"/>
  <c r="G181" i="3"/>
  <c r="F181" i="3"/>
  <c r="D181" i="3"/>
  <c r="H181" i="3" s="1"/>
  <c r="E181" i="3"/>
  <c r="I181" i="3" s="1"/>
  <c r="F85" i="3"/>
  <c r="G85" i="3" s="1"/>
  <c r="F37" i="2"/>
  <c r="C86" i="3"/>
  <c r="E86" i="3" s="1"/>
  <c r="J13" i="32"/>
  <c r="P13" i="32" s="1"/>
  <c r="I13" i="32"/>
  <c r="O13" i="32" s="1"/>
  <c r="C80" i="3"/>
  <c r="E80" i="3" s="1"/>
  <c r="F80" i="3" s="1"/>
  <c r="C9" i="34"/>
  <c r="E9" i="34" s="1"/>
  <c r="C39" i="3"/>
  <c r="E73" i="41"/>
  <c r="DJ13" i="32" l="1"/>
  <c r="DK13" i="32"/>
  <c r="J181" i="3"/>
  <c r="G135" i="3"/>
  <c r="H135" i="3"/>
  <c r="B182" i="3"/>
  <c r="C182" i="3" s="1"/>
  <c r="G112" i="3"/>
  <c r="H112" i="3"/>
  <c r="F86" i="3"/>
  <c r="G86" i="3" s="1"/>
  <c r="D9" i="34"/>
  <c r="F9" i="34" s="1"/>
  <c r="G80" i="3"/>
  <c r="G39" i="3"/>
  <c r="O39" i="3" s="1"/>
  <c r="P39" i="3" s="1"/>
  <c r="E87" i="3"/>
  <c r="F87" i="3" s="1"/>
  <c r="AH7" i="32"/>
  <c r="AO7" i="32" s="1"/>
  <c r="R7" i="32"/>
  <c r="Y7" i="32" s="1"/>
  <c r="CD7" i="32"/>
  <c r="CK7" i="32" s="1"/>
  <c r="AX7" i="32"/>
  <c r="BE7" i="32" s="1"/>
  <c r="BN7" i="32"/>
  <c r="BU7" i="32" s="1"/>
  <c r="CT7" i="32"/>
  <c r="DA7" i="32" s="1"/>
  <c r="DG7" i="32" s="1"/>
  <c r="AI7" i="32"/>
  <c r="AP7" i="32" s="1"/>
  <c r="CE7" i="32"/>
  <c r="CL7" i="32" s="1"/>
  <c r="AY7" i="32"/>
  <c r="BF7" i="32" s="1"/>
  <c r="CU7" i="32"/>
  <c r="DB7" i="32" s="1"/>
  <c r="DH7" i="32" s="1"/>
  <c r="C7" i="32"/>
  <c r="BO7" i="32"/>
  <c r="BV7" i="32" s="1"/>
  <c r="CR7" i="32" l="1"/>
  <c r="CQ7" i="32"/>
  <c r="BX7" i="32"/>
  <c r="CA7" i="32"/>
  <c r="BY7" i="32"/>
  <c r="CB7" i="32"/>
  <c r="BL7" i="32"/>
  <c r="BK7" i="32"/>
  <c r="AV7" i="32"/>
  <c r="AU7" i="32"/>
  <c r="AE7" i="32"/>
  <c r="J112" i="3"/>
  <c r="E182" i="3"/>
  <c r="I182" i="3" s="1"/>
  <c r="D182" i="3"/>
  <c r="H182" i="3" s="1"/>
  <c r="G182" i="3"/>
  <c r="F182" i="3"/>
  <c r="J135" i="3"/>
  <c r="G136" i="3"/>
  <c r="H136" i="3"/>
  <c r="G130" i="3"/>
  <c r="H130" i="3"/>
  <c r="B183" i="3"/>
  <c r="C183" i="3" s="1"/>
  <c r="G113" i="3"/>
  <c r="H113" i="3"/>
  <c r="G87" i="3"/>
  <c r="B177" i="3"/>
  <c r="C177" i="3" s="1"/>
  <c r="D177" i="3" s="1"/>
  <c r="H177" i="3" s="1"/>
  <c r="H107" i="3"/>
  <c r="G107" i="3"/>
  <c r="I7" i="32"/>
  <c r="C32" i="2"/>
  <c r="C33" i="3"/>
  <c r="G33" i="3" s="1"/>
  <c r="O33" i="3" s="1"/>
  <c r="P33" i="3" s="1"/>
  <c r="J7" i="32"/>
  <c r="P7" i="32" s="1"/>
  <c r="DK7" i="32" l="1"/>
  <c r="J130" i="3"/>
  <c r="J136" i="3"/>
  <c r="M136" i="3" s="1"/>
  <c r="G183" i="3"/>
  <c r="F183" i="3"/>
  <c r="E183" i="3"/>
  <c r="I183" i="3" s="1"/>
  <c r="D183" i="3"/>
  <c r="H183" i="3" s="1"/>
  <c r="J182" i="3"/>
  <c r="M135" i="3"/>
  <c r="J113" i="3"/>
  <c r="G137" i="3"/>
  <c r="H137" i="3"/>
  <c r="B184" i="3"/>
  <c r="C184" i="3" s="1"/>
  <c r="G114" i="3"/>
  <c r="H114" i="3"/>
  <c r="F32" i="2"/>
  <c r="C81" i="3"/>
  <c r="E81" i="3" s="1"/>
  <c r="F81" i="3" s="1"/>
  <c r="J107" i="3"/>
  <c r="G177" i="3"/>
  <c r="F177" i="3"/>
  <c r="E177" i="3"/>
  <c r="I177" i="3" s="1"/>
  <c r="O7" i="32"/>
  <c r="DJ7" i="32" s="1"/>
  <c r="AI14" i="32"/>
  <c r="AP14" i="32" s="1"/>
  <c r="AV14" i="32" s="1"/>
  <c r="CE14" i="32"/>
  <c r="CL14" i="32" s="1"/>
  <c r="CR14" i="32" s="1"/>
  <c r="BO14" i="32"/>
  <c r="BV14" i="32" s="1"/>
  <c r="CU14" i="32"/>
  <c r="DB14" i="32" s="1"/>
  <c r="DH14" i="32" s="1"/>
  <c r="AY14" i="32"/>
  <c r="BF14" i="32" s="1"/>
  <c r="BL14" i="32" s="1"/>
  <c r="C14" i="32"/>
  <c r="AH14" i="32"/>
  <c r="AO14" i="32" s="1"/>
  <c r="AU14" i="32" s="1"/>
  <c r="B14" i="32"/>
  <c r="CT14" i="32"/>
  <c r="DA14" i="32" s="1"/>
  <c r="DG14" i="32" s="1"/>
  <c r="BN14" i="32"/>
  <c r="BU14" i="32" s="1"/>
  <c r="R14" i="32"/>
  <c r="CD14" i="32"/>
  <c r="CK14" i="32" s="1"/>
  <c r="CQ14" i="32" s="1"/>
  <c r="AX14" i="32"/>
  <c r="BE14" i="32" s="1"/>
  <c r="BK14" i="32" s="1"/>
  <c r="BY14" i="32" l="1"/>
  <c r="CB14" i="32"/>
  <c r="CA14" i="32"/>
  <c r="BX14" i="32"/>
  <c r="Y14" i="32"/>
  <c r="AE14" i="32" s="1"/>
  <c r="J137" i="3"/>
  <c r="M137" i="3" s="1"/>
  <c r="J183" i="3"/>
  <c r="D184" i="3"/>
  <c r="H184" i="3" s="1"/>
  <c r="G184" i="3"/>
  <c r="F184" i="3"/>
  <c r="E184" i="3"/>
  <c r="I184" i="3" s="1"/>
  <c r="J114" i="3"/>
  <c r="J177" i="3"/>
  <c r="J14" i="32"/>
  <c r="P14" i="32" s="1"/>
  <c r="DK14" i="32" s="1"/>
  <c r="I14" i="32"/>
  <c r="O14" i="32" s="1"/>
  <c r="G81" i="3"/>
  <c r="C10" i="34"/>
  <c r="E10" i="34" s="1"/>
  <c r="E88" i="3"/>
  <c r="F88" i="3" s="1"/>
  <c r="DJ14" i="32" l="1"/>
  <c r="J184" i="3"/>
  <c r="G131" i="3"/>
  <c r="H131" i="3"/>
  <c r="B178" i="3"/>
  <c r="C178" i="3" s="1"/>
  <c r="G108" i="3"/>
  <c r="H108" i="3"/>
  <c r="G88" i="3"/>
  <c r="C40" i="3"/>
  <c r="G40" i="3" s="1"/>
  <c r="O40" i="3" s="1"/>
  <c r="P40" i="3" s="1"/>
  <c r="D10" i="34"/>
  <c r="F10" i="34" s="1"/>
  <c r="AI8" i="32"/>
  <c r="CU8" i="32"/>
  <c r="C8" i="32"/>
  <c r="C20" i="32" s="1"/>
  <c r="D17" i="29" s="1"/>
  <c r="S20" i="32"/>
  <c r="D18" i="29" s="1"/>
  <c r="BO8" i="32"/>
  <c r="AY8" i="32"/>
  <c r="CE8" i="32"/>
  <c r="AH8" i="32"/>
  <c r="R8" i="32"/>
  <c r="Y8" i="32" s="1"/>
  <c r="B8" i="32"/>
  <c r="B20" i="32" s="1"/>
  <c r="CD8" i="32"/>
  <c r="CT8" i="32"/>
  <c r="O157" i="30"/>
  <c r="R157" i="30"/>
  <c r="AX8" i="32"/>
  <c r="BN8" i="32"/>
  <c r="CU20" i="32" l="1"/>
  <c r="D23" i="29" s="1"/>
  <c r="DB8" i="32"/>
  <c r="CT20" i="32"/>
  <c r="C23" i="29" s="1"/>
  <c r="DA8" i="32"/>
  <c r="CD20" i="32"/>
  <c r="C22" i="29" s="1"/>
  <c r="CK8" i="32"/>
  <c r="CE20" i="32"/>
  <c r="D22" i="29" s="1"/>
  <c r="CL8" i="32"/>
  <c r="BN20" i="32"/>
  <c r="BU8" i="32"/>
  <c r="BO20" i="32"/>
  <c r="D21" i="29" s="1"/>
  <c r="BV8" i="32"/>
  <c r="AX20" i="32"/>
  <c r="C20" i="29" s="1"/>
  <c r="BE8" i="32"/>
  <c r="AY20" i="32"/>
  <c r="D20" i="29" s="1"/>
  <c r="BF8" i="32"/>
  <c r="AI20" i="32"/>
  <c r="D19" i="29" s="1"/>
  <c r="AP8" i="32"/>
  <c r="AH20" i="32"/>
  <c r="C19" i="29" s="1"/>
  <c r="AO8" i="32"/>
  <c r="R20" i="32"/>
  <c r="C18" i="29" s="1"/>
  <c r="F18" i="29" s="1"/>
  <c r="D178" i="3"/>
  <c r="H178" i="3" s="1"/>
  <c r="G178" i="3"/>
  <c r="F178" i="3"/>
  <c r="E178" i="3"/>
  <c r="I178" i="3" s="1"/>
  <c r="J131" i="3"/>
  <c r="G138" i="3"/>
  <c r="H138" i="3"/>
  <c r="B185" i="3"/>
  <c r="C185" i="3" s="1"/>
  <c r="G115" i="3"/>
  <c r="H115" i="3"/>
  <c r="J108" i="3"/>
  <c r="F175" i="30"/>
  <c r="B20" i="20" s="1"/>
  <c r="M130" i="3"/>
  <c r="C8" i="34"/>
  <c r="O175" i="30"/>
  <c r="I8" i="32"/>
  <c r="I21" i="32" s="1"/>
  <c r="C17" i="29"/>
  <c r="F17" i="29" s="1"/>
  <c r="C33" i="2"/>
  <c r="C34" i="3"/>
  <c r="C21" i="29"/>
  <c r="J8" i="32"/>
  <c r="F21" i="29" l="1"/>
  <c r="F22" i="29"/>
  <c r="DG8" i="32"/>
  <c r="DG21" i="32" s="1"/>
  <c r="DA21" i="32"/>
  <c r="F19" i="29"/>
  <c r="F23" i="29"/>
  <c r="DH8" i="32"/>
  <c r="DH21" i="32" s="1"/>
  <c r="D10" i="29" s="1"/>
  <c r="DB21" i="32"/>
  <c r="F20" i="29"/>
  <c r="D24" i="29"/>
  <c r="CR8" i="32"/>
  <c r="CR21" i="32" s="1"/>
  <c r="D9" i="29" s="1"/>
  <c r="CL21" i="32"/>
  <c r="CQ8" i="32"/>
  <c r="CQ21" i="32" s="1"/>
  <c r="CK21" i="32"/>
  <c r="CB8" i="32"/>
  <c r="CB21" i="32" s="1"/>
  <c r="D8" i="29" s="1"/>
  <c r="BY8" i="32"/>
  <c r="BY21" i="32" s="1"/>
  <c r="BV21" i="32"/>
  <c r="BX8" i="32"/>
  <c r="BX21" i="32" s="1"/>
  <c r="CA8" i="32"/>
  <c r="CA21" i="32" s="1"/>
  <c r="C8" i="29" s="1"/>
  <c r="BU21" i="32"/>
  <c r="BL8" i="32"/>
  <c r="BL21" i="32" s="1"/>
  <c r="D7" i="29" s="1"/>
  <c r="BF21" i="32"/>
  <c r="BK8" i="32"/>
  <c r="BK21" i="32" s="1"/>
  <c r="C7" i="29" s="1"/>
  <c r="BE21" i="32"/>
  <c r="AU8" i="32"/>
  <c r="AU21" i="32" s="1"/>
  <c r="AO21" i="32"/>
  <c r="AV8" i="32"/>
  <c r="AV21" i="32" s="1"/>
  <c r="D6" i="29" s="1"/>
  <c r="AP21" i="32"/>
  <c r="AE8" i="32"/>
  <c r="AE21" i="32" s="1"/>
  <c r="Y21" i="32"/>
  <c r="J21" i="32"/>
  <c r="P8" i="32"/>
  <c r="D185" i="3"/>
  <c r="H185" i="3" s="1"/>
  <c r="G185" i="3"/>
  <c r="F194" i="3" s="1"/>
  <c r="F185" i="3"/>
  <c r="D202" i="3" s="1"/>
  <c r="M21" i="14" s="1"/>
  <c r="P21" i="14" s="1"/>
  <c r="E185" i="3"/>
  <c r="I185" i="3" s="1"/>
  <c r="J138" i="3"/>
  <c r="M138" i="3" s="1"/>
  <c r="J178" i="3"/>
  <c r="M131" i="3"/>
  <c r="J115" i="3"/>
  <c r="F33" i="2"/>
  <c r="F45" i="2" s="1"/>
  <c r="K5" i="7" s="1"/>
  <c r="C82" i="3"/>
  <c r="E82" i="3" s="1"/>
  <c r="F82" i="3" s="1"/>
  <c r="R175" i="30"/>
  <c r="I14" i="17" s="1"/>
  <c r="Q175" i="30"/>
  <c r="P175" i="30"/>
  <c r="D8" i="34"/>
  <c r="F8" i="34" s="1"/>
  <c r="F18" i="34" s="1"/>
  <c r="E8" i="34"/>
  <c r="E18" i="34" s="1"/>
  <c r="D173" i="1"/>
  <c r="D174" i="1"/>
  <c r="Q21" i="32"/>
  <c r="E4" i="29" s="1"/>
  <c r="E11" i="29" s="1"/>
  <c r="E78" i="14"/>
  <c r="H78" i="14" s="1"/>
  <c r="K78" i="14" s="1"/>
  <c r="G34" i="3"/>
  <c r="O34" i="3" s="1"/>
  <c r="P34" i="3" s="1"/>
  <c r="P46" i="3" s="1"/>
  <c r="C24" i="29"/>
  <c r="O8" i="32"/>
  <c r="E19" i="34"/>
  <c r="F8" i="29" l="1"/>
  <c r="H8" i="29" s="1"/>
  <c r="DJ8" i="32"/>
  <c r="DJ21" i="32" s="1"/>
  <c r="P21" i="32"/>
  <c r="D4" i="29" s="1"/>
  <c r="D11" i="29" s="1"/>
  <c r="DK8" i="32"/>
  <c r="DK21" i="32" s="1"/>
  <c r="E78" i="41"/>
  <c r="C10" i="29"/>
  <c r="F10" i="29" s="1"/>
  <c r="E77" i="41"/>
  <c r="C9" i="29"/>
  <c r="F9" i="29" s="1"/>
  <c r="F7" i="29"/>
  <c r="J185" i="3"/>
  <c r="E74" i="41"/>
  <c r="C5" i="29"/>
  <c r="F5" i="29" s="1"/>
  <c r="H5" i="29" s="1"/>
  <c r="O21" i="32"/>
  <c r="C4" i="29" s="1"/>
  <c r="C6" i="29"/>
  <c r="F6" i="29" s="1"/>
  <c r="I11" i="17"/>
  <c r="I15" i="17"/>
  <c r="I9" i="17"/>
  <c r="I13" i="17"/>
  <c r="I10" i="17"/>
  <c r="S175" i="30"/>
  <c r="I12" i="17"/>
  <c r="G82" i="3"/>
  <c r="C3" i="35"/>
  <c r="D44" i="41" s="1"/>
  <c r="C206" i="1" s="1"/>
  <c r="C176" i="1"/>
  <c r="D176" i="1"/>
  <c r="D172" i="1"/>
  <c r="D175" i="1"/>
  <c r="E76" i="41"/>
  <c r="E75" i="41"/>
  <c r="D171" i="1"/>
  <c r="F24" i="29"/>
  <c r="F25" i="29" s="1"/>
  <c r="AV14" i="17"/>
  <c r="F4" i="29" l="1"/>
  <c r="H4" i="29" s="1"/>
  <c r="G132" i="3"/>
  <c r="H132" i="3"/>
  <c r="B179" i="3"/>
  <c r="C179" i="3" s="1"/>
  <c r="C191" i="3" s="1"/>
  <c r="H109" i="3"/>
  <c r="G109" i="3"/>
  <c r="C24" i="11"/>
  <c r="H6" i="29"/>
  <c r="H10" i="29"/>
  <c r="H9" i="29"/>
  <c r="C172" i="1"/>
  <c r="C173" i="1"/>
  <c r="C175" i="1"/>
  <c r="C174" i="1"/>
  <c r="C23" i="11"/>
  <c r="K23" i="11" s="1"/>
  <c r="C22" i="11"/>
  <c r="E79" i="41"/>
  <c r="C11" i="29"/>
  <c r="C167" i="1"/>
  <c r="C163" i="1"/>
  <c r="C164" i="1"/>
  <c r="C161" i="1"/>
  <c r="C165" i="1"/>
  <c r="C166" i="1"/>
  <c r="C162" i="1"/>
  <c r="G179" i="3" l="1"/>
  <c r="F179" i="3"/>
  <c r="E179" i="3"/>
  <c r="I179" i="3" s="1"/>
  <c r="I191" i="3" s="1"/>
  <c r="D179" i="3"/>
  <c r="J132" i="3"/>
  <c r="J109" i="3"/>
  <c r="N24" i="11"/>
  <c r="Q24" i="11" s="1"/>
  <c r="R24" i="11" s="1"/>
  <c r="K24" i="11"/>
  <c r="K166" i="1"/>
  <c r="C213" i="1"/>
  <c r="C25" i="11"/>
  <c r="C34" i="14"/>
  <c r="F34" i="14" s="1"/>
  <c r="K163" i="1"/>
  <c r="I8" i="18"/>
  <c r="BI13" i="17" s="1"/>
  <c r="K165" i="1"/>
  <c r="D12" i="17"/>
  <c r="K164" i="1"/>
  <c r="K167" i="1"/>
  <c r="E19" i="16"/>
  <c r="K162" i="1"/>
  <c r="C27" i="11"/>
  <c r="E24" i="16"/>
  <c r="C215" i="1"/>
  <c r="I10" i="18"/>
  <c r="BI15" i="17" s="1"/>
  <c r="C33" i="14"/>
  <c r="F33" i="14" s="1"/>
  <c r="E21" i="16"/>
  <c r="D15" i="17"/>
  <c r="U15" i="17" s="1"/>
  <c r="C210" i="1"/>
  <c r="C38" i="14"/>
  <c r="F38" i="14" s="1"/>
  <c r="D73" i="41"/>
  <c r="I5" i="18"/>
  <c r="BI10" i="17" s="1"/>
  <c r="D75" i="41"/>
  <c r="C212" i="1"/>
  <c r="D78" i="41"/>
  <c r="D10" i="17"/>
  <c r="I7" i="18"/>
  <c r="BI12" i="17" s="1"/>
  <c r="C35" i="14"/>
  <c r="F35" i="14" s="1"/>
  <c r="E22" i="16"/>
  <c r="I6" i="18"/>
  <c r="BI11" i="17" s="1"/>
  <c r="D76" i="41"/>
  <c r="E20" i="16"/>
  <c r="C211" i="1"/>
  <c r="D11" i="17"/>
  <c r="BS11" i="17" s="1"/>
  <c r="C36" i="14"/>
  <c r="F36" i="14" s="1"/>
  <c r="D74" i="41"/>
  <c r="D13" i="17"/>
  <c r="BY13" i="17" s="1"/>
  <c r="C26" i="11"/>
  <c r="D77" i="41"/>
  <c r="C214" i="1"/>
  <c r="D14" i="17"/>
  <c r="E23" i="16"/>
  <c r="C37" i="14"/>
  <c r="F37" i="14" s="1"/>
  <c r="I9" i="18"/>
  <c r="BI14" i="17" s="1"/>
  <c r="B191" i="3"/>
  <c r="C171" i="1"/>
  <c r="N23" i="11"/>
  <c r="Q23" i="11" s="1"/>
  <c r="R23" i="11" s="1"/>
  <c r="E18" i="16"/>
  <c r="C209" i="1"/>
  <c r="I4" i="18"/>
  <c r="D72" i="41"/>
  <c r="C32" i="14"/>
  <c r="F32" i="14" s="1"/>
  <c r="D9" i="17"/>
  <c r="AO9" i="17" s="1"/>
  <c r="F11" i="29"/>
  <c r="K22" i="11"/>
  <c r="N22" i="11"/>
  <c r="Q22" i="11" s="1"/>
  <c r="AV15" i="17"/>
  <c r="AV11" i="17"/>
  <c r="AV12" i="17"/>
  <c r="AV10" i="17"/>
  <c r="AI12" i="17"/>
  <c r="AM9" i="17"/>
  <c r="AI10" i="17"/>
  <c r="AP15" i="17"/>
  <c r="AP9" i="17"/>
  <c r="AV9" i="17"/>
  <c r="AM11" i="17"/>
  <c r="AP12" i="17"/>
  <c r="AM10" i="17"/>
  <c r="AP13" i="17"/>
  <c r="AP10" i="17"/>
  <c r="AI13" i="17"/>
  <c r="AO12" i="17"/>
  <c r="AM15" i="17"/>
  <c r="AM13" i="17"/>
  <c r="AI14" i="17"/>
  <c r="AM12" i="17"/>
  <c r="AI9" i="17"/>
  <c r="AM14" i="17"/>
  <c r="AP14" i="17"/>
  <c r="AI15" i="17"/>
  <c r="AP11" i="17"/>
  <c r="AI11" i="17"/>
  <c r="AV13" i="17"/>
  <c r="B5" i="39" l="1"/>
  <c r="B3" i="44"/>
  <c r="D3" i="44" s="1"/>
  <c r="K3" i="44" s="1"/>
  <c r="D201" i="3"/>
  <c r="M20" i="14" s="1"/>
  <c r="F191" i="3"/>
  <c r="F193" i="3"/>
  <c r="E201" i="3"/>
  <c r="E77" i="14" s="1"/>
  <c r="H77" i="14" s="1"/>
  <c r="K77" i="14" s="1"/>
  <c r="K12" i="7" s="1"/>
  <c r="L12" i="7" s="1"/>
  <c r="G191" i="3"/>
  <c r="H179" i="3"/>
  <c r="H191" i="3" s="1"/>
  <c r="D191" i="3"/>
  <c r="E191" i="3"/>
  <c r="M132" i="3"/>
  <c r="M144" i="3" s="1"/>
  <c r="K8" i="7" s="1"/>
  <c r="L8" i="7" s="1"/>
  <c r="J144" i="3"/>
  <c r="J121" i="3"/>
  <c r="K7" i="7" s="1"/>
  <c r="L7" i="7" s="1"/>
  <c r="S10" i="17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BY12" i="17"/>
  <c r="K25" i="11"/>
  <c r="N25" i="11"/>
  <c r="Q25" i="11" s="1"/>
  <c r="R25" i="11" s="1"/>
  <c r="S12" i="17"/>
  <c r="R22" i="11"/>
  <c r="BX12" i="17"/>
  <c r="AS12" i="17"/>
  <c r="BS12" i="17"/>
  <c r="U12" i="17"/>
  <c r="BS13" i="17"/>
  <c r="H11" i="29"/>
  <c r="BS15" i="17"/>
  <c r="AS15" i="17"/>
  <c r="BX15" i="17"/>
  <c r="S15" i="17"/>
  <c r="U10" i="17"/>
  <c r="BY15" i="17"/>
  <c r="BS10" i="17"/>
  <c r="BX10" i="17"/>
  <c r="BY10" i="17"/>
  <c r="AS10" i="17"/>
  <c r="U11" i="17"/>
  <c r="K4" i="29"/>
  <c r="K8" i="29"/>
  <c r="AS11" i="17"/>
  <c r="K7" i="29"/>
  <c r="K10" i="29"/>
  <c r="K6" i="29"/>
  <c r="L5" i="29"/>
  <c r="K5" i="29"/>
  <c r="L4" i="29"/>
  <c r="L6" i="29"/>
  <c r="S11" i="17"/>
  <c r="I11" i="29"/>
  <c r="E10" i="11" s="1"/>
  <c r="H10" i="11" s="1"/>
  <c r="H13" i="11" s="1"/>
  <c r="L10" i="29"/>
  <c r="K9" i="29"/>
  <c r="BX11" i="17"/>
  <c r="U13" i="17"/>
  <c r="AS13" i="17"/>
  <c r="BX13" i="17"/>
  <c r="BZ13" i="17" s="1"/>
  <c r="E26" i="16"/>
  <c r="C11" i="16" s="1"/>
  <c r="M11" i="16" s="1"/>
  <c r="AV16" i="17"/>
  <c r="D79" i="41"/>
  <c r="L9" i="29"/>
  <c r="L7" i="29"/>
  <c r="L8" i="29"/>
  <c r="BY11" i="17"/>
  <c r="S13" i="17"/>
  <c r="F39" i="14"/>
  <c r="M16" i="14" s="1"/>
  <c r="P16" i="14" s="1"/>
  <c r="BY14" i="17"/>
  <c r="BS14" i="17"/>
  <c r="S14" i="17"/>
  <c r="BX14" i="17"/>
  <c r="U14" i="17"/>
  <c r="AS14" i="17"/>
  <c r="N26" i="11"/>
  <c r="Q26" i="11" s="1"/>
  <c r="R26" i="11" s="1"/>
  <c r="K26" i="11"/>
  <c r="H20" i="14"/>
  <c r="F47" i="14"/>
  <c r="AM16" i="17"/>
  <c r="AI16" i="17"/>
  <c r="AP16" i="17"/>
  <c r="F12" i="29"/>
  <c r="D6" i="41"/>
  <c r="D11" i="7"/>
  <c r="E11" i="7" s="1"/>
  <c r="D6" i="7"/>
  <c r="E6" i="7" s="1"/>
  <c r="D5" i="7"/>
  <c r="E5" i="7" s="1"/>
  <c r="E10" i="28"/>
  <c r="D8" i="7"/>
  <c r="E8" i="7" s="1"/>
  <c r="D8" i="1"/>
  <c r="D14" i="7"/>
  <c r="E14" i="7" s="1"/>
  <c r="D7" i="7"/>
  <c r="E7" i="7" s="1"/>
  <c r="D12" i="7"/>
  <c r="E12" i="7" s="1"/>
  <c r="K14" i="7"/>
  <c r="L14" i="7" s="1"/>
  <c r="C4" i="35"/>
  <c r="G44" i="41" s="1"/>
  <c r="K6" i="7"/>
  <c r="L6" i="7" s="1"/>
  <c r="C5" i="39"/>
  <c r="C7" i="39" s="1"/>
  <c r="C8" i="39" s="1"/>
  <c r="C9" i="39" s="1"/>
  <c r="G5" i="39"/>
  <c r="G7" i="39" s="1"/>
  <c r="G8" i="39" s="1"/>
  <c r="G9" i="39" s="1"/>
  <c r="G10" i="39" s="1"/>
  <c r="F5" i="39"/>
  <c r="F7" i="39" s="1"/>
  <c r="F8" i="39" s="1"/>
  <c r="F9" i="39" s="1"/>
  <c r="L5" i="7"/>
  <c r="E5" i="39"/>
  <c r="E7" i="39" s="1"/>
  <c r="E8" i="39" s="1"/>
  <c r="E9" i="39" s="1"/>
  <c r="E10" i="39" s="1"/>
  <c r="H5" i="39"/>
  <c r="H7" i="39" s="1"/>
  <c r="H8" i="39" s="1"/>
  <c r="H9" i="39" s="1"/>
  <c r="H10" i="39" s="1"/>
  <c r="D5" i="39"/>
  <c r="D7" i="39" s="1"/>
  <c r="D8" i="39" s="1"/>
  <c r="D9" i="39" s="1"/>
  <c r="D10" i="39" s="1"/>
  <c r="O3" i="18"/>
  <c r="BI9" i="17"/>
  <c r="BI16" i="17" s="1"/>
  <c r="N27" i="11"/>
  <c r="Q27" i="11" s="1"/>
  <c r="K27" i="11"/>
  <c r="S9" i="17"/>
  <c r="BS9" i="17"/>
  <c r="BX9" i="17"/>
  <c r="D16" i="17"/>
  <c r="BY9" i="17"/>
  <c r="AS9" i="17"/>
  <c r="U9" i="17"/>
  <c r="B7" i="39"/>
  <c r="B8" i="39" s="1"/>
  <c r="B9" i="39" s="1"/>
  <c r="B10" i="39" s="1"/>
  <c r="AO15" i="17"/>
  <c r="AO10" i="17"/>
  <c r="AO11" i="17"/>
  <c r="AO13" i="17"/>
  <c r="AO14" i="17"/>
  <c r="P20" i="14" l="1"/>
  <c r="F57" i="14"/>
  <c r="J179" i="3"/>
  <c r="K190" i="3" s="1"/>
  <c r="C68" i="14"/>
  <c r="K11" i="7" s="1"/>
  <c r="L11" i="7" s="1"/>
  <c r="M11" i="7" s="1"/>
  <c r="E14" i="10"/>
  <c r="K14" i="10" s="1"/>
  <c r="L3" i="44"/>
  <c r="K9" i="44"/>
  <c r="M8" i="7"/>
  <c r="M14" i="14"/>
  <c r="E14" i="14"/>
  <c r="P4" i="18"/>
  <c r="I22" i="18"/>
  <c r="BZ12" i="17"/>
  <c r="Q28" i="11"/>
  <c r="BZ15" i="17"/>
  <c r="L11" i="16"/>
  <c r="BZ10" i="17"/>
  <c r="K11" i="16"/>
  <c r="K28" i="11"/>
  <c r="J11" i="16"/>
  <c r="BS16" i="17"/>
  <c r="BZ11" i="17"/>
  <c r="N11" i="16"/>
  <c r="E16" i="14"/>
  <c r="H16" i="14" s="1"/>
  <c r="AS16" i="17"/>
  <c r="BX16" i="17"/>
  <c r="AO16" i="17"/>
  <c r="U16" i="17"/>
  <c r="BZ14" i="17"/>
  <c r="S16" i="17"/>
  <c r="J6" i="39"/>
  <c r="B13" i="39" s="1"/>
  <c r="B15" i="39" s="1"/>
  <c r="BZ9" i="17"/>
  <c r="BY16" i="17"/>
  <c r="M5" i="7"/>
  <c r="D33" i="7"/>
  <c r="M6" i="7"/>
  <c r="D32" i="7"/>
  <c r="F12" i="7"/>
  <c r="F6" i="7"/>
  <c r="C32" i="7"/>
  <c r="R27" i="11"/>
  <c r="R28" i="11" s="1"/>
  <c r="D11" i="39"/>
  <c r="C12" i="37" s="1"/>
  <c r="E53" i="41" s="1"/>
  <c r="B12" i="37"/>
  <c r="D53" i="41" s="1"/>
  <c r="F10" i="39"/>
  <c r="B14" i="37" s="1"/>
  <c r="D55" i="41" s="1"/>
  <c r="F7" i="7"/>
  <c r="F8" i="7"/>
  <c r="F11" i="7"/>
  <c r="C31" i="7"/>
  <c r="B11" i="39"/>
  <c r="C10" i="37" s="1"/>
  <c r="B10" i="37"/>
  <c r="M12" i="7"/>
  <c r="M7" i="7"/>
  <c r="H11" i="39"/>
  <c r="C16" i="37" s="1"/>
  <c r="E57" i="41" s="1"/>
  <c r="B16" i="37"/>
  <c r="D57" i="41" s="1"/>
  <c r="G11" i="39"/>
  <c r="C15" i="37" s="1"/>
  <c r="E56" i="41" s="1"/>
  <c r="B15" i="37"/>
  <c r="D56" i="41" s="1"/>
  <c r="M14" i="7"/>
  <c r="D35" i="7"/>
  <c r="L15" i="7"/>
  <c r="E15" i="7"/>
  <c r="K6" i="41"/>
  <c r="C191" i="1"/>
  <c r="G13" i="41"/>
  <c r="G12" i="41"/>
  <c r="G38" i="41"/>
  <c r="J6" i="41"/>
  <c r="G33" i="41"/>
  <c r="G10" i="41"/>
  <c r="C205" i="1"/>
  <c r="G39" i="41"/>
  <c r="G34" i="41"/>
  <c r="G11" i="41"/>
  <c r="G9" i="41"/>
  <c r="E11" i="39"/>
  <c r="C13" i="37" s="1"/>
  <c r="E54" i="41" s="1"/>
  <c r="B13" i="37"/>
  <c r="D54" i="41" s="1"/>
  <c r="C10" i="39"/>
  <c r="B11" i="37" s="1"/>
  <c r="D52" i="41" s="1"/>
  <c r="F14" i="7"/>
  <c r="C35" i="7"/>
  <c r="C33" i="7"/>
  <c r="F5" i="7"/>
  <c r="J191" i="3" l="1"/>
  <c r="M15" i="14" s="1"/>
  <c r="E57" i="14" s="1"/>
  <c r="D31" i="7"/>
  <c r="N3" i="44"/>
  <c r="L9" i="44"/>
  <c r="E13" i="10"/>
  <c r="K13" i="10" s="1"/>
  <c r="K16" i="10" s="1"/>
  <c r="D44" i="10" s="1"/>
  <c r="G44" i="10" s="1"/>
  <c r="D47" i="10"/>
  <c r="E47" i="10" s="1"/>
  <c r="G47" i="10" s="1"/>
  <c r="H14" i="14"/>
  <c r="H22" i="14" s="1"/>
  <c r="B6" i="14" s="1"/>
  <c r="D9" i="7" s="1"/>
  <c r="E9" i="7" s="1"/>
  <c r="C47" i="14"/>
  <c r="P14" i="14"/>
  <c r="C57" i="14"/>
  <c r="P3" i="18"/>
  <c r="Q3" i="18" s="1"/>
  <c r="B3" i="19" s="1"/>
  <c r="D21" i="41" s="1"/>
  <c r="G21" i="41" s="1"/>
  <c r="O11" i="16"/>
  <c r="K13" i="7" s="1"/>
  <c r="D34" i="7" s="1"/>
  <c r="BZ16" i="17"/>
  <c r="E47" i="14"/>
  <c r="H14" i="17"/>
  <c r="K14" i="17" s="1"/>
  <c r="H13" i="17"/>
  <c r="K13" i="17" s="1"/>
  <c r="H11" i="17"/>
  <c r="K11" i="17" s="1"/>
  <c r="H15" i="17"/>
  <c r="K15" i="17" s="1"/>
  <c r="H12" i="17"/>
  <c r="K12" i="17" s="1"/>
  <c r="H10" i="17"/>
  <c r="K10" i="17" s="1"/>
  <c r="H9" i="17"/>
  <c r="K9" i="17" s="1"/>
  <c r="B2" i="37"/>
  <c r="B14" i="39"/>
  <c r="B3" i="37" s="1"/>
  <c r="G40" i="41"/>
  <c r="G41" i="41" s="1"/>
  <c r="F11" i="39"/>
  <c r="C14" i="37" s="1"/>
  <c r="E55" i="41" s="1"/>
  <c r="G35" i="41"/>
  <c r="M15" i="7"/>
  <c r="D36" i="7"/>
  <c r="D51" i="41"/>
  <c r="B17" i="37"/>
  <c r="D58" i="41" s="1"/>
  <c r="E51" i="41"/>
  <c r="B16" i="39"/>
  <c r="B5" i="37" s="1"/>
  <c r="B18" i="39"/>
  <c r="B7" i="37" s="1"/>
  <c r="B4" i="37"/>
  <c r="D28" i="41" s="1"/>
  <c r="G27" i="41" s="1"/>
  <c r="C204" i="1" s="1"/>
  <c r="B17" i="39"/>
  <c r="B6" i="37" s="1"/>
  <c r="C11" i="39"/>
  <c r="C11" i="37" s="1"/>
  <c r="E52" i="41" s="1"/>
  <c r="F15" i="7"/>
  <c r="C36" i="7"/>
  <c r="I58" i="14" l="1"/>
  <c r="J59" i="14" s="1"/>
  <c r="K10" i="7" s="1"/>
  <c r="L10" i="7" s="1"/>
  <c r="M10" i="7" s="1"/>
  <c r="P15" i="14"/>
  <c r="P22" i="14" s="1"/>
  <c r="C6" i="14" s="1"/>
  <c r="K9" i="7" s="1"/>
  <c r="L9" i="7" s="1"/>
  <c r="M9" i="7" s="1"/>
  <c r="F9" i="7"/>
  <c r="P3" i="44"/>
  <c r="O3" i="44"/>
  <c r="N9" i="44"/>
  <c r="Q30" i="11" s="1"/>
  <c r="K19" i="10"/>
  <c r="C190" i="1"/>
  <c r="I48" i="14"/>
  <c r="J49" i="14" s="1"/>
  <c r="D10" i="7" s="1"/>
  <c r="E10" i="7" s="1"/>
  <c r="F10" i="7" s="1"/>
  <c r="K21" i="41"/>
  <c r="J21" i="41"/>
  <c r="L13" i="7"/>
  <c r="D13" i="7"/>
  <c r="C34" i="7" s="1"/>
  <c r="AK9" i="17"/>
  <c r="BL9" i="17" s="1"/>
  <c r="L9" i="17"/>
  <c r="AK12" i="17"/>
  <c r="L12" i="17"/>
  <c r="AK11" i="17"/>
  <c r="L11" i="17"/>
  <c r="L10" i="17"/>
  <c r="AK10" i="17"/>
  <c r="L14" i="17"/>
  <c r="AK14" i="17"/>
  <c r="BL14" i="17" s="1"/>
  <c r="C14" i="19" s="1"/>
  <c r="L13" i="17"/>
  <c r="AK13" i="17"/>
  <c r="AK15" i="17"/>
  <c r="BL15" i="17" s="1"/>
  <c r="C15" i="19" s="1"/>
  <c r="L15" i="17"/>
  <c r="D27" i="41"/>
  <c r="C203" i="1"/>
  <c r="J31" i="41"/>
  <c r="K31" i="41"/>
  <c r="K29" i="41"/>
  <c r="J29" i="41"/>
  <c r="C201" i="1" s="1"/>
  <c r="J30" i="41"/>
  <c r="C202" i="1"/>
  <c r="K30" i="41"/>
  <c r="C17" i="37"/>
  <c r="E58" i="41" s="1"/>
  <c r="AX9" i="17"/>
  <c r="AX14" i="17"/>
  <c r="AX12" i="17"/>
  <c r="BC14" i="17"/>
  <c r="BC11" i="17"/>
  <c r="BC10" i="17"/>
  <c r="BG15" i="17"/>
  <c r="BG9" i="17"/>
  <c r="BG10" i="17"/>
  <c r="BG11" i="17"/>
  <c r="AX11" i="17"/>
  <c r="BG12" i="17"/>
  <c r="AX10" i="17"/>
  <c r="AZ11" i="17"/>
  <c r="AZ9" i="17"/>
  <c r="BC13" i="17"/>
  <c r="AZ14" i="17"/>
  <c r="AZ12" i="17"/>
  <c r="BC12" i="17"/>
  <c r="BC15" i="17"/>
  <c r="BG14" i="17"/>
  <c r="AZ13" i="17"/>
  <c r="AZ10" i="17"/>
  <c r="AX15" i="17"/>
  <c r="AX13" i="17"/>
  <c r="BG13" i="17"/>
  <c r="AZ15" i="17"/>
  <c r="BC9" i="17"/>
  <c r="N5" i="7" l="1"/>
  <c r="D30" i="7"/>
  <c r="D37" i="7" s="1"/>
  <c r="D42" i="7" s="1"/>
  <c r="L16" i="7"/>
  <c r="Q3" i="44"/>
  <c r="O9" i="44"/>
  <c r="R30" i="11" s="1"/>
  <c r="R3" i="44"/>
  <c r="R9" i="44" s="1"/>
  <c r="P9" i="44"/>
  <c r="G50" i="10" s="1"/>
  <c r="D31" i="41" s="1"/>
  <c r="N12" i="7"/>
  <c r="N6" i="7"/>
  <c r="N11" i="7"/>
  <c r="N9" i="7"/>
  <c r="N8" i="7"/>
  <c r="M13" i="7"/>
  <c r="N13" i="7"/>
  <c r="N7" i="7"/>
  <c r="N14" i="7"/>
  <c r="N10" i="7"/>
  <c r="C30" i="7"/>
  <c r="C37" i="7" s="1"/>
  <c r="E13" i="7"/>
  <c r="C9" i="19"/>
  <c r="BF9" i="17"/>
  <c r="BM9" i="17" s="1"/>
  <c r="AK16" i="17"/>
  <c r="BF14" i="17"/>
  <c r="BM14" i="17" s="1"/>
  <c r="BF15" i="17"/>
  <c r="BM15" i="17" s="1"/>
  <c r="BF10" i="17"/>
  <c r="BM10" i="17" s="1"/>
  <c r="BG16" i="17"/>
  <c r="BF12" i="17"/>
  <c r="BM12" i="17" s="1"/>
  <c r="BF13" i="17"/>
  <c r="BM13" i="17" s="1"/>
  <c r="BF11" i="17"/>
  <c r="BM11" i="17" s="1"/>
  <c r="BL10" i="17"/>
  <c r="BL12" i="17"/>
  <c r="BL13" i="17"/>
  <c r="BL11" i="17"/>
  <c r="D43" i="7" l="1"/>
  <c r="F13" i="7"/>
  <c r="E16" i="7"/>
  <c r="G13" i="7" s="1"/>
  <c r="S3" i="44"/>
  <c r="S9" i="44" s="1"/>
  <c r="Q9" i="44"/>
  <c r="G30" i="41"/>
  <c r="C200" i="1" s="1"/>
  <c r="M16" i="7"/>
  <c r="D9" i="19"/>
  <c r="BU9" i="17"/>
  <c r="BN9" i="17"/>
  <c r="BF16" i="17"/>
  <c r="C12" i="19"/>
  <c r="BN12" i="17"/>
  <c r="D13" i="19"/>
  <c r="BU13" i="17"/>
  <c r="BN15" i="17"/>
  <c r="BU15" i="17"/>
  <c r="D15" i="19"/>
  <c r="C11" i="19"/>
  <c r="BN11" i="17"/>
  <c r="C13" i="19"/>
  <c r="BN13" i="17"/>
  <c r="D11" i="19"/>
  <c r="BU11" i="17"/>
  <c r="BU10" i="17"/>
  <c r="D10" i="19"/>
  <c r="BM16" i="17"/>
  <c r="BL16" i="17"/>
  <c r="BN10" i="17"/>
  <c r="C10" i="19"/>
  <c r="BU12" i="17"/>
  <c r="D12" i="19"/>
  <c r="BN14" i="17"/>
  <c r="BU14" i="17"/>
  <c r="D14" i="19"/>
  <c r="D24" i="41"/>
  <c r="D44" i="7"/>
  <c r="BW9" i="17" l="1"/>
  <c r="J34" i="41"/>
  <c r="K34" i="41"/>
  <c r="N16" i="7"/>
  <c r="N15" i="7"/>
  <c r="G6" i="7"/>
  <c r="G15" i="7"/>
  <c r="G14" i="7"/>
  <c r="G9" i="7"/>
  <c r="G11" i="7"/>
  <c r="G10" i="7"/>
  <c r="G16" i="7"/>
  <c r="F16" i="7"/>
  <c r="G12" i="7"/>
  <c r="G8" i="7"/>
  <c r="G7" i="7"/>
  <c r="G5" i="7"/>
  <c r="BP9" i="17"/>
  <c r="E9" i="19"/>
  <c r="BO9" i="17"/>
  <c r="F9" i="19" s="1"/>
  <c r="C16" i="19"/>
  <c r="D16" i="19"/>
  <c r="BP13" i="17"/>
  <c r="BO13" i="17"/>
  <c r="F13" i="19" s="1"/>
  <c r="E13" i="19"/>
  <c r="BP14" i="17"/>
  <c r="BO14" i="17"/>
  <c r="F14" i="19" s="1"/>
  <c r="E14" i="19"/>
  <c r="BO10" i="17"/>
  <c r="F10" i="19" s="1"/>
  <c r="E10" i="19"/>
  <c r="BP10" i="17"/>
  <c r="BN16" i="17"/>
  <c r="BV9" i="17"/>
  <c r="C2" i="19" s="1"/>
  <c r="BP12" i="17"/>
  <c r="E12" i="19"/>
  <c r="BO12" i="17"/>
  <c r="F12" i="19" s="1"/>
  <c r="E11" i="19"/>
  <c r="BO11" i="17"/>
  <c r="F11" i="19" s="1"/>
  <c r="BP11" i="17"/>
  <c r="BO15" i="17"/>
  <c r="F15" i="19" s="1"/>
  <c r="E15" i="19"/>
  <c r="BP15" i="17"/>
  <c r="J26" i="41"/>
  <c r="C198" i="1" s="1"/>
  <c r="K25" i="41"/>
  <c r="G24" i="41"/>
  <c r="C199" i="1" s="1"/>
  <c r="K24" i="41"/>
  <c r="J25" i="41"/>
  <c r="C197" i="1" s="1"/>
  <c r="C195" i="1"/>
  <c r="J24" i="41"/>
  <c r="D2" i="19" l="1"/>
  <c r="D18" i="41" s="1"/>
  <c r="K37" i="41"/>
  <c r="C188" i="1"/>
  <c r="D17" i="41"/>
  <c r="G9" i="19"/>
  <c r="BQ9" i="17"/>
  <c r="H9" i="19" s="1"/>
  <c r="J9" i="19" s="1"/>
  <c r="G11" i="19"/>
  <c r="D64" i="41" s="1"/>
  <c r="BQ11" i="17"/>
  <c r="H11" i="19" s="1"/>
  <c r="J11" i="19" s="1"/>
  <c r="BO16" i="17"/>
  <c r="BT7" i="17" s="1"/>
  <c r="BT6" i="17"/>
  <c r="BQ15" i="17"/>
  <c r="H15" i="19" s="1"/>
  <c r="J15" i="19" s="1"/>
  <c r="G15" i="19"/>
  <c r="D68" i="41" s="1"/>
  <c r="G12" i="19"/>
  <c r="D65" i="41" s="1"/>
  <c r="BQ12" i="17"/>
  <c r="H12" i="19" s="1"/>
  <c r="J12" i="19" s="1"/>
  <c r="G10" i="19"/>
  <c r="BQ10" i="17"/>
  <c r="H10" i="19" s="1"/>
  <c r="J10" i="19" s="1"/>
  <c r="BP16" i="17"/>
  <c r="BQ13" i="17"/>
  <c r="H13" i="19" s="1"/>
  <c r="J13" i="19" s="1"/>
  <c r="G13" i="19"/>
  <c r="D66" i="41" s="1"/>
  <c r="E16" i="19"/>
  <c r="BQ14" i="17"/>
  <c r="H14" i="19" s="1"/>
  <c r="J14" i="19" s="1"/>
  <c r="G14" i="19"/>
  <c r="D67" i="41" s="1"/>
  <c r="C196" i="1"/>
  <c r="J37" i="41"/>
  <c r="C189" i="1" l="1"/>
  <c r="I15" i="19"/>
  <c r="E68" i="41" s="1"/>
  <c r="I9" i="19"/>
  <c r="E62" i="41" s="1"/>
  <c r="D62" i="41"/>
  <c r="I11" i="19"/>
  <c r="E64" i="41" s="1"/>
  <c r="I12" i="19"/>
  <c r="E65" i="41" s="1"/>
  <c r="D63" i="41"/>
  <c r="G16" i="19"/>
  <c r="D69" i="41" s="1"/>
  <c r="I13" i="19"/>
  <c r="E66" i="41" s="1"/>
  <c r="I10" i="19"/>
  <c r="BQ16" i="17"/>
  <c r="BU7" i="17" s="1"/>
  <c r="BU6" i="17"/>
  <c r="B2" i="19" s="1"/>
  <c r="D16" i="41" s="1"/>
  <c r="I14" i="19"/>
  <c r="E67" i="41" s="1"/>
  <c r="E63" i="41" l="1"/>
  <c r="I16" i="19"/>
  <c r="E69" i="41" s="1"/>
  <c r="K16" i="41"/>
  <c r="C186" i="1"/>
  <c r="G16" i="41"/>
  <c r="C187" i="1" s="1"/>
  <c r="J16" i="41"/>
  <c r="D46" i="34" l="1"/>
  <c r="D166" i="1"/>
  <c r="C46" i="34" l="1"/>
  <c r="B46" i="34"/>
  <c r="D45" i="34"/>
  <c r="D43" i="34"/>
  <c r="D42" i="34"/>
  <c r="D44" i="34"/>
  <c r="D164" i="1"/>
  <c r="D162" i="1"/>
  <c r="D163" i="1"/>
  <c r="D165" i="1"/>
  <c r="B42" i="34" l="1"/>
  <c r="B44" i="34"/>
  <c r="B43" i="34"/>
  <c r="B45" i="34"/>
  <c r="F46" i="34"/>
  <c r="C45" i="34"/>
  <c r="C43" i="34"/>
  <c r="C42" i="34"/>
  <c r="C44" i="34"/>
  <c r="D41" i="34"/>
  <c r="D161" i="1"/>
  <c r="F42" i="34" l="1"/>
  <c r="K161" i="1"/>
  <c r="F44" i="34"/>
  <c r="F43" i="34"/>
  <c r="F45" i="34"/>
  <c r="B41" i="34"/>
  <c r="C41" i="34"/>
  <c r="B177" i="1"/>
  <c r="G177" i="1" s="1"/>
  <c r="F177" i="1" l="1"/>
  <c r="H177" i="1"/>
  <c r="E177" i="1"/>
  <c r="F41" i="34"/>
  <c r="K169" i="1"/>
  <c r="D45" i="41" s="1"/>
  <c r="A47" i="34"/>
  <c r="D177" i="1"/>
  <c r="C177" i="1"/>
  <c r="D167" i="1"/>
  <c r="G45" i="41" l="1"/>
  <c r="C207" i="1"/>
  <c r="C208" i="1" s="1"/>
  <c r="B47" i="34"/>
  <c r="B48" i="34" s="1"/>
  <c r="B57" i="34" s="1"/>
  <c r="C47" i="34"/>
  <c r="D47" i="34"/>
  <c r="D48" i="34" s="1"/>
  <c r="D57" i="34" s="1"/>
  <c r="C48" i="34" l="1"/>
  <c r="C57" i="34" s="1"/>
  <c r="F47" i="34"/>
  <c r="F48" i="34" s="1"/>
  <c r="F57" i="34" s="1"/>
  <c r="B62" i="34" s="1"/>
  <c r="C62" i="34" l="1"/>
  <c r="D62" i="34" l="1"/>
  <c r="E62" i="34" l="1"/>
  <c r="F62" i="34" l="1"/>
  <c r="G62" i="34" l="1"/>
  <c r="H62" i="34" l="1"/>
  <c r="I62" i="34" l="1"/>
  <c r="J62" i="34" l="1"/>
  <c r="K62" i="34" l="1"/>
  <c r="B61" i="34" l="1"/>
  <c r="B63" i="34" s="1"/>
  <c r="B70" i="34" l="1"/>
  <c r="C10" i="35"/>
  <c r="E10" i="35" s="1"/>
  <c r="C70" i="34"/>
  <c r="D70" i="34"/>
  <c r="B88" i="34"/>
  <c r="D10" i="35" s="1"/>
  <c r="C61" i="34"/>
  <c r="E61" i="34"/>
  <c r="G61" i="34"/>
  <c r="K61" i="34"/>
  <c r="D61" i="34"/>
  <c r="I61" i="34"/>
  <c r="H61" i="34"/>
  <c r="J61" i="34"/>
  <c r="F61" i="34"/>
  <c r="B94" i="34" l="1"/>
  <c r="D16" i="35" s="1"/>
  <c r="H63" i="34"/>
  <c r="B91" i="34"/>
  <c r="D13" i="35" s="1"/>
  <c r="E63" i="34"/>
  <c r="B93" i="34"/>
  <c r="D15" i="35" s="1"/>
  <c r="G63" i="34"/>
  <c r="I63" i="34"/>
  <c r="B95" i="34"/>
  <c r="D17" i="35" s="1"/>
  <c r="F63" i="34"/>
  <c r="B92" i="34"/>
  <c r="D14" i="35" s="1"/>
  <c r="B90" i="34"/>
  <c r="D12" i="35" s="1"/>
  <c r="D63" i="34"/>
  <c r="B89" i="34"/>
  <c r="D11" i="35" s="1"/>
  <c r="C63" i="34"/>
  <c r="J63" i="34"/>
  <c r="B96" i="34"/>
  <c r="D18" i="35" s="1"/>
  <c r="B97" i="34"/>
  <c r="D19" i="35" s="1"/>
  <c r="K63" i="34"/>
  <c r="C14" i="35" l="1"/>
  <c r="E14" i="35" s="1"/>
  <c r="B74" i="34"/>
  <c r="C74" i="34" s="1"/>
  <c r="B73" i="34"/>
  <c r="C73" i="34" s="1"/>
  <c r="C13" i="35"/>
  <c r="E13" i="35" s="1"/>
  <c r="C12" i="35"/>
  <c r="E12" i="35" s="1"/>
  <c r="B72" i="34"/>
  <c r="C72" i="34" s="1"/>
  <c r="B75" i="34"/>
  <c r="C75" i="34" s="1"/>
  <c r="C15" i="35"/>
  <c r="E15" i="35" s="1"/>
  <c r="C16" i="35"/>
  <c r="E16" i="35" s="1"/>
  <c r="B76" i="34"/>
  <c r="C76" i="34" s="1"/>
  <c r="B78" i="34"/>
  <c r="C78" i="34" s="1"/>
  <c r="C18" i="35"/>
  <c r="E18" i="35" s="1"/>
  <c r="B79" i="34"/>
  <c r="C79" i="34" s="1"/>
  <c r="C19" i="35"/>
  <c r="E19" i="35" s="1"/>
  <c r="C11" i="35"/>
  <c r="E11" i="35" s="1"/>
  <c r="B71" i="34"/>
  <c r="B77" i="34"/>
  <c r="C77" i="34" s="1"/>
  <c r="C17" i="35"/>
  <c r="E17" i="35" s="1"/>
  <c r="C71" i="34" l="1"/>
  <c r="D71" i="34" s="1"/>
  <c r="B85" i="34" l="1"/>
  <c r="C25" i="35" s="1"/>
  <c r="E71" i="34"/>
  <c r="D72" i="34"/>
  <c r="E72" i="34" l="1"/>
  <c r="D73" i="34"/>
  <c r="D74" i="34" l="1"/>
  <c r="E73" i="34"/>
  <c r="D75" i="34" l="1"/>
  <c r="E74" i="34"/>
  <c r="E75" i="34" l="1"/>
  <c r="D76" i="34"/>
  <c r="E76" i="34" l="1"/>
  <c r="D77" i="34"/>
  <c r="D78" i="34" l="1"/>
  <c r="E77" i="34"/>
  <c r="E78" i="34" l="1"/>
  <c r="D79" i="34"/>
  <c r="B83" i="34" l="1"/>
  <c r="E79" i="34"/>
  <c r="C83" i="34" s="1"/>
  <c r="D83" i="34" l="1"/>
  <c r="C22" i="35" s="1"/>
</calcChain>
</file>

<file path=xl/comments1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<sst xmlns="http://schemas.openxmlformats.org/spreadsheetml/2006/main" count="3934" uniqueCount="1863">
  <si>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</si>
  <si>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</si>
  <si>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</si>
  <si>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</si>
  <si>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</si>
  <si>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</si>
  <si>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</si>
  <si>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</si>
  <si>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</si>
  <si>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</si>
  <si>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</si>
  <si>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</si>
  <si>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</si>
  <si>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</si>
  <si>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</si>
  <si>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</si>
  <si>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</si>
  <si>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</si>
  <si>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</si>
  <si>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</si>
  <si>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</si>
  <si>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</si>
  <si>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</si>
  <si>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</si>
  <si>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</si>
  <si>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</si>
  <si>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</si>
  <si>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</si>
  <si>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</si>
  <si>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</si>
  <si>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</si>
  <si>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</si>
  <si>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</si>
  <si>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</si>
  <si>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</si>
  <si>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</si>
  <si>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</si>
  <si>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</si>
  <si>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</si>
  <si>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</si>
  <si>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</si>
  <si>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</si>
  <si>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</si>
  <si>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</si>
  <si>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</si>
  <si>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</si>
  <si>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</si>
  <si>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</si>
  <si>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</si>
  <si>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</si>
  <si>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</si>
  <si>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</si>
  <si>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</si>
  <si>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</si>
  <si>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</si>
  <si>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</si>
  <si>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</si>
  <si>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</si>
  <si>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</si>
  <si>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</si>
  <si>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</si>
  <si>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</si>
  <si>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</si>
  <si>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</si>
  <si>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</si>
  <si>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</si>
  <si>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</si>
  <si>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</si>
  <si>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</si>
  <si>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</si>
  <si>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</si>
  <si>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</si>
  <si>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</si>
  <si>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</si>
  <si>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</si>
  <si>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</si>
  <si>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</si>
  <si>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</si>
  <si>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</si>
  <si>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</si>
  <si>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</si>
  <si>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</si>
  <si>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</si>
  <si>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</si>
  <si>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</si>
  <si>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</si>
  <si>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</si>
  <si>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</si>
  <si>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 xml:space="preserve">Global warming potential 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</si>
  <si>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</si>
  <si>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</si>
  <si>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</si>
  <si>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</si>
  <si>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</si>
  <si>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</si>
  <si>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</si>
  <si>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</si>
  <si>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</si>
  <si>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</si>
  <si>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</si>
  <si>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</si>
  <si>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</si>
  <si>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</si>
  <si>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</si>
  <si>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</si>
  <si>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</si>
  <si>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</si>
  <si>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</si>
  <si>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</si>
  <si>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</si>
  <si>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</si>
  <si>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</si>
  <si>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</si>
  <si>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</si>
  <si>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</si>
  <si>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</si>
  <si>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</si>
  <si>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</si>
  <si>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</si>
  <si>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</si>
  <si>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</si>
  <si>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</si>
  <si>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</si>
  <si>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</si>
  <si>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</si>
  <si>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</si>
  <si>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</si>
  <si>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</si>
  <si>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</si>
  <si>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</si>
  <si>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</si>
  <si>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</si>
  <si>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</si>
  <si>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</si>
  <si>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</si>
  <si>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</si>
  <si>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</si>
  <si>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</si>
  <si>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</si>
  <si>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</si>
  <si>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</si>
  <si>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</si>
  <si>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</si>
  <si>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</si>
  <si>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</si>
  <si>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</si>
  <si>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</si>
  <si>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</si>
  <si>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</si>
  <si>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</si>
  <si>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</si>
  <si>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</si>
  <si>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</si>
  <si>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</si>
  <si>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</si>
  <si>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</si>
  <si>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</si>
  <si>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</si>
  <si>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</si>
  <si>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</si>
  <si>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</si>
  <si>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</si>
  <si>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</si>
  <si>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</si>
  <si>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</si>
  <si>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</si>
  <si>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</si>
  <si>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</si>
  <si>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</si>
  <si>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</si>
  <si>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</si>
  <si>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</si>
  <si>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</si>
  <si>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</si>
  <si>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</si>
  <si>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</si>
  <si>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</si>
  <si>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</si>
  <si>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</si>
  <si>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</si>
  <si>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</si>
  <si>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</si>
  <si>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</si>
  <si>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</si>
  <si>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</si>
  <si>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</si>
  <si>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</si>
  <si>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</si>
  <si>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</si>
  <si>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</si>
  <si>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</si>
  <si>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</si>
  <si>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</si>
  <si>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</si>
  <si>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</si>
  <si>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</si>
  <si>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</si>
  <si>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</si>
  <si>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</si>
  <si>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</si>
  <si>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</si>
  <si>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</si>
  <si>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</si>
  <si>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</si>
  <si>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</si>
  <si>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</si>
  <si>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</si>
  <si>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</si>
  <si>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</si>
  <si>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</si>
  <si>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</si>
  <si>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</si>
  <si>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</si>
  <si>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</si>
  <si>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</si>
  <si>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</si>
  <si>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</si>
  <si>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</si>
  <si>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</si>
  <si>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</si>
  <si>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</si>
  <si>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</si>
  <si>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</si>
  <si>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</si>
  <si>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</si>
  <si>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</si>
  <si>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</si>
  <si>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</si>
  <si>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</si>
  <si>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</si>
  <si>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</si>
  <si>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</si>
  <si>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</si>
  <si>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</si>
  <si>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</si>
  <si>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</si>
  <si>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</si>
  <si>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</si>
  <si>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</si>
  <si>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</si>
  <si>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</si>
  <si>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</si>
  <si>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</si>
  <si>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</si>
  <si>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</si>
  <si>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</si>
  <si>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</si>
  <si>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</si>
  <si>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</si>
  <si>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</si>
  <si>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</si>
  <si>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</si>
  <si>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</si>
  <si>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</si>
  <si>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</si>
  <si>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</si>
  <si>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</si>
  <si>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</si>
  <si>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</si>
  <si>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</si>
  <si>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</si>
  <si>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</si>
  <si>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</si>
  <si>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</si>
  <si>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</si>
  <si>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</si>
  <si>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</si>
  <si>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</si>
  <si>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</si>
  <si>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</si>
  <si>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</si>
  <si>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</si>
  <si>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</si>
  <si>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</si>
  <si>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emisison factor for manure management</t>
  </si>
  <si>
    <t>CH4 emisisons from manure management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</si>
  <si>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</si>
  <si>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</si>
  <si>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</si>
  <si>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</si>
  <si>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</si>
  <si>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</si>
  <si>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</si>
  <si>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</si>
  <si>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</si>
  <si>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</si>
  <si>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</si>
  <si>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</si>
  <si>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</si>
  <si>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</si>
  <si>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</si>
  <si>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</si>
  <si>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</si>
  <si>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</si>
  <si>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</si>
  <si>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</si>
  <si>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</si>
  <si>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</si>
  <si>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</si>
  <si>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</si>
  <si>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</si>
  <si>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</si>
  <si>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</si>
  <si>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</si>
  <si>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</si>
  <si>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</si>
  <si>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</si>
  <si>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</si>
  <si>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</si>
  <si>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</si>
  <si>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</si>
  <si>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</si>
  <si>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</si>
  <si>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</si>
  <si>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</si>
  <si>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</si>
  <si>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</si>
  <si>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</si>
  <si>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</si>
  <si>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</si>
  <si>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</si>
  <si>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</si>
  <si>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</si>
  <si>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</si>
  <si>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</si>
  <si>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</si>
  <si>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</si>
  <si>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</si>
  <si>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</si>
  <si>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</si>
  <si>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</si>
  <si>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</si>
  <si>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</si>
  <si>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</si>
  <si>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</si>
  <si>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</si>
  <si>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</si>
  <si>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</si>
  <si>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</si>
  <si>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</si>
  <si>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</si>
  <si>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</si>
  <si>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</si>
  <si>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</si>
  <si>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</si>
  <si>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</si>
  <si>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</si>
  <si>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</si>
  <si>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</si>
  <si>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</si>
  <si>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</si>
  <si>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</si>
  <si>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</si>
  <si>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</si>
  <si>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</si>
  <si>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</si>
  <si>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</si>
  <si>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</si>
  <si>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</si>
  <si>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</si>
  <si>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</si>
  <si>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</si>
  <si>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</si>
  <si>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</si>
  <si>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</si>
  <si>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</si>
  <si>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</si>
  <si>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</si>
  <si>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</si>
  <si>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</si>
  <si>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</si>
  <si>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</si>
  <si>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</si>
  <si>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</si>
  <si>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</si>
  <si>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</si>
  <si>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</si>
  <si>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</si>
  <si>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</si>
  <si>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</si>
  <si>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</si>
  <si>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</si>
  <si>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</si>
  <si>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</si>
  <si>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</si>
  <si>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</si>
  <si>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</si>
  <si>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</si>
  <si>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Nrate (t)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</si>
  <si>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</si>
  <si>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</si>
  <si>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</si>
  <si>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</si>
  <si>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</si>
  <si>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</si>
  <si>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</si>
  <si>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</si>
  <si>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</si>
  <si>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</si>
  <si>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</si>
  <si>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</si>
  <si>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</si>
  <si>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</si>
  <si>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</si>
  <si>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</si>
  <si>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</si>
  <si>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</si>
  <si>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</si>
  <si>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</si>
  <si>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</si>
  <si>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</si>
  <si>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</si>
  <si>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</si>
  <si>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</si>
  <si>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</si>
  <si>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</si>
  <si>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</si>
  <si>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</si>
  <si>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</si>
  <si>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</si>
  <si>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</si>
  <si>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</si>
  <si>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</si>
  <si>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</si>
  <si>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</si>
  <si>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</si>
  <si>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</si>
  <si>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</si>
  <si>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</si>
  <si>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</si>
  <si>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</si>
  <si>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</si>
  <si>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</si>
  <si>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</si>
  <si>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</si>
  <si>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</si>
  <si>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</si>
  <si>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</si>
  <si>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</si>
  <si>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</si>
  <si>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</si>
  <si>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</si>
  <si>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</si>
  <si>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</si>
  <si>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</si>
  <si>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</si>
  <si>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</si>
  <si>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</si>
  <si>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</si>
  <si>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</si>
  <si>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</si>
  <si>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</si>
  <si>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</si>
  <si>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</si>
  <si>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</si>
  <si>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</si>
  <si>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</si>
  <si>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</si>
  <si>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</si>
  <si>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</si>
  <si>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</si>
  <si>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</si>
  <si>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</si>
  <si>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</si>
  <si>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</si>
  <si>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</si>
  <si>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</si>
  <si>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</si>
  <si>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</si>
  <si>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</si>
  <si>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</si>
  <si>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</si>
  <si>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</si>
  <si>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</si>
  <si>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</si>
  <si>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</si>
  <si>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</si>
  <si>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</si>
  <si>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</si>
  <si>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</si>
  <si>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</si>
  <si>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</si>
  <si>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</si>
  <si>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</si>
  <si>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</si>
  <si>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</si>
  <si>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</si>
  <si>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</si>
  <si>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</si>
  <si>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</si>
  <si>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</si>
  <si>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</si>
  <si>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</si>
  <si>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</si>
  <si>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</si>
  <si>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</si>
  <si>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</si>
  <si>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</si>
  <si>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</si>
  <si>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</si>
  <si>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</si>
  <si>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</si>
  <si>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</si>
  <si>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</si>
  <si>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</si>
  <si>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</si>
  <si>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</si>
  <si>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</si>
  <si>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</si>
  <si>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</si>
  <si>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</si>
  <si>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</si>
  <si>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</si>
  <si>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</si>
  <si>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</si>
  <si>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</si>
  <si>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</si>
  <si>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</si>
  <si>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</si>
  <si>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</si>
  <si>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</si>
  <si>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</si>
  <si>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</si>
  <si>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</si>
  <si>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</si>
  <si>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</si>
  <si>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</si>
  <si>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</si>
  <si>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</si>
  <si>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</si>
  <si>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</si>
  <si>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</si>
  <si>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</si>
  <si>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</si>
  <si>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</si>
  <si>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</si>
  <si>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</si>
  <si>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</si>
  <si>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</si>
  <si>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</si>
  <si>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</si>
  <si>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</si>
  <si>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</si>
  <si>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</si>
  <si>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</si>
  <si>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</si>
  <si>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</si>
  <si>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</si>
  <si>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</si>
  <si>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</si>
  <si>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</si>
  <si>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</si>
  <si>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</si>
  <si>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</si>
  <si>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</si>
  <si>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</si>
  <si>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</si>
  <si>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</si>
  <si>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</si>
  <si>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</si>
  <si>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</si>
  <si>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</si>
  <si>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</si>
  <si>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</si>
  <si>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</si>
  <si>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</si>
  <si>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</si>
  <si>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</si>
  <si>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</si>
  <si>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</si>
  <si>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</si>
  <si>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</si>
  <si>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</si>
  <si>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</si>
  <si>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</si>
  <si>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</si>
  <si>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</si>
  <si>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</si>
  <si>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</si>
  <si>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</si>
  <si>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</si>
  <si>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</si>
  <si>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</si>
  <si>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</si>
  <si>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</si>
  <si>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</si>
  <si>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</si>
  <si>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</si>
  <si>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</si>
  <si>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</si>
  <si>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</si>
  <si>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</si>
  <si>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</si>
  <si>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</si>
  <si>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</si>
  <si>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</si>
  <si>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</si>
  <si>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</si>
  <si>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</si>
  <si>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</si>
  <si>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</si>
  <si>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</si>
  <si>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</si>
  <si>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</si>
  <si>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</si>
  <si>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</si>
  <si>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</si>
  <si>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</si>
  <si>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</si>
  <si>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</si>
  <si>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</si>
  <si>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</si>
  <si>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</si>
  <si>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</si>
  <si>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</si>
  <si>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</si>
  <si>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</si>
  <si>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</si>
  <si>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</si>
  <si>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</si>
  <si>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</si>
  <si>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</si>
  <si>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</si>
  <si>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</si>
  <si>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</si>
  <si>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</si>
  <si>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</si>
  <si>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</si>
  <si>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</si>
  <si>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</si>
  <si>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</si>
  <si>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</si>
  <si>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</si>
  <si>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</si>
  <si>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</si>
  <si>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</si>
  <si>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</si>
  <si>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</si>
  <si>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</si>
  <si>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</si>
  <si>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</si>
  <si>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</si>
  <si>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</si>
  <si>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</si>
  <si>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</si>
  <si>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</si>
  <si>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</si>
  <si>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</si>
  <si>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</si>
  <si>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</si>
  <si>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</si>
  <si>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</si>
  <si>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</si>
  <si>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</si>
  <si>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</si>
  <si>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</si>
  <si>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</si>
  <si>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</si>
  <si>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</si>
  <si>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</si>
  <si>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</si>
  <si>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</si>
  <si>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</si>
  <si>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</si>
  <si>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</si>
  <si>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</si>
  <si>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</si>
  <si>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</si>
  <si>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</si>
  <si>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</si>
  <si>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</si>
  <si>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</si>
  <si>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</si>
  <si>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</si>
  <si>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</si>
  <si>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</si>
  <si>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</si>
  <si>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</si>
  <si>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</si>
  <si>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</si>
  <si>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</si>
  <si>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</si>
  <si>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</si>
  <si>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</si>
  <si>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</si>
  <si>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</si>
  <si>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</si>
  <si>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</si>
  <si>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</si>
  <si>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</si>
  <si>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</si>
  <si>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</si>
  <si>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</si>
  <si>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</si>
  <si>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</si>
  <si>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</si>
  <si>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</si>
  <si>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</si>
  <si>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</si>
  <si>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</si>
  <si>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</si>
  <si>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</si>
  <si>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</si>
  <si>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</si>
  <si>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</si>
  <si>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</si>
  <si>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</si>
  <si>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</si>
  <si>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</si>
  <si>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</si>
  <si>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</si>
  <si>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</si>
  <si>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</si>
  <si>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</si>
  <si>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</si>
  <si>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</si>
  <si>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</si>
  <si>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</si>
  <si>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</si>
  <si>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</si>
  <si>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</si>
  <si>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</si>
  <si>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</si>
  <si>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</si>
  <si>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</si>
  <si>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</si>
  <si>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</si>
  <si>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</si>
  <si>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</si>
  <si>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</si>
  <si>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</si>
  <si>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</si>
  <si>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</si>
  <si>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</si>
  <si>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</si>
  <si>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</si>
  <si>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</si>
  <si>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</si>
  <si>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</si>
  <si>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</si>
  <si>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</si>
  <si>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</si>
  <si>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</si>
  <si>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</si>
  <si>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</si>
  <si>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</si>
  <si>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</si>
  <si>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</si>
  <si>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</si>
  <si>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</si>
  <si>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</si>
  <si>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</si>
  <si>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</si>
  <si>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</si>
  <si>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</si>
  <si>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</si>
  <si>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</si>
  <si>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</si>
  <si>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</si>
  <si>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</si>
  <si>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</si>
  <si>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</si>
  <si>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</si>
  <si>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</si>
  <si>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</si>
  <si>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</si>
  <si>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</si>
  <si>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</si>
  <si>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</si>
  <si>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</si>
  <si>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</si>
  <si>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</si>
  <si>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</si>
  <si>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</si>
  <si>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</si>
  <si>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</si>
  <si>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</si>
  <si>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</si>
  <si>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</si>
  <si>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</si>
  <si>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</si>
  <si>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</si>
  <si>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</si>
  <si>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</si>
  <si>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</si>
  <si>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</si>
  <si>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</si>
  <si>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</si>
  <si>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</si>
  <si>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</si>
  <si>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</si>
  <si>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</si>
  <si>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</si>
  <si>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</si>
  <si>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</si>
  <si>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</si>
  <si>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</si>
  <si>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</si>
  <si>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</si>
  <si>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</si>
  <si>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</si>
  <si>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</si>
  <si>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</si>
  <si>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</si>
  <si>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</si>
  <si>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</si>
  <si>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</si>
  <si>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</si>
  <si>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</si>
  <si>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</si>
  <si>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</si>
  <si>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</si>
  <si>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</si>
  <si>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</si>
  <si>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</si>
  <si>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</si>
  <si>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</si>
  <si>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</si>
  <si>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</si>
  <si>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</si>
  <si>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</si>
  <si>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</si>
  <si>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</si>
  <si>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</si>
  <si>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</si>
  <si>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</si>
  <si>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</si>
  <si>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</si>
  <si>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</si>
  <si>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</si>
  <si>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</si>
  <si>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</si>
  <si>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</si>
  <si>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</si>
  <si>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</si>
  <si>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</si>
  <si>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</si>
  <si>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</si>
  <si>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</si>
  <si>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</si>
  <si>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</si>
  <si>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</si>
  <si>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</si>
  <si>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</si>
  <si>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</si>
  <si>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</si>
  <si>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</si>
  <si>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</si>
  <si>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</si>
  <si>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</si>
  <si>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</si>
  <si>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</si>
  <si>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</si>
  <si>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</si>
  <si>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</si>
  <si>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</si>
  <si>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</si>
  <si>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</si>
  <si>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</si>
  <si>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</si>
  <si>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</si>
  <si>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</si>
  <si>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</si>
  <si>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</si>
  <si>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</si>
  <si>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</si>
  <si>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</si>
  <si>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</si>
  <si>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</si>
  <si>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</si>
  <si>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</si>
  <si>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</si>
  <si>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</si>
  <si>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</si>
  <si>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</si>
  <si>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</si>
  <si>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</si>
  <si>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</si>
  <si>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</si>
  <si>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</si>
  <si>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</si>
  <si>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</si>
  <si>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</si>
  <si>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</si>
  <si>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</si>
  <si>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</si>
  <si>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</si>
  <si>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</si>
  <si>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</si>
  <si>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</si>
  <si>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</si>
  <si>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</si>
  <si>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</si>
  <si>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</si>
  <si>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</si>
  <si>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</si>
  <si>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</si>
  <si>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</si>
  <si>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</si>
  <si>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</si>
  <si>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</si>
  <si>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</si>
  <si>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</si>
  <si>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</si>
  <si>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</si>
  <si>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</si>
  <si>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</si>
  <si>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</si>
  <si>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Seasons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</si>
  <si>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</si>
  <si>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</si>
  <si>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</si>
  <si>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</si>
  <si>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</si>
  <si>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</si>
  <si>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</si>
  <si>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</si>
  <si>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</si>
  <si>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</si>
  <si>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</si>
  <si>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</si>
  <si>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</si>
  <si>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</si>
  <si>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</si>
  <si>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</si>
  <si>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</si>
  <si>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</si>
  <si>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</si>
  <si>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</si>
  <si>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</si>
  <si>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</si>
  <si>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</si>
  <si>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</si>
  <si>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</si>
  <si>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</si>
  <si>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</si>
  <si>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</si>
  <si>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</si>
  <si>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</si>
  <si>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</si>
  <si>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</si>
  <si>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</si>
  <si>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</si>
  <si>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</si>
  <si>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</si>
  <si>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</si>
  <si>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length of dry feeding season (ratio)</t>
  </si>
  <si>
    <t xml:space="preserve">length of wet feeding season (ratio) 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</si>
  <si>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</si>
  <si>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</si>
  <si>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</si>
  <si>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</si>
  <si>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</si>
  <si>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</si>
  <si>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</si>
  <si>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</si>
  <si>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</si>
  <si>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</si>
  <si>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</si>
  <si>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</si>
  <si>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</si>
  <si>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</si>
  <si>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</si>
  <si>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</si>
  <si>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</si>
  <si>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</si>
  <si>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</si>
  <si>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</si>
  <si>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</si>
  <si>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</si>
  <si>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</si>
  <si>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</si>
  <si>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</si>
  <si>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</si>
  <si>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</si>
  <si>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</si>
  <si>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</si>
  <si>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</si>
  <si>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</si>
  <si>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</si>
  <si>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</si>
  <si>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</si>
  <si>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</si>
  <si>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</si>
  <si>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</si>
  <si>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</si>
  <si>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</si>
  <si>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</si>
  <si>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</si>
  <si>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</si>
  <si>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</si>
  <si>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</si>
  <si>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</si>
  <si>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</si>
  <si>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</si>
  <si>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</si>
  <si>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</si>
  <si>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</si>
  <si>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</si>
  <si>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</si>
  <si>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</si>
  <si>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</si>
  <si>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</si>
  <si>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</si>
  <si>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</si>
  <si>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</si>
  <si>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</si>
  <si>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</si>
  <si>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</si>
  <si>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</si>
  <si>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</si>
  <si>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</si>
  <si>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</si>
  <si>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</si>
  <si>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</si>
  <si>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</si>
  <si>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</si>
  <si>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</si>
  <si>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</si>
  <si>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</si>
  <si>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</si>
  <si>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</si>
  <si>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</si>
  <si>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</si>
  <si>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</si>
  <si>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</si>
  <si>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</si>
  <si>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</si>
  <si>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</si>
  <si>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</si>
  <si>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</si>
  <si>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</si>
  <si>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</si>
  <si>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</si>
  <si>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</si>
  <si>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</si>
  <si>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</si>
  <si>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</si>
  <si>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</si>
  <si>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</si>
  <si>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</si>
  <si>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</si>
  <si>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</si>
  <si>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</si>
  <si>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</si>
  <si>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</si>
  <si>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</si>
  <si>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</si>
  <si>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</si>
  <si>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</si>
  <si>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</si>
  <si>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</si>
  <si>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</si>
  <si>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</si>
  <si>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</si>
  <si>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</si>
  <si>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</si>
  <si>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</si>
  <si>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</si>
  <si>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</si>
  <si>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</si>
  <si>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</si>
  <si>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</si>
  <si>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</si>
  <si>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</si>
  <si>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</si>
  <si>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</si>
  <si>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</si>
  <si>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</si>
  <si>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</si>
  <si>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</si>
  <si>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</si>
  <si>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</si>
  <si>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</si>
  <si>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</si>
  <si>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</si>
  <si>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</si>
  <si>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</si>
  <si>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</si>
  <si>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</si>
  <si>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</si>
  <si>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</si>
  <si>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</si>
  <si>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</si>
  <si>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</si>
  <si>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</si>
  <si>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</si>
  <si>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</si>
  <si>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</si>
  <si>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</si>
  <si>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</si>
  <si>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</si>
  <si>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</si>
  <si>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</si>
  <si>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</si>
  <si>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</si>
  <si>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</si>
  <si>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</si>
  <si>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</si>
  <si>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</si>
  <si>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</si>
  <si>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</si>
  <si>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</si>
  <si>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</si>
  <si>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</si>
  <si>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</si>
  <si>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</si>
  <si>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</si>
  <si>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</si>
  <si>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</si>
  <si>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</si>
  <si>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</si>
  <si>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</si>
  <si>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</si>
  <si>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</si>
  <si>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</si>
  <si>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</si>
  <si>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</si>
  <si>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</si>
  <si>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</si>
  <si>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</si>
  <si>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</si>
  <si>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</si>
  <si>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</si>
  <si>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</si>
  <si>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</si>
  <si>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</si>
  <si>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</si>
  <si>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</si>
  <si>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</si>
  <si>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</si>
  <si>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</si>
  <si>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</si>
  <si>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</si>
  <si>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</si>
  <si>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</si>
  <si>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</si>
  <si>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</si>
  <si>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</si>
  <si>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</si>
  <si>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</si>
  <si>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</si>
  <si>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</si>
  <si>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</si>
  <si>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</si>
  <si>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</si>
  <si>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</si>
  <si>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</si>
  <si>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</si>
  <si>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</si>
  <si>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</si>
  <si>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</si>
  <si>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</si>
  <si>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</si>
  <si>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</si>
  <si>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</si>
  <si>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</si>
  <si>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</si>
  <si>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</si>
  <si>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</si>
  <si>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</si>
  <si>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</si>
  <si>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</si>
  <si>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</si>
  <si>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</si>
  <si>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</si>
  <si>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</si>
  <si>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</si>
  <si>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</si>
  <si>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</si>
  <si>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</si>
  <si>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</si>
  <si>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</si>
  <si>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</si>
  <si>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</si>
  <si>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</si>
  <si>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 xml:space="preserve">LIVESTOCK FEED INTAKE REQUIREMENTS CALCULATIONS </t>
  </si>
  <si>
    <t>N balance feed only</t>
  </si>
  <si>
    <t>N Balance food crop included (Kg N/year)</t>
  </si>
  <si>
    <t>N Balance food crop included (Kg N/ha/year)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</si>
  <si>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</si>
  <si>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</si>
  <si>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</si>
  <si>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</si>
  <si>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</si>
  <si>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</si>
  <si>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</si>
  <si>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</si>
  <si>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</si>
  <si>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</si>
  <si>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</si>
  <si>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</si>
  <si>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Goat Meat</t>
  </si>
  <si>
    <t xml:space="preserve">Lamb/Mutton 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</si>
  <si>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</si>
  <si>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</si>
  <si>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</si>
  <si>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</si>
  <si>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</si>
  <si>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</si>
  <si>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</si>
  <si>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</si>
  <si>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</si>
  <si>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Goat/sheep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</si>
  <si>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</si>
  <si>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</si>
  <si>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</si>
  <si>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</si>
  <si>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</si>
  <si>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</si>
  <si>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</si>
  <si>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</si>
  <si>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</si>
  <si>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</si>
  <si>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</si>
  <si>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</si>
  <si>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</si>
  <si>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</si>
  <si>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</si>
  <si>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</si>
  <si>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</si>
  <si>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</si>
  <si>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</si>
  <si>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</si>
  <si>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</si>
  <si>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</si>
  <si>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</si>
  <si>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</si>
  <si>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 xml:space="preserve">ha </t>
  </si>
  <si>
    <t>Brachiaria hybrid (forage)</t>
  </si>
  <si>
    <t>NPV</t>
  </si>
  <si>
    <t>Hectares</t>
  </si>
  <si>
    <t>Extra one-off / establishment cost 
(USD/ha)</t>
  </si>
  <si>
    <t xml:space="preserve">Extra labour - one-off 
(days/item) </t>
  </si>
  <si>
    <t>Extra labour 
(days /item/year)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</si>
  <si>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</si>
  <si>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</si>
  <si>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</si>
  <si>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</si>
  <si>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</si>
  <si>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</si>
  <si>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</si>
  <si>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</si>
  <si>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</si>
  <si>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</si>
  <si>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</si>
  <si>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</si>
  <si>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</si>
  <si>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</si>
  <si>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</si>
  <si>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</si>
  <si>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</si>
  <si>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</si>
  <si>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</si>
  <si>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</si>
  <si>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</si>
  <si>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</si>
  <si>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</si>
  <si>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</si>
  <si>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</si>
  <si>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</si>
  <si>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</si>
  <si>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</si>
  <si>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</si>
  <si>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</si>
  <si>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</si>
  <si>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</si>
  <si>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</si>
  <si>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</si>
  <si>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</si>
  <si>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</si>
  <si>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Inital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</si>
  <si>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</si>
  <si>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</si>
  <si>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</si>
  <si>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</si>
  <si>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</si>
  <si>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</si>
  <si>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</si>
  <si>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</si>
  <si>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</si>
  <si>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</si>
  <si>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</si>
  <si>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</si>
  <si>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</si>
  <si>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</si>
  <si>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</si>
  <si>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</si>
  <si>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</si>
  <si>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</si>
  <si>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</si>
  <si>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</si>
  <si>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</si>
  <si>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</si>
  <si>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</si>
  <si>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</si>
  <si>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</si>
  <si>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</si>
  <si>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</si>
  <si>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</si>
  <si>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</si>
  <si>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</si>
  <si>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</si>
  <si>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</si>
  <si>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</si>
  <si>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</si>
  <si>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</si>
  <si>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ON FARM-Total N on pasture excreted from sheep and others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</si>
  <si>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</si>
  <si>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</si>
  <si>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</si>
  <si>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</si>
  <si>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</si>
  <si>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</si>
  <si>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</si>
  <si>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</si>
  <si>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</si>
  <si>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</si>
  <si>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</si>
  <si>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</si>
  <si>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</si>
  <si>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</si>
  <si>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</si>
  <si>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</si>
  <si>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</si>
  <si>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</si>
  <si>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</si>
  <si>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</si>
  <si>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</si>
  <si>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</si>
  <si>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</si>
  <si>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</si>
  <si>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</si>
  <si>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</si>
  <si>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</si>
  <si>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</si>
  <si>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</si>
  <si>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</si>
  <si>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</si>
  <si>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</si>
  <si>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</si>
  <si>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</si>
  <si>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</si>
  <si>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</si>
  <si>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</si>
  <si>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</si>
  <si>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</si>
  <si>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</si>
  <si>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</si>
  <si>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</si>
  <si>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</si>
  <si>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</si>
  <si>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</si>
  <si>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</si>
  <si>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</si>
  <si>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</si>
  <si>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</si>
  <si>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</si>
  <si>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</si>
  <si>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</si>
  <si>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</si>
  <si>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</si>
  <si>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</si>
  <si>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</si>
  <si>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</si>
  <si>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</si>
  <si>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</si>
  <si>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</si>
  <si>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</si>
  <si>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</si>
  <si>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</si>
  <si>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Water use per crop (m3)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</si>
  <si>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</si>
  <si>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</si>
  <si>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</si>
  <si>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</si>
  <si>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</si>
  <si>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</si>
  <si>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</si>
  <si>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</si>
  <si>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</si>
  <si>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</si>
  <si>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</si>
  <si>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</si>
  <si>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</si>
  <si>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</si>
  <si>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</si>
  <si>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</si>
  <si>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</si>
  <si>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</si>
  <si>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</si>
  <si>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</si>
  <si>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</si>
  <si>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</si>
  <si>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</si>
  <si>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</si>
  <si>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</si>
  <si>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</si>
  <si>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</si>
  <si>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</si>
  <si>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</si>
  <si>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</si>
  <si>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</si>
  <si>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</si>
  <si>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</si>
  <si>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</si>
  <si>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</si>
  <si>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</si>
  <si>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</si>
  <si>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</si>
  <si>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</si>
  <si>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</si>
  <si>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</si>
  <si>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</si>
  <si>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</si>
  <si>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</si>
  <si>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</si>
  <si>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</si>
  <si>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</si>
  <si>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</si>
  <si>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</si>
  <si>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</si>
  <si>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</si>
  <si>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</si>
  <si>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</si>
  <si>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</si>
  <si>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</si>
  <si>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</si>
  <si>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</si>
  <si>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</si>
  <si>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</si>
  <si>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</si>
  <si>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</si>
  <si>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</si>
  <si>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</si>
  <si>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</si>
  <si>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</si>
  <si>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</si>
  <si>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</si>
  <si>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</si>
  <si>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</si>
  <si>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</si>
  <si>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</si>
  <si>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</si>
  <si>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</si>
  <si>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</si>
  <si>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</si>
  <si>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</si>
  <si>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</si>
  <si>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</si>
  <si>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</si>
  <si>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</si>
  <si>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</si>
  <si>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</si>
  <si>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</si>
  <si>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</si>
  <si>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</si>
  <si>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</si>
  <si>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</si>
  <si>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</si>
  <si>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</si>
  <si>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</si>
  <si>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</si>
  <si>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</si>
  <si>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</si>
  <si>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</si>
  <si>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</si>
  <si>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</si>
  <si>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</si>
  <si>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</si>
  <si>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</si>
  <si>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</si>
  <si>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</si>
  <si>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</si>
  <si>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</si>
  <si>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</si>
  <si>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</si>
  <si>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</si>
  <si>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</si>
  <si>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</si>
  <si>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</si>
  <si>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</si>
  <si>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</si>
  <si>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</si>
  <si>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</si>
  <si>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</si>
  <si>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</si>
  <si>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</si>
  <si>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</si>
  <si>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</si>
  <si>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</si>
  <si>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</si>
  <si>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</si>
  <si>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</si>
  <si>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</si>
  <si>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</si>
  <si>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</si>
  <si>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</si>
  <si>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</si>
  <si>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</si>
  <si>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</si>
  <si>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</si>
  <si>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</si>
  <si>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</si>
  <si>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</si>
  <si>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</si>
  <si>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</si>
  <si>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</si>
  <si>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</si>
  <si>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</si>
  <si>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</si>
  <si>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</si>
  <si>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</si>
  <si>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</si>
  <si>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</si>
  <si>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</si>
  <si>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</si>
  <si>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</si>
  <si>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</si>
  <si>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</si>
  <si>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</si>
  <si>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</si>
  <si>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</si>
  <si>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</si>
  <si>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</si>
  <si>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</si>
  <si>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</si>
  <si>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</si>
  <si>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</si>
  <si>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</si>
  <si>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</si>
  <si>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</si>
  <si>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</si>
  <si>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</si>
  <si>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</si>
  <si>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</si>
  <si>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</si>
  <si>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</si>
  <si>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</si>
  <si>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</si>
  <si>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</si>
  <si>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</si>
  <si>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</si>
  <si>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</si>
  <si>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</si>
  <si>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</si>
  <si>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</si>
  <si>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</si>
  <si>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</si>
  <si>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</si>
  <si>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</si>
  <si>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</si>
  <si>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</si>
  <si>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</si>
  <si>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</si>
  <si>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</si>
  <si>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</si>
  <si>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</si>
  <si>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</si>
  <si>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</si>
  <si>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</si>
  <si>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</si>
  <si>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</si>
  <si>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</si>
  <si>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</si>
  <si>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</si>
  <si>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</si>
  <si>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</si>
  <si>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</si>
  <si>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</si>
  <si>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</si>
  <si>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</si>
  <si>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</si>
  <si>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</si>
  <si>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</si>
  <si>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</si>
  <si>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</si>
  <si>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</si>
  <si>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</si>
  <si>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</si>
  <si>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</si>
  <si>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</si>
  <si>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</si>
  <si>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lamb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</si>
  <si>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</si>
  <si>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</si>
  <si>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</si>
  <si>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</si>
  <si>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</si>
  <si>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</si>
  <si>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</si>
  <si>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</si>
  <si>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chevon</t>
  </si>
  <si>
    <t>Cattle and buffaloes feed  primarily low quality feed</t>
  </si>
  <si>
    <t>Burned for fuel</t>
  </si>
  <si>
    <t>Anaerobic digester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</si>
  <si>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</si>
  <si>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</si>
  <si>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</si>
  <si>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</si>
  <si>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</si>
  <si>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</si>
  <si>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ON FARM-Total N on pasture excreted from Cattle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</si>
  <si>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</si>
  <si>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</si>
  <si>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</si>
  <si>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</si>
  <si>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</si>
  <si>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</si>
  <si>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</si>
  <si>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</si>
  <si>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</si>
  <si>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Red pepper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</si>
  <si>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</si>
  <si>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</si>
  <si>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</si>
  <si>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</si>
  <si>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</si>
  <si>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</si>
  <si>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</si>
  <si>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</si>
  <si>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</si>
  <si>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</si>
  <si>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</si>
  <si>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</si>
  <si>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</si>
  <si>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</si>
  <si>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</si>
  <si>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</si>
  <si>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</si>
  <si>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</si>
  <si>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</si>
  <si>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</si>
  <si>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</si>
  <si>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</si>
  <si>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</si>
  <si>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</si>
  <si>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</si>
  <si>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</si>
  <si>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</si>
  <si>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</si>
  <si>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</si>
  <si>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</si>
  <si>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</si>
  <si>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</si>
  <si>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</si>
  <si>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</si>
  <si>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</si>
  <si>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</si>
  <si>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</si>
  <si>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</si>
  <si>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</si>
  <si>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</si>
  <si>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</si>
  <si>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</si>
  <si>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</si>
  <si>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</si>
  <si>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</si>
  <si>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</si>
  <si>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</si>
  <si>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</si>
  <si>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</si>
  <si>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</si>
  <si>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</si>
  <si>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</si>
  <si>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</si>
  <si>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</si>
  <si>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</si>
  <si>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</si>
  <si>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</si>
  <si>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</si>
  <si>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</si>
  <si>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</si>
  <si>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</si>
  <si>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</si>
  <si>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</si>
  <si>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</si>
  <si>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</si>
  <si>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r>
      <t xml:space="preserve">Crude Protein </t>
    </r>
    <r>
      <rPr>
        <sz val="11"/>
        <rFont val="Calibri"/>
        <family val="2"/>
        <scheme val="minor"/>
      </rPr>
      <t xml:space="preserve"> requirement maintenance (kg/day</t>
    </r>
    <r>
      <rPr>
        <sz val="11"/>
        <rFont val="Calibri"/>
        <family val="2"/>
        <scheme val="minor"/>
      </rPr>
      <t>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</si>
  <si>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</si>
  <si>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</si>
  <si>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</si>
  <si>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</si>
  <si>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</si>
  <si>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</si>
  <si>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</si>
  <si>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</si>
  <si>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</si>
  <si>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</si>
  <si>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</si>
  <si>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</si>
  <si>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</si>
  <si>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</si>
  <si>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</si>
  <si>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</si>
  <si>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</si>
  <si>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</si>
  <si>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</si>
  <si>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</si>
  <si>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</si>
  <si>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</si>
  <si>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</si>
  <si>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</si>
  <si>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</si>
  <si>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</si>
  <si>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</si>
  <si>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</si>
  <si>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</si>
  <si>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</si>
  <si>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</si>
  <si>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</si>
  <si>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</si>
  <si>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</si>
  <si>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</si>
  <si>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</si>
  <si>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Operational costs (per animal year)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</si>
  <si>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</si>
  <si>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</si>
  <si>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</si>
  <si>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</si>
  <si>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</si>
  <si>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</si>
  <si>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</si>
  <si>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</si>
  <si>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</si>
  <si>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</si>
  <si>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</si>
  <si>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</si>
  <si>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Birth interval (years)</t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</si>
  <si>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</si>
  <si>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</si>
  <si>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</si>
  <si>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</si>
  <si>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</si>
  <si>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</si>
  <si>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</si>
  <si>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</si>
  <si>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</si>
  <si>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</si>
  <si>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</si>
  <si>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trees</t>
  </si>
  <si>
    <t>biomass (C) (kg)</t>
  </si>
  <si>
    <t>below ground</t>
  </si>
  <si>
    <t>Δ C Soils (trees)</t>
  </si>
  <si>
    <t>Δ C Soils (total)</t>
  </si>
  <si>
    <t>tree type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</si>
  <si>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</si>
  <si>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</si>
  <si>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</si>
  <si>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</si>
  <si>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</si>
  <si>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</si>
  <si>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</si>
  <si>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</si>
  <si>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</si>
  <si>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</si>
  <si>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</si>
  <si>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</si>
  <si>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</si>
  <si>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</si>
  <si>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</si>
  <si>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</si>
  <si>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</si>
  <si>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</si>
  <si>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</si>
  <si>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other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</si>
  <si>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</si>
  <si>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</si>
  <si>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</si>
  <si>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</si>
  <si>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</si>
  <si>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</si>
  <si>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</si>
  <si>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</si>
  <si>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Banana leaves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</si>
  <si>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</si>
  <si>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</si>
  <si>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</si>
  <si>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</si>
  <si>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</si>
  <si>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</si>
  <si>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</si>
  <si>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</si>
  <si>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</si>
  <si>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</si>
  <si>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</si>
  <si>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</si>
  <si>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</si>
  <si>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</si>
  <si>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</si>
  <si>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</si>
  <si>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</si>
  <si>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</si>
  <si>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</si>
  <si>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</si>
  <si>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</si>
  <si>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</si>
  <si>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</si>
  <si>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</si>
  <si>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</si>
  <si>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</si>
  <si>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</si>
  <si>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</si>
  <si>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</si>
  <si>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</si>
  <si>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</si>
  <si>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</si>
  <si>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</si>
  <si>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</si>
  <si>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</si>
  <si>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</si>
  <si>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</si>
  <si>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</si>
  <si>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</si>
  <si>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</si>
  <si>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</si>
  <si>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</si>
  <si>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</si>
  <si>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</si>
  <si>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</si>
  <si>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</si>
  <si>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Days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</si>
  <si>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</si>
  <si>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</si>
  <si>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</si>
  <si>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</si>
  <si>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</si>
  <si>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</si>
  <si>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</si>
  <si>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Unique cell</t>
  </si>
  <si>
    <t>ANIMAL CATEGORY IPCC</t>
  </si>
  <si>
    <t>ANIMAL CATEGORY CLEANED</t>
  </si>
  <si>
    <t>Other Cattle and Buffaloes that are primarily fed low quality crop residues and byproducts</t>
  </si>
  <si>
    <t>Table 10.12</t>
  </si>
  <si>
    <t>Other Cattle or Buffalo – grazing</t>
  </si>
  <si>
    <t>Livestock category  IPCC (t)</t>
  </si>
  <si>
    <t>Season 1 - feedbasket</t>
  </si>
  <si>
    <t>Season 2 - feedbasket</t>
  </si>
  <si>
    <t>Season 1</t>
  </si>
  <si>
    <t>Season 3 - feedbasket</t>
  </si>
  <si>
    <t>Season 3</t>
  </si>
  <si>
    <t>SEASON 1</t>
  </si>
  <si>
    <t>Average 3 seasons</t>
  </si>
  <si>
    <t>Energy req. season 3 (MJ)</t>
  </si>
  <si>
    <t>Fresh Intake required (Kg FW/yr) season 3 - energy</t>
  </si>
  <si>
    <t>DMI required season 3 (kg DM/yr) - energy</t>
  </si>
  <si>
    <t>Protein req. season 3 (kg)</t>
  </si>
  <si>
    <t>Fresh intake required season 3 (kg DM/yr) - cp</t>
  </si>
  <si>
    <t>DMI required season 3 (kg DM/yr) - cp</t>
  </si>
  <si>
    <t>DMI (Energy) (S3)</t>
  </si>
  <si>
    <t>DMI (Protein S3)</t>
  </si>
  <si>
    <t>DMI S3</t>
  </si>
  <si>
    <t>limiting S3</t>
  </si>
  <si>
    <t>DMI required season 3 (kg DM/yr)</t>
  </si>
  <si>
    <t>Feed item DM req S3</t>
  </si>
  <si>
    <t>area tot (ha) S3</t>
  </si>
  <si>
    <t>area non-feed (ha) S3</t>
  </si>
  <si>
    <t>area feed (ha) S3</t>
  </si>
  <si>
    <t>Total Area DM S3</t>
  </si>
  <si>
    <t>T23</t>
  </si>
  <si>
    <t>Mufindi</t>
  </si>
  <si>
    <t>Guatemala</t>
  </si>
  <si>
    <t>Guatemala (Tripsacum andersonii) - forage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</si>
</sst>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  <numFmt numFmtId="177" formatCode="[$-409]mmmm\-yy;@"/>
  </numFmts>
  <fonts count="10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13"/>
      <color rgb="FF242729"/>
      <name val="Consolas"/>
      <family val="3"/>
    </font>
    <font>
      <sz val="12"/>
      <color rgb="FF242729"/>
      <name val="Calibri"/>
      <family val="2"/>
    </font>
    <font>
      <sz val="17"/>
      <color rgb="FF20303C"/>
      <name val="Georgia"/>
      <family val="1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1842">
    <xf numFmtId="0" fontId="0" fillId="0" borderId="0"/>
    <xf numFmtId="0" fontId="21" fillId="2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5" fillId="13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48" fillId="15" borderId="0" applyNumberFormat="0" applyBorder="0" applyAlignment="0" applyProtection="0"/>
    <xf numFmtId="9" fontId="19" fillId="0" borderId="0" applyFont="0" applyFill="0" applyBorder="0" applyAlignment="0" applyProtection="0"/>
    <xf numFmtId="0" fontId="50" fillId="16" borderId="62" applyNumberFormat="0" applyAlignment="0" applyProtection="0"/>
    <xf numFmtId="0" fontId="58" fillId="0" borderId="0" applyNumberFormat="0" applyFill="0" applyBorder="0" applyAlignment="0" applyProtection="0"/>
    <xf numFmtId="0" fontId="18" fillId="0" borderId="0"/>
    <xf numFmtId="0" fontId="3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16" fillId="0" borderId="0"/>
    <xf numFmtId="164" fontId="19" fillId="0" borderId="0" applyFont="0" applyFill="0" applyBorder="0" applyAlignment="0" applyProtection="0"/>
  </cellStyleXfs>
  <cellXfs count="1660">
    <xf numFmtId="0" fontId="0" fillId="0" borderId="0" xfId="0"/>
    <xf numFmtId="0" fontId="22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3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/>
    </xf>
    <xf numFmtId="0" fontId="29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29" fillId="5" borderId="1" xfId="1" applyFont="1" applyFill="1" applyBorder="1" applyAlignment="1">
      <alignment horizontal="center" vertical="center" wrapText="1"/>
    </xf>
    <xf numFmtId="0" fontId="26" fillId="0" borderId="0" xfId="0" applyFont="1"/>
    <xf numFmtId="0" fontId="30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3" fillId="6" borderId="1" xfId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 wrapText="1"/>
    </xf>
    <xf numFmtId="0" fontId="33" fillId="6" borderId="21" xfId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/>
    </xf>
    <xf numFmtId="166" fontId="33" fillId="5" borderId="1" xfId="1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4" fillId="6" borderId="1" xfId="1" applyFont="1" applyFill="1" applyBorder="1" applyAlignment="1">
      <alignment horizontal="center" vertical="center" wrapText="1"/>
    </xf>
    <xf numFmtId="2" fontId="34" fillId="6" borderId="1" xfId="1" applyNumberFormat="1" applyFont="1" applyFill="1" applyBorder="1" applyAlignment="1">
      <alignment horizontal="center" vertical="center" wrapText="1"/>
    </xf>
    <xf numFmtId="0" fontId="33" fillId="6" borderId="1" xfId="1" applyFont="1" applyFill="1" applyBorder="1" applyAlignment="1">
      <alignment horizontal="center" vertical="center" wrapText="1"/>
    </xf>
    <xf numFmtId="2" fontId="33" fillId="6" borderId="1" xfId="1" applyNumberFormat="1" applyFont="1" applyFill="1" applyBorder="1" applyAlignment="1">
      <alignment horizontal="center" vertical="center" wrapText="1"/>
    </xf>
    <xf numFmtId="0" fontId="33" fillId="6" borderId="19" xfId="1" applyFont="1" applyFill="1" applyBorder="1" applyAlignment="1">
      <alignment horizontal="center" vertical="center" wrapText="1"/>
    </xf>
    <xf numFmtId="2" fontId="33" fillId="6" borderId="19" xfId="1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2" fontId="34" fillId="6" borderId="1" xfId="1" applyNumberFormat="1" applyFont="1" applyFill="1" applyBorder="1" applyAlignment="1">
      <alignment horizontal="center" vertical="center"/>
    </xf>
    <xf numFmtId="0" fontId="34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6" fillId="0" borderId="1" xfId="0" applyFont="1" applyBorder="1" applyAlignment="1">
      <alignment vertical="top"/>
    </xf>
    <xf numFmtId="0" fontId="26" fillId="0" borderId="1" xfId="0" applyFont="1" applyBorder="1" applyAlignment="1">
      <alignment vertical="top" wrapText="1"/>
    </xf>
    <xf numFmtId="2" fontId="33" fillId="6" borderId="1" xfId="1" applyNumberFormat="1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26" fillId="6" borderId="1" xfId="0" applyNumberFormat="1" applyFont="1" applyFill="1" applyBorder="1" applyAlignment="1">
      <alignment horizontal="center" vertical="center" wrapText="1"/>
    </xf>
    <xf numFmtId="2" fontId="23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3" fillId="6" borderId="1" xfId="6" applyNumberFormat="1" applyFill="1" applyBorder="1" applyAlignment="1">
      <alignment horizontal="center" vertical="center"/>
    </xf>
    <xf numFmtId="0" fontId="23" fillId="5" borderId="1" xfId="6" applyFill="1" applyBorder="1" applyAlignment="1">
      <alignment horizontal="center" vertical="center"/>
    </xf>
    <xf numFmtId="2" fontId="26" fillId="6" borderId="1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13" xfId="0" applyBorder="1" applyAlignment="1">
      <alignment horizontal="center"/>
    </xf>
    <xf numFmtId="0" fontId="39" fillId="0" borderId="1" xfId="0" applyFont="1" applyBorder="1" applyAlignment="1">
      <alignment horizontal="center" vertical="center" wrapText="1"/>
    </xf>
    <xf numFmtId="0" fontId="39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4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26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26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/>
    </xf>
    <xf numFmtId="0" fontId="26" fillId="6" borderId="0" xfId="0" applyFont="1" applyFill="1" applyAlignment="1">
      <alignment horizontal="center" vertical="center" wrapText="1"/>
    </xf>
    <xf numFmtId="2" fontId="39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26" fillId="0" borderId="12" xfId="0" applyNumberFormat="1" applyFont="1" applyBorder="1"/>
    <xf numFmtId="2" fontId="26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3" fillId="4" borderId="0" xfId="0" applyFont="1" applyFill="1" applyAlignment="1">
      <alignment horizontal="center" wrapText="1"/>
    </xf>
    <xf numFmtId="0" fontId="23" fillId="11" borderId="0" xfId="0" applyFont="1" applyFill="1" applyAlignment="1">
      <alignment horizontal="center" wrapText="1"/>
    </xf>
    <xf numFmtId="0" fontId="22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3" fillId="0" borderId="0" xfId="0" applyFont="1" applyAlignment="1">
      <alignment vertical="top" wrapText="1"/>
    </xf>
    <xf numFmtId="0" fontId="0" fillId="10" borderId="0" xfId="0" applyFill="1"/>
    <xf numFmtId="0" fontId="23" fillId="0" borderId="0" xfId="0" applyFont="1"/>
    <xf numFmtId="0" fontId="23" fillId="10" borderId="0" xfId="0" applyFont="1" applyFill="1" applyAlignment="1">
      <alignment horizontal="center" wrapText="1"/>
    </xf>
    <xf numFmtId="0" fontId="29" fillId="0" borderId="0" xfId="0" applyFont="1"/>
    <xf numFmtId="0" fontId="33" fillId="0" borderId="0" xfId="0" applyFont="1" applyAlignment="1">
      <alignment wrapText="1"/>
    </xf>
    <xf numFmtId="0" fontId="33" fillId="0" borderId="1" xfId="0" applyFont="1" applyBorder="1" applyAlignment="1">
      <alignment horizontal="center" vertical="center" wrapText="1"/>
    </xf>
    <xf numFmtId="0" fontId="22" fillId="9" borderId="12" xfId="0" applyFont="1" applyFill="1" applyBorder="1"/>
    <xf numFmtId="0" fontId="26" fillId="0" borderId="1" xfId="0" applyFont="1" applyBorder="1" applyAlignment="1">
      <alignment horizontal="left" wrapText="1"/>
    </xf>
    <xf numFmtId="0" fontId="0" fillId="5" borderId="8" xfId="0" applyFill="1" applyBorder="1"/>
    <xf numFmtId="0" fontId="29" fillId="4" borderId="1" xfId="0" applyFont="1" applyFill="1" applyBorder="1"/>
    <xf numFmtId="2" fontId="33" fillId="4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2" fontId="29" fillId="0" borderId="1" xfId="1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0" fontId="0" fillId="0" borderId="22" xfId="0" applyBorder="1"/>
    <xf numFmtId="2" fontId="0" fillId="0" borderId="21" xfId="0" applyNumberFormat="1" applyBorder="1"/>
    <xf numFmtId="2" fontId="34" fillId="0" borderId="1" xfId="1" applyNumberFormat="1" applyFont="1" applyFill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/>
    </xf>
    <xf numFmtId="2" fontId="47" fillId="0" borderId="1" xfId="0" applyNumberFormat="1" applyFont="1" applyBorder="1" applyAlignment="1">
      <alignment horizontal="center" vertical="center"/>
    </xf>
    <xf numFmtId="0" fontId="29" fillId="0" borderId="1" xfId="1" applyFont="1" applyFill="1" applyBorder="1" applyAlignment="1">
      <alignment horizontal="center" vertical="center"/>
    </xf>
    <xf numFmtId="0" fontId="45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2" fontId="45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26" fillId="5" borderId="15" xfId="0" applyFont="1" applyFill="1" applyBorder="1" applyAlignment="1">
      <alignment horizontal="center" vertical="center"/>
    </xf>
    <xf numFmtId="0" fontId="26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29" fillId="0" borderId="1" xfId="0" applyFont="1" applyBorder="1"/>
    <xf numFmtId="0" fontId="33" fillId="0" borderId="1" xfId="0" applyFont="1" applyBorder="1"/>
    <xf numFmtId="49" fontId="29" fillId="0" borderId="1" xfId="0" applyNumberFormat="1" applyFont="1" applyBorder="1"/>
    <xf numFmtId="0" fontId="45" fillId="13" borderId="0" xfId="996"/>
    <xf numFmtId="2" fontId="45" fillId="13" borderId="0" xfId="996" applyNumberFormat="1" applyAlignment="1">
      <alignment horizontal="center" vertical="center"/>
    </xf>
    <xf numFmtId="2" fontId="23" fillId="0" borderId="0" xfId="6" applyNumberFormat="1" applyAlignment="1">
      <alignment horizontal="center" vertical="center"/>
    </xf>
    <xf numFmtId="0" fontId="46" fillId="0" borderId="9" xfId="0" applyFont="1" applyBorder="1" applyAlignment="1">
      <alignment vertical="center"/>
    </xf>
    <xf numFmtId="0" fontId="46" fillId="0" borderId="10" xfId="0" applyFont="1" applyBorder="1" applyAlignment="1">
      <alignment vertical="center"/>
    </xf>
    <xf numFmtId="0" fontId="46" fillId="0" borderId="13" xfId="0" applyFont="1" applyBorder="1" applyAlignment="1">
      <alignment vertical="center"/>
    </xf>
    <xf numFmtId="0" fontId="46" fillId="0" borderId="14" xfId="0" applyFont="1" applyBorder="1" applyAlignment="1">
      <alignment vertical="center"/>
    </xf>
    <xf numFmtId="0" fontId="22" fillId="5" borderId="1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center" vertical="center"/>
    </xf>
    <xf numFmtId="2" fontId="29" fillId="0" borderId="0" xfId="0" applyNumberFormat="1" applyFont="1"/>
    <xf numFmtId="2" fontId="0" fillId="10" borderId="0" xfId="0" applyNumberFormat="1" applyFill="1"/>
    <xf numFmtId="2" fontId="41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36" fillId="0" borderId="59" xfId="0" applyNumberFormat="1" applyFont="1" applyBorder="1"/>
    <xf numFmtId="0" fontId="44" fillId="12" borderId="0" xfId="0" applyFont="1" applyFill="1" applyAlignment="1">
      <alignment horizontal="center" vertical="center" wrapText="1"/>
    </xf>
    <xf numFmtId="2" fontId="36" fillId="0" borderId="59" xfId="996" applyNumberFormat="1" applyFont="1" applyFill="1" applyBorder="1"/>
    <xf numFmtId="2" fontId="29" fillId="0" borderId="0" xfId="996" applyNumberFormat="1" applyFont="1" applyFill="1"/>
    <xf numFmtId="2" fontId="36" fillId="0" borderId="59" xfId="0" applyNumberFormat="1" applyFont="1" applyBorder="1" applyAlignment="1">
      <alignment horizontal="center" vertical="center"/>
    </xf>
    <xf numFmtId="2" fontId="36" fillId="0" borderId="0" xfId="0" applyNumberFormat="1" applyFont="1" applyAlignment="1">
      <alignment horizontal="center" vertical="center"/>
    </xf>
    <xf numFmtId="0" fontId="23" fillId="9" borderId="0" xfId="0" applyFont="1" applyFill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3" fillId="10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10" borderId="0" xfId="0" applyFont="1" applyFill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0" fontId="23" fillId="9" borderId="14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26" fillId="0" borderId="12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5" fillId="0" borderId="0" xfId="0" applyFont="1"/>
    <xf numFmtId="0" fontId="35" fillId="0" borderId="0" xfId="0" applyFont="1" applyAlignment="1">
      <alignment vertical="center"/>
    </xf>
    <xf numFmtId="0" fontId="22" fillId="0" borderId="1" xfId="0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29" fillId="0" borderId="1" xfId="0" applyNumberFormat="1" applyFont="1" applyBorder="1" applyAlignment="1">
      <alignment horizontal="center" vertical="center" wrapText="1"/>
    </xf>
    <xf numFmtId="0" fontId="23" fillId="17" borderId="0" xfId="0" applyFont="1" applyFill="1" applyAlignment="1">
      <alignment horizontal="center" wrapText="1"/>
    </xf>
    <xf numFmtId="0" fontId="23" fillId="11" borderId="10" xfId="0" applyFont="1" applyFill="1" applyBorder="1" applyAlignment="1">
      <alignment wrapText="1"/>
    </xf>
    <xf numFmtId="0" fontId="29" fillId="0" borderId="0" xfId="0" applyFont="1" applyAlignment="1">
      <alignment wrapText="1"/>
    </xf>
    <xf numFmtId="2" fontId="29" fillId="0" borderId="1" xfId="0" applyNumberFormat="1" applyFont="1" applyBorder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/>
    <xf numFmtId="0" fontId="29" fillId="0" borderId="0" xfId="0" applyFont="1" applyAlignment="1">
      <alignment horizontal="center"/>
    </xf>
    <xf numFmtId="0" fontId="29" fillId="0" borderId="8" xfId="0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left" vertical="center"/>
    </xf>
    <xf numFmtId="0" fontId="29" fillId="0" borderId="28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1" xfId="0" applyFont="1" applyBorder="1" applyAlignment="1">
      <alignment wrapText="1"/>
    </xf>
    <xf numFmtId="1" fontId="29" fillId="0" borderId="1" xfId="0" applyNumberFormat="1" applyFont="1" applyBorder="1" applyAlignment="1">
      <alignment horizontal="center" vertical="top" wrapText="1"/>
    </xf>
    <xf numFmtId="0" fontId="52" fillId="0" borderId="1" xfId="0" applyFont="1" applyBorder="1" applyAlignment="1">
      <alignment horizontal="center" vertical="center" wrapText="1"/>
    </xf>
    <xf numFmtId="0" fontId="29" fillId="0" borderId="1" xfId="0" quotePrefix="1" applyFont="1" applyBorder="1" applyAlignment="1">
      <alignment horizontal="center" vertical="center"/>
    </xf>
    <xf numFmtId="166" fontId="29" fillId="0" borderId="0" xfId="0" applyNumberFormat="1" applyFont="1" applyAlignment="1">
      <alignment horizontal="center" vertical="center" wrapText="1"/>
    </xf>
    <xf numFmtId="0" fontId="29" fillId="0" borderId="12" xfId="0" applyFont="1" applyBorder="1" applyAlignment="1">
      <alignment horizontal="left" vertical="center"/>
    </xf>
    <xf numFmtId="1" fontId="29" fillId="0" borderId="1" xfId="0" applyNumberFormat="1" applyFont="1" applyBorder="1"/>
    <xf numFmtId="0" fontId="29" fillId="0" borderId="0" xfId="0" applyFont="1" applyAlignment="1">
      <alignment horizontal="left" vertical="top"/>
    </xf>
    <xf numFmtId="0" fontId="33" fillId="0" borderId="0" xfId="0" applyFont="1"/>
    <xf numFmtId="0" fontId="29" fillId="0" borderId="1" xfId="0" applyFont="1" applyBorder="1" applyAlignment="1">
      <alignment horizontal="left" vertical="center" wrapText="1"/>
    </xf>
    <xf numFmtId="166" fontId="29" fillId="0" borderId="0" xfId="0" applyNumberFormat="1" applyFont="1" applyAlignment="1">
      <alignment wrapText="1"/>
    </xf>
    <xf numFmtId="0" fontId="29" fillId="0" borderId="0" xfId="0" applyFont="1" applyAlignment="1">
      <alignment horizont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38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vertical="center"/>
    </xf>
    <xf numFmtId="2" fontId="29" fillId="0" borderId="42" xfId="0" applyNumberFormat="1" applyFont="1" applyBorder="1" applyAlignment="1">
      <alignment horizontal="center" vertical="center"/>
    </xf>
    <xf numFmtId="2" fontId="29" fillId="0" borderId="40" xfId="0" applyNumberFormat="1" applyFont="1" applyBorder="1" applyAlignment="1">
      <alignment horizontal="center" vertical="center"/>
    </xf>
    <xf numFmtId="2" fontId="29" fillId="0" borderId="8" xfId="0" applyNumberFormat="1" applyFont="1" applyBorder="1" applyAlignment="1">
      <alignment horizontal="center" vertical="center"/>
    </xf>
    <xf numFmtId="0" fontId="29" fillId="0" borderId="19" xfId="0" applyFont="1" applyBorder="1" applyAlignment="1">
      <alignment vertical="center"/>
    </xf>
    <xf numFmtId="0" fontId="29" fillId="0" borderId="1" xfId="0" applyFont="1" applyBorder="1" applyAlignment="1">
      <alignment shrinkToFit="1"/>
    </xf>
    <xf numFmtId="0" fontId="41" fillId="0" borderId="0" xfId="0" applyFont="1" applyAlignment="1">
      <alignment vertical="center"/>
    </xf>
    <xf numFmtId="0" fontId="29" fillId="0" borderId="0" xfId="0" applyFont="1" applyAlignment="1">
      <alignment horizontal="right"/>
    </xf>
    <xf numFmtId="2" fontId="29" fillId="0" borderId="0" xfId="723" applyNumberFormat="1" applyFont="1" applyAlignment="1">
      <alignment horizontal="center" vertical="center" wrapText="1"/>
    </xf>
    <xf numFmtId="2" fontId="29" fillId="0" borderId="0" xfId="723" applyNumberFormat="1" applyFont="1"/>
    <xf numFmtId="166" fontId="23" fillId="0" borderId="0" xfId="6" applyNumberFormat="1"/>
    <xf numFmtId="0" fontId="23" fillId="0" borderId="0" xfId="6" applyAlignment="1">
      <alignment horizontal="center"/>
    </xf>
    <xf numFmtId="0" fontId="23" fillId="0" borderId="0" xfId="6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49" fillId="0" borderId="0" xfId="6" applyFont="1"/>
    <xf numFmtId="0" fontId="33" fillId="0" borderId="1" xfId="0" applyFont="1" applyBorder="1" applyAlignment="1">
      <alignment horizontal="center"/>
    </xf>
    <xf numFmtId="0" fontId="29" fillId="0" borderId="1" xfId="0" applyFont="1" applyBorder="1" applyAlignment="1">
      <alignment horizontal="center" wrapText="1"/>
    </xf>
    <xf numFmtId="1" fontId="29" fillId="0" borderId="0" xfId="0" applyNumberFormat="1" applyFont="1" applyAlignment="1">
      <alignment horizontal="center"/>
    </xf>
    <xf numFmtId="1" fontId="29" fillId="0" borderId="1" xfId="0" applyNumberFormat="1" applyFont="1" applyBorder="1" applyAlignment="1">
      <alignment horizontal="center"/>
    </xf>
    <xf numFmtId="1" fontId="29" fillId="0" borderId="0" xfId="0" applyNumberFormat="1" applyFont="1" applyAlignment="1">
      <alignment horizontal="center" vertical="center"/>
    </xf>
    <xf numFmtId="0" fontId="53" fillId="0" borderId="63" xfId="0" applyFont="1" applyBorder="1" applyAlignment="1">
      <alignment vertical="center"/>
    </xf>
    <xf numFmtId="0" fontId="55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vertical="top" wrapText="1"/>
    </xf>
    <xf numFmtId="0" fontId="56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3" fontId="55" fillId="0" borderId="0" xfId="0" applyNumberFormat="1" applyFont="1" applyAlignment="1">
      <alignment horizontal="center" vertical="center" wrapText="1"/>
    </xf>
    <xf numFmtId="1" fontId="29" fillId="0" borderId="0" xfId="0" applyNumberFormat="1" applyFont="1" applyAlignment="1">
      <alignment horizontal="center" vertical="top" wrapText="1"/>
    </xf>
    <xf numFmtId="0" fontId="55" fillId="0" borderId="14" xfId="0" applyFont="1" applyBorder="1" applyAlignment="1">
      <alignment horizontal="center" vertical="center" wrapText="1"/>
    </xf>
    <xf numFmtId="0" fontId="29" fillId="0" borderId="14" xfId="0" applyFont="1" applyBorder="1" applyAlignment="1">
      <alignment vertical="top" wrapText="1"/>
    </xf>
    <xf numFmtId="0" fontId="52" fillId="0" borderId="0" xfId="0" applyFont="1" applyAlignment="1">
      <alignment horizontal="center" vertical="center" wrapText="1"/>
    </xf>
    <xf numFmtId="0" fontId="52" fillId="0" borderId="14" xfId="0" applyFont="1" applyBorder="1" applyAlignment="1">
      <alignment horizontal="center" vertical="center" wrapText="1"/>
    </xf>
    <xf numFmtId="167" fontId="29" fillId="0" borderId="0" xfId="0" applyNumberFormat="1" applyFont="1"/>
    <xf numFmtId="167" fontId="26" fillId="0" borderId="1" xfId="0" applyNumberFormat="1" applyFont="1" applyBorder="1"/>
    <xf numFmtId="167" fontId="26" fillId="0" borderId="0" xfId="0" applyNumberFormat="1" applyFont="1"/>
    <xf numFmtId="0" fontId="59" fillId="0" borderId="0" xfId="0" applyFont="1"/>
    <xf numFmtId="2" fontId="59" fillId="0" borderId="0" xfId="0" applyNumberFormat="1" applyFont="1"/>
    <xf numFmtId="0" fontId="59" fillId="0" borderId="1" xfId="0" applyFont="1" applyBorder="1"/>
    <xf numFmtId="0" fontId="59" fillId="0" borderId="1" xfId="0" applyFont="1" applyBorder="1" applyAlignment="1">
      <alignment vertical="top" wrapText="1"/>
    </xf>
    <xf numFmtId="0" fontId="59" fillId="0" borderId="8" xfId="0" applyFont="1" applyBorder="1"/>
    <xf numFmtId="0" fontId="29" fillId="0" borderId="0" xfId="1556" applyFont="1"/>
    <xf numFmtId="2" fontId="29" fillId="0" borderId="0" xfId="1556" applyNumberFormat="1" applyFont="1"/>
    <xf numFmtId="0" fontId="18" fillId="0" borderId="0" xfId="1557"/>
    <xf numFmtId="0" fontId="40" fillId="0" borderId="0" xfId="1557" applyFont="1"/>
    <xf numFmtId="0" fontId="61" fillId="0" borderId="0" xfId="0" applyFont="1" applyAlignment="1">
      <alignment vertical="center" wrapText="1"/>
    </xf>
    <xf numFmtId="0" fontId="62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46" fillId="0" borderId="0" xfId="0" applyFont="1" applyAlignment="1">
      <alignment vertical="center"/>
    </xf>
    <xf numFmtId="2" fontId="22" fillId="0" borderId="0" xfId="0" applyNumberFormat="1" applyFont="1" applyAlignment="1">
      <alignment vertical="top" wrapText="1"/>
    </xf>
    <xf numFmtId="0" fontId="65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3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29" fillId="18" borderId="0" xfId="996" applyNumberFormat="1" applyFont="1" applyFill="1"/>
    <xf numFmtId="0" fontId="36" fillId="0" borderId="0" xfId="0" applyFont="1"/>
    <xf numFmtId="2" fontId="36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2" fontId="0" fillId="0" borderId="5" xfId="0" applyNumberFormat="1" applyBorder="1"/>
    <xf numFmtId="0" fontId="0" fillId="6" borderId="45" xfId="0" applyFill="1" applyBorder="1" applyAlignment="1">
      <alignment horizontal="center" vertical="center"/>
    </xf>
    <xf numFmtId="9" fontId="60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26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26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26" fillId="0" borderId="4" xfId="0" applyFont="1" applyBorder="1" applyAlignment="1">
      <alignment horizontal="left" wrapText="1"/>
    </xf>
    <xf numFmtId="0" fontId="0" fillId="18" borderId="5" xfId="0" applyFill="1" applyBorder="1"/>
    <xf numFmtId="0" fontId="33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26" fillId="5" borderId="50" xfId="0" applyFont="1" applyFill="1" applyBorder="1" applyAlignment="1">
      <alignment horizontal="left" wrapText="1"/>
    </xf>
    <xf numFmtId="0" fontId="26" fillId="5" borderId="3" xfId="0" applyFont="1" applyFill="1" applyBorder="1" applyAlignment="1">
      <alignment horizontal="left" wrapText="1"/>
    </xf>
    <xf numFmtId="2" fontId="34" fillId="6" borderId="0" xfId="6" applyNumberFormat="1" applyFont="1" applyFill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34" fillId="6" borderId="45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2" fontId="29" fillId="6" borderId="0" xfId="6" applyNumberFormat="1" applyFont="1" applyFill="1" applyAlignment="1">
      <alignment horizontal="center" vertical="center"/>
    </xf>
    <xf numFmtId="0" fontId="36" fillId="6" borderId="57" xfId="0" applyFont="1" applyFill="1" applyBorder="1" applyAlignment="1">
      <alignment horizontal="center" vertical="center"/>
    </xf>
    <xf numFmtId="0" fontId="36" fillId="6" borderId="53" xfId="0" applyFont="1" applyFill="1" applyBorder="1" applyAlignment="1">
      <alignment horizontal="center" vertical="center"/>
    </xf>
    <xf numFmtId="0" fontId="69" fillId="6" borderId="52" xfId="0" applyFont="1" applyFill="1" applyBorder="1" applyAlignment="1">
      <alignment horizontal="center" vertical="center"/>
    </xf>
    <xf numFmtId="0" fontId="33" fillId="6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36" fillId="6" borderId="70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29" fillId="6" borderId="45" xfId="0" applyFont="1" applyFill="1" applyBorder="1" applyAlignment="1">
      <alignment horizontal="center" vertical="center"/>
    </xf>
    <xf numFmtId="1" fontId="34" fillId="6" borderId="66" xfId="6" applyNumberFormat="1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29" fillId="19" borderId="0" xfId="0" applyFont="1" applyFill="1"/>
    <xf numFmtId="2" fontId="33" fillId="0" borderId="2" xfId="723" applyNumberFormat="1" applyFont="1" applyBorder="1" applyAlignment="1">
      <alignment vertical="center" wrapText="1"/>
    </xf>
    <xf numFmtId="2" fontId="33" fillId="0" borderId="50" xfId="723" applyNumberFormat="1" applyFont="1" applyBorder="1" applyAlignment="1">
      <alignment vertical="center" wrapText="1"/>
    </xf>
    <xf numFmtId="2" fontId="33" fillId="0" borderId="3" xfId="723" applyNumberFormat="1" applyFont="1" applyBorder="1" applyAlignment="1">
      <alignment vertical="center" wrapText="1"/>
    </xf>
    <xf numFmtId="2" fontId="29" fillId="0" borderId="4" xfId="1556" applyNumberFormat="1" applyFont="1" applyBorder="1"/>
    <xf numFmtId="2" fontId="29" fillId="0" borderId="5" xfId="1556" applyNumberFormat="1" applyFont="1" applyBorder="1" applyAlignment="1">
      <alignment horizontal="center"/>
    </xf>
    <xf numFmtId="2" fontId="29" fillId="0" borderId="4" xfId="723" applyNumberFormat="1" applyFont="1" applyBorder="1"/>
    <xf numFmtId="2" fontId="29" fillId="0" borderId="5" xfId="723" applyNumberFormat="1" applyFont="1" applyBorder="1" applyAlignment="1">
      <alignment horizontal="center"/>
    </xf>
    <xf numFmtId="2" fontId="29" fillId="0" borderId="4" xfId="0" applyNumberFormat="1" applyFont="1" applyBorder="1"/>
    <xf numFmtId="2" fontId="29" fillId="0" borderId="5" xfId="0" applyNumberFormat="1" applyFont="1" applyBorder="1" applyAlignment="1">
      <alignment horizontal="center"/>
    </xf>
    <xf numFmtId="2" fontId="29" fillId="0" borderId="5" xfId="723" applyNumberFormat="1" applyFont="1" applyBorder="1"/>
    <xf numFmtId="2" fontId="29" fillId="0" borderId="2" xfId="723" applyNumberFormat="1" applyFont="1" applyBorder="1" applyAlignment="1">
      <alignment horizontal="center" vertical="center" wrapText="1"/>
    </xf>
    <xf numFmtId="2" fontId="33" fillId="0" borderId="5" xfId="723" applyNumberFormat="1" applyFont="1" applyBorder="1" applyAlignment="1">
      <alignment horizontal="center" vertical="center"/>
    </xf>
    <xf numFmtId="2" fontId="29" fillId="0" borderId="5" xfId="1556" applyNumberFormat="1" applyFont="1" applyBorder="1" applyAlignment="1">
      <alignment horizontal="center" vertical="center"/>
    </xf>
    <xf numFmtId="2" fontId="29" fillId="0" borderId="5" xfId="723" applyNumberFormat="1" applyFont="1" applyBorder="1" applyAlignment="1">
      <alignment horizontal="center" vertical="center"/>
    </xf>
    <xf numFmtId="2" fontId="29" fillId="0" borderId="5" xfId="0" applyNumberFormat="1" applyFont="1" applyBorder="1" applyAlignment="1">
      <alignment horizontal="center" vertical="center"/>
    </xf>
    <xf numFmtId="2" fontId="29" fillId="6" borderId="4" xfId="723" applyNumberFormat="1" applyFont="1" applyFill="1" applyBorder="1"/>
    <xf numFmtId="0" fontId="29" fillId="6" borderId="4" xfId="0" applyFont="1" applyFill="1" applyBorder="1"/>
    <xf numFmtId="1" fontId="0" fillId="6" borderId="0" xfId="0" applyNumberFormat="1" applyFill="1"/>
    <xf numFmtId="0" fontId="68" fillId="18" borderId="4" xfId="0" applyFont="1" applyFill="1" applyBorder="1"/>
    <xf numFmtId="166" fontId="0" fillId="0" borderId="1" xfId="0" applyNumberFormat="1" applyBorder="1"/>
    <xf numFmtId="0" fontId="58" fillId="5" borderId="1" xfId="1556" applyFill="1" applyBorder="1" applyAlignment="1">
      <alignment horizontal="left" vertical="center" wrapText="1"/>
    </xf>
    <xf numFmtId="0" fontId="58" fillId="5" borderId="1" xfId="1556" applyFill="1" applyBorder="1" applyAlignment="1">
      <alignment horizontal="center" vertical="center"/>
    </xf>
    <xf numFmtId="0" fontId="58" fillId="0" borderId="0" xfId="1556" applyAlignment="1">
      <alignment vertical="center"/>
    </xf>
    <xf numFmtId="0" fontId="58" fillId="0" borderId="1" xfId="1556" applyBorder="1" applyAlignment="1">
      <alignment horizontal="center" wrapText="1"/>
    </xf>
    <xf numFmtId="0" fontId="58" fillId="0" borderId="0" xfId="1556"/>
    <xf numFmtId="0" fontId="58" fillId="0" borderId="1" xfId="1556" applyBorder="1"/>
    <xf numFmtId="2" fontId="58" fillId="0" borderId="1" xfId="1556" applyNumberFormat="1" applyBorder="1"/>
    <xf numFmtId="166" fontId="58" fillId="0" borderId="1" xfId="1556" applyNumberFormat="1" applyBorder="1"/>
    <xf numFmtId="0" fontId="39" fillId="18" borderId="4" xfId="0" applyFont="1" applyFill="1" applyBorder="1"/>
    <xf numFmtId="0" fontId="22" fillId="6" borderId="0" xfId="6" applyFont="1" applyFill="1"/>
    <xf numFmtId="0" fontId="26" fillId="18" borderId="4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left"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26" fillId="0" borderId="0" xfId="0" applyFont="1" applyAlignment="1">
      <alignment vertical="top"/>
    </xf>
    <xf numFmtId="0" fontId="0" fillId="0" borderId="6" xfId="0" applyBorder="1" applyAlignment="1">
      <alignment vertical="top"/>
    </xf>
    <xf numFmtId="0" fontId="0" fillId="0" borderId="45" xfId="0" applyBorder="1" applyAlignment="1">
      <alignment vertical="top"/>
    </xf>
    <xf numFmtId="167" fontId="0" fillId="0" borderId="7" xfId="0" applyNumberFormat="1" applyBorder="1" applyAlignment="1">
      <alignment vertical="top"/>
    </xf>
    <xf numFmtId="168" fontId="26" fillId="0" borderId="0" xfId="1833" applyNumberFormat="1" applyFont="1" applyAlignment="1">
      <alignment horizontal="left"/>
    </xf>
    <xf numFmtId="168" fontId="26" fillId="0" borderId="5" xfId="1833" applyNumberFormat="1" applyFont="1" applyBorder="1" applyAlignment="1">
      <alignment horizontal="left"/>
    </xf>
    <xf numFmtId="168" fontId="33" fillId="0" borderId="45" xfId="1833" applyNumberFormat="1" applyFont="1" applyBorder="1" applyAlignment="1">
      <alignment horizontal="left"/>
    </xf>
    <xf numFmtId="168" fontId="26" fillId="0" borderId="7" xfId="1833" applyNumberFormat="1" applyFont="1" applyBorder="1" applyAlignment="1">
      <alignment horizontal="left"/>
    </xf>
    <xf numFmtId="168" fontId="0" fillId="0" borderId="0" xfId="1833" applyNumberFormat="1" applyFont="1" applyAlignment="1">
      <alignment horizontal="left"/>
    </xf>
    <xf numFmtId="168" fontId="0" fillId="0" borderId="5" xfId="1833" applyNumberFormat="1" applyFont="1" applyBorder="1" applyAlignment="1">
      <alignment horizontal="left"/>
    </xf>
    <xf numFmtId="168" fontId="18" fillId="0" borderId="0" xfId="1833" applyNumberFormat="1" applyFont="1" applyAlignment="1">
      <alignment horizontal="left"/>
    </xf>
    <xf numFmtId="169" fontId="0" fillId="0" borderId="7" xfId="0" applyNumberFormat="1" applyBorder="1" applyAlignment="1">
      <alignment vertical="top"/>
    </xf>
    <xf numFmtId="170" fontId="0" fillId="0" borderId="0" xfId="1833" applyNumberFormat="1" applyFont="1" applyAlignment="1">
      <alignment vertical="top"/>
    </xf>
    <xf numFmtId="170" fontId="0" fillId="0" borderId="5" xfId="1833" applyNumberFormat="1" applyFont="1" applyBorder="1"/>
    <xf numFmtId="170" fontId="68" fillId="0" borderId="0" xfId="0" applyNumberFormat="1" applyFont="1" applyAlignment="1">
      <alignment vertical="top"/>
    </xf>
    <xf numFmtId="170" fontId="68" fillId="0" borderId="5" xfId="0" applyNumberFormat="1" applyFont="1" applyBorder="1" applyAlignment="1">
      <alignment vertical="top"/>
    </xf>
    <xf numFmtId="170" fontId="0" fillId="0" borderId="45" xfId="0" applyNumberFormat="1" applyBorder="1" applyAlignment="1">
      <alignment vertical="top"/>
    </xf>
    <xf numFmtId="2" fontId="22" fillId="0" borderId="52" xfId="0" applyNumberFormat="1" applyFont="1" applyBorder="1" applyAlignment="1">
      <alignment horizontal="center" vertical="center" wrapText="1"/>
    </xf>
    <xf numFmtId="2" fontId="22" fillId="0" borderId="57" xfId="0" applyNumberFormat="1" applyFont="1" applyBorder="1" applyAlignment="1">
      <alignment horizontal="center" vertical="center" wrapText="1"/>
    </xf>
    <xf numFmtId="1" fontId="36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26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29" fillId="0" borderId="1" xfId="1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26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70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29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2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3" fillId="6" borderId="0" xfId="1556" applyFont="1" applyFill="1"/>
    <xf numFmtId="0" fontId="73" fillId="6" borderId="0" xfId="1556" applyFont="1" applyFill="1" applyAlignment="1">
      <alignment horizontal="center" vertical="center" wrapText="1"/>
    </xf>
    <xf numFmtId="0" fontId="73" fillId="6" borderId="0" xfId="1556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0" fillId="4" borderId="1" xfId="0" applyFill="1" applyBorder="1"/>
    <xf numFmtId="0" fontId="29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29" fillId="4" borderId="11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 wrapText="1"/>
    </xf>
    <xf numFmtId="0" fontId="74" fillId="6" borderId="0" xfId="0" applyFont="1" applyFill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 wrapText="1"/>
    </xf>
    <xf numFmtId="0" fontId="32" fillId="6" borderId="0" xfId="0" applyFont="1" applyFill="1" applyAlignment="1">
      <alignment horizontal="center" vertical="center" wrapText="1"/>
    </xf>
    <xf numFmtId="0" fontId="29" fillId="6" borderId="1" xfId="0" applyFont="1" applyFill="1" applyBorder="1"/>
    <xf numFmtId="0" fontId="29" fillId="6" borderId="1" xfId="0" applyFont="1" applyFill="1" applyBorder="1" applyAlignment="1">
      <alignment wrapText="1"/>
    </xf>
    <xf numFmtId="0" fontId="75" fillId="6" borderId="0" xfId="0" applyFont="1" applyFill="1" applyAlignment="1">
      <alignment horizontal="center" vertical="center"/>
    </xf>
    <xf numFmtId="165" fontId="70" fillId="6" borderId="0" xfId="1556" applyNumberFormat="1" applyFont="1" applyFill="1" applyAlignment="1">
      <alignment horizontal="center" vertical="center"/>
    </xf>
    <xf numFmtId="0" fontId="29" fillId="0" borderId="0" xfId="0" applyFont="1" applyAlignment="1">
      <alignment horizontal="left"/>
    </xf>
    <xf numFmtId="0" fontId="26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26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2" fontId="0" fillId="0" borderId="7" xfId="0" applyNumberFormat="1" applyBorder="1"/>
    <xf numFmtId="0" fontId="26" fillId="0" borderId="4" xfId="0" applyFont="1" applyBorder="1" applyAlignment="1">
      <alignment horizontal="left"/>
    </xf>
    <xf numFmtId="0" fontId="0" fillId="0" borderId="5" xfId="0" applyBorder="1"/>
    <xf numFmtId="0" fontId="26" fillId="0" borderId="0" xfId="0" applyFont="1" applyAlignment="1">
      <alignment horizontal="left"/>
    </xf>
    <xf numFmtId="0" fontId="76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left"/>
    </xf>
    <xf numFmtId="0" fontId="24" fillId="0" borderId="0" xfId="1838"/>
    <xf numFmtId="0" fontId="47" fillId="0" borderId="1" xfId="0" applyFont="1" applyBorder="1" applyAlignment="1">
      <alignment horizontal="center" vertical="center" wrapText="1"/>
    </xf>
    <xf numFmtId="2" fontId="29" fillId="0" borderId="1" xfId="0" applyNumberFormat="1" applyFont="1" applyBorder="1"/>
    <xf numFmtId="2" fontId="29" fillId="6" borderId="0" xfId="0" applyNumberFormat="1" applyFont="1" applyFill="1" applyAlignment="1">
      <alignment horizontal="center" vertical="center" wrapText="1"/>
    </xf>
    <xf numFmtId="0" fontId="29" fillId="6" borderId="0" xfId="0" applyFont="1" applyFill="1"/>
    <xf numFmtId="2" fontId="29" fillId="6" borderId="0" xfId="0" applyNumberFormat="1" applyFont="1" applyFill="1"/>
    <xf numFmtId="1" fontId="29" fillId="6" borderId="0" xfId="0" applyNumberFormat="1" applyFont="1" applyFill="1"/>
    <xf numFmtId="0" fontId="26" fillId="6" borderId="0" xfId="0" applyFont="1" applyFill="1" applyAlignment="1">
      <alignment horizontal="right"/>
    </xf>
    <xf numFmtId="2" fontId="26" fillId="6" borderId="0" xfId="0" applyNumberFormat="1" applyFont="1" applyFill="1" applyAlignment="1">
      <alignment horizontal="right"/>
    </xf>
    <xf numFmtId="0" fontId="26" fillId="6" borderId="0" xfId="0" applyFont="1" applyFill="1" applyAlignment="1">
      <alignment horizontal="left"/>
    </xf>
    <xf numFmtId="0" fontId="29" fillId="0" borderId="53" xfId="0" applyFont="1" applyBorder="1" applyAlignment="1">
      <alignment horizontal="center" vertical="center"/>
    </xf>
    <xf numFmtId="2" fontId="29" fillId="6" borderId="0" xfId="723" applyNumberFormat="1" applyFont="1" applyFill="1"/>
    <xf numFmtId="2" fontId="29" fillId="6" borderId="5" xfId="723" applyNumberFormat="1" applyFont="1" applyFill="1" applyBorder="1" applyAlignment="1">
      <alignment horizontal="center"/>
    </xf>
    <xf numFmtId="2" fontId="29" fillId="6" borderId="5" xfId="723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2" fontId="29" fillId="0" borderId="1" xfId="723" applyNumberFormat="1" applyFont="1" applyBorder="1" applyAlignment="1">
      <alignment horizontal="center" vertical="center" wrapText="1"/>
    </xf>
    <xf numFmtId="166" fontId="29" fillId="0" borderId="1" xfId="723" applyNumberFormat="1" applyFont="1" applyBorder="1" applyAlignment="1">
      <alignment horizontal="center" vertical="center" wrapText="1"/>
    </xf>
    <xf numFmtId="1" fontId="47" fillId="0" borderId="1" xfId="1" applyNumberFormat="1" applyFont="1" applyFill="1" applyBorder="1" applyAlignment="1">
      <alignment horizontal="center"/>
    </xf>
    <xf numFmtId="1" fontId="47" fillId="0" borderId="1" xfId="723" applyNumberFormat="1" applyFont="1" applyBorder="1"/>
    <xf numFmtId="1" fontId="47" fillId="0" borderId="1" xfId="723" applyNumberFormat="1" applyFont="1" applyBorder="1" applyAlignment="1">
      <alignment horizontal="center"/>
    </xf>
    <xf numFmtId="2" fontId="29" fillId="0" borderId="2" xfId="723" applyNumberFormat="1" applyFont="1" applyBorder="1"/>
    <xf numFmtId="2" fontId="29" fillId="0" borderId="3" xfId="723" applyNumberFormat="1" applyFont="1" applyBorder="1"/>
    <xf numFmtId="2" fontId="29" fillId="6" borderId="4" xfId="1556" applyNumberFormat="1" applyFont="1" applyFill="1" applyBorder="1" applyAlignment="1">
      <alignment horizontal="right" vertical="center" wrapText="1"/>
    </xf>
    <xf numFmtId="2" fontId="29" fillId="6" borderId="5" xfId="1556" applyNumberFormat="1" applyFont="1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 wrapText="1"/>
    </xf>
    <xf numFmtId="2" fontId="29" fillId="6" borderId="5" xfId="723" applyNumberFormat="1" applyFont="1" applyFill="1" applyBorder="1" applyAlignment="1">
      <alignment horizontal="right" vertical="center"/>
    </xf>
    <xf numFmtId="0" fontId="29" fillId="6" borderId="4" xfId="1556" applyFont="1" applyFill="1" applyBorder="1" applyAlignment="1">
      <alignment horizontal="right" vertical="center" wrapText="1"/>
    </xf>
    <xf numFmtId="0" fontId="29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29" fillId="6" borderId="4" xfId="723" applyNumberFormat="1" applyFont="1" applyFill="1" applyBorder="1" applyAlignment="1">
      <alignment horizontal="right" vertical="center"/>
    </xf>
    <xf numFmtId="2" fontId="29" fillId="6" borderId="4" xfId="1556" applyNumberFormat="1" applyFont="1" applyFill="1" applyBorder="1" applyAlignment="1">
      <alignment horizontal="right" vertical="center"/>
    </xf>
    <xf numFmtId="0" fontId="29" fillId="6" borderId="4" xfId="0" applyFont="1" applyFill="1" applyBorder="1" applyAlignment="1">
      <alignment horizontal="right" vertical="center"/>
    </xf>
    <xf numFmtId="0" fontId="29" fillId="0" borderId="52" xfId="0" applyFont="1" applyBorder="1" applyAlignment="1">
      <alignment horizontal="center" vertical="center" wrapText="1"/>
    </xf>
    <xf numFmtId="0" fontId="29" fillId="0" borderId="57" xfId="0" applyFont="1" applyBorder="1"/>
    <xf numFmtId="0" fontId="29" fillId="0" borderId="57" xfId="0" applyFont="1" applyBorder="1" applyAlignment="1">
      <alignment horizontal="right" wrapText="1"/>
    </xf>
    <xf numFmtId="2" fontId="33" fillId="0" borderId="57" xfId="0" applyNumberFormat="1" applyFont="1" applyBorder="1"/>
    <xf numFmtId="166" fontId="29" fillId="0" borderId="57" xfId="0" applyNumberFormat="1" applyFont="1" applyBorder="1"/>
    <xf numFmtId="0" fontId="29" fillId="0" borderId="57" xfId="0" applyFont="1" applyBorder="1" applyAlignment="1">
      <alignment horizontal="center"/>
    </xf>
    <xf numFmtId="0" fontId="29" fillId="0" borderId="57" xfId="0" applyFont="1" applyBorder="1" applyAlignment="1">
      <alignment wrapText="1"/>
    </xf>
    <xf numFmtId="0" fontId="0" fillId="20" borderId="0" xfId="0" applyFill="1"/>
    <xf numFmtId="0" fontId="26" fillId="20" borderId="0" xfId="0" applyFont="1" applyFill="1"/>
    <xf numFmtId="2" fontId="29" fillId="0" borderId="50" xfId="723" applyNumberFormat="1" applyFont="1" applyBorder="1"/>
    <xf numFmtId="2" fontId="29" fillId="6" borderId="0" xfId="1556" applyNumberFormat="1" applyFont="1" applyFill="1" applyAlignment="1">
      <alignment horizontal="right" vertical="center" wrapText="1"/>
    </xf>
    <xf numFmtId="2" fontId="29" fillId="6" borderId="0" xfId="723" applyNumberFormat="1" applyFont="1" applyFill="1" applyAlignment="1">
      <alignment horizontal="right" vertical="center" wrapText="1"/>
    </xf>
    <xf numFmtId="0" fontId="29" fillId="6" borderId="0" xfId="1556" applyFont="1" applyFill="1" applyAlignment="1">
      <alignment horizontal="right" vertical="center" wrapText="1"/>
    </xf>
    <xf numFmtId="0" fontId="29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29" fillId="6" borderId="0" xfId="723" applyNumberFormat="1" applyFont="1" applyFill="1" applyAlignment="1">
      <alignment horizontal="right" vertical="center"/>
    </xf>
    <xf numFmtId="2" fontId="29" fillId="6" borderId="0" xfId="1556" applyNumberFormat="1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1" fontId="29" fillId="0" borderId="10" xfId="0" applyNumberFormat="1" applyFont="1" applyBorder="1"/>
    <xf numFmtId="2" fontId="26" fillId="0" borderId="0" xfId="0" applyNumberFormat="1" applyFont="1" applyAlignment="1">
      <alignment horizontal="right"/>
    </xf>
    <xf numFmtId="0" fontId="26" fillId="0" borderId="0" xfId="0" applyFont="1" applyAlignment="1">
      <alignment horizontal="left" vertical="top"/>
    </xf>
    <xf numFmtId="2" fontId="0" fillId="0" borderId="0" xfId="0" applyNumberFormat="1" applyAlignment="1">
      <alignment vertical="top"/>
    </xf>
    <xf numFmtId="2" fontId="26" fillId="0" borderId="0" xfId="0" applyNumberFormat="1" applyFont="1" applyAlignment="1">
      <alignment vertical="top"/>
    </xf>
    <xf numFmtId="0" fontId="26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29" fillId="6" borderId="6" xfId="723" applyNumberFormat="1" applyFont="1" applyFill="1" applyBorder="1" applyAlignment="1">
      <alignment horizontal="right" vertical="center" wrapText="1"/>
    </xf>
    <xf numFmtId="2" fontId="29" fillId="6" borderId="45" xfId="723" applyNumberFormat="1" applyFont="1" applyFill="1" applyBorder="1" applyAlignment="1">
      <alignment horizontal="right" vertical="center" wrapText="1"/>
    </xf>
    <xf numFmtId="2" fontId="29" fillId="6" borderId="7" xfId="723" applyNumberFormat="1" applyFont="1" applyFill="1" applyBorder="1" applyAlignment="1">
      <alignment horizontal="right" vertical="center"/>
    </xf>
    <xf numFmtId="2" fontId="29" fillId="0" borderId="6" xfId="723" applyNumberFormat="1" applyFont="1" applyBorder="1"/>
    <xf numFmtId="2" fontId="29" fillId="0" borderId="45" xfId="723" applyNumberFormat="1" applyFont="1" applyBorder="1"/>
    <xf numFmtId="2" fontId="29" fillId="0" borderId="7" xfId="723" applyNumberFormat="1" applyFont="1" applyBorder="1" applyAlignment="1">
      <alignment horizontal="center"/>
    </xf>
    <xf numFmtId="2" fontId="29" fillId="0" borderId="7" xfId="723" applyNumberFormat="1" applyFont="1" applyBorder="1" applyAlignment="1">
      <alignment horizontal="center" vertical="center"/>
    </xf>
    <xf numFmtId="2" fontId="29" fillId="6" borderId="4" xfId="723" applyNumberFormat="1" applyFont="1" applyFill="1" applyBorder="1" applyAlignment="1">
      <alignment horizontal="left" vertical="center"/>
    </xf>
    <xf numFmtId="2" fontId="29" fillId="6" borderId="6" xfId="723" applyNumberFormat="1" applyFont="1" applyFill="1" applyBorder="1" applyAlignment="1">
      <alignment horizontal="left" vertical="center"/>
    </xf>
    <xf numFmtId="0" fontId="29" fillId="0" borderId="65" xfId="0" applyFont="1" applyBorder="1"/>
    <xf numFmtId="0" fontId="29" fillId="0" borderId="67" xfId="0" applyFont="1" applyBorder="1"/>
    <xf numFmtId="0" fontId="26" fillId="0" borderId="68" xfId="0" applyFont="1" applyBorder="1" applyAlignment="1">
      <alignment horizontal="right"/>
    </xf>
    <xf numFmtId="0" fontId="47" fillId="0" borderId="36" xfId="0" applyFont="1" applyBorder="1" applyAlignment="1">
      <alignment horizontal="center" vertical="center" wrapText="1"/>
    </xf>
    <xf numFmtId="0" fontId="47" fillId="0" borderId="28" xfId="0" applyFont="1" applyBorder="1" applyAlignment="1">
      <alignment horizontal="center" vertical="center" wrapText="1"/>
    </xf>
    <xf numFmtId="2" fontId="29" fillId="0" borderId="28" xfId="0" applyNumberFormat="1" applyFont="1" applyBorder="1"/>
    <xf numFmtId="2" fontId="58" fillId="0" borderId="36" xfId="1556" applyNumberFormat="1" applyBorder="1"/>
    <xf numFmtId="2" fontId="26" fillId="0" borderId="37" xfId="0" applyNumberFormat="1" applyFont="1" applyBorder="1" applyAlignment="1">
      <alignment horizontal="right"/>
    </xf>
    <xf numFmtId="2" fontId="26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29" fillId="23" borderId="1" xfId="0" applyNumberFormat="1" applyFont="1" applyFill="1" applyBorder="1"/>
    <xf numFmtId="2" fontId="26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29" fillId="6" borderId="4" xfId="1556" applyNumberFormat="1" applyFont="1" applyFill="1" applyBorder="1" applyAlignment="1">
      <alignment horizontal="left" vertical="center"/>
    </xf>
    <xf numFmtId="0" fontId="0" fillId="18" borderId="0" xfId="0" applyFill="1" applyAlignment="1">
      <alignment vertical="top" wrapText="1"/>
    </xf>
    <xf numFmtId="0" fontId="0" fillId="18" borderId="0" xfId="0" applyFill="1" applyAlignment="1">
      <alignment horizontal="left" vertical="top" wrapText="1"/>
    </xf>
    <xf numFmtId="0" fontId="29" fillId="3" borderId="1" xfId="0" applyFont="1" applyFill="1" applyBorder="1"/>
    <xf numFmtId="0" fontId="29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29" fillId="23" borderId="0" xfId="0" applyFont="1" applyFill="1" applyAlignment="1">
      <alignment horizontal="center" vertical="center" wrapText="1"/>
    </xf>
    <xf numFmtId="0" fontId="29" fillId="23" borderId="0" xfId="1556" applyFont="1" applyFill="1"/>
    <xf numFmtId="0" fontId="0" fillId="23" borderId="0" xfId="0" applyFill="1"/>
    <xf numFmtId="2" fontId="29" fillId="23" borderId="0" xfId="1556" applyNumberFormat="1" applyFont="1" applyFill="1"/>
    <xf numFmtId="2" fontId="29" fillId="23" borderId="0" xfId="0" applyNumberFormat="1" applyFont="1" applyFill="1"/>
    <xf numFmtId="0" fontId="33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 wrapText="1"/>
    </xf>
    <xf numFmtId="0" fontId="45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4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14" borderId="1" xfId="0" applyFill="1" applyBorder="1"/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29" fillId="6" borderId="67" xfId="0" applyNumberFormat="1" applyFont="1" applyFill="1" applyBorder="1" applyAlignment="1">
      <alignment horizontal="center" vertical="center" wrapText="1"/>
    </xf>
    <xf numFmtId="0" fontId="29" fillId="14" borderId="67" xfId="0" applyFont="1" applyFill="1" applyBorder="1" applyAlignment="1" applyProtection="1">
      <alignment horizontal="center" vertical="center" wrapText="1"/>
      <protection locked="0"/>
    </xf>
    <xf numFmtId="2" fontId="29" fillId="6" borderId="68" xfId="0" applyNumberFormat="1" applyFont="1" applyFill="1" applyBorder="1" applyAlignment="1">
      <alignment horizontal="center" vertical="center" wrapText="1"/>
    </xf>
    <xf numFmtId="0" fontId="26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29" fillId="6" borderId="1" xfId="0" applyFont="1" applyFill="1" applyBorder="1" applyAlignment="1">
      <alignment horizontal="center" vertical="center"/>
    </xf>
    <xf numFmtId="2" fontId="77" fillId="6" borderId="0" xfId="0" applyNumberFormat="1" applyFont="1" applyFill="1" applyAlignment="1">
      <alignment horizontal="center" vertical="center"/>
    </xf>
    <xf numFmtId="0" fontId="26" fillId="5" borderId="3" xfId="0" applyFont="1" applyFill="1" applyBorder="1" applyAlignment="1">
      <alignment horizontal="left"/>
    </xf>
    <xf numFmtId="0" fontId="0" fillId="18" borderId="5" xfId="0" applyFill="1" applyBorder="1" applyAlignment="1">
      <alignment vertical="top" wrapText="1"/>
    </xf>
    <xf numFmtId="168" fontId="19" fillId="0" borderId="5" xfId="1833" applyNumberFormat="1" applyBorder="1" applyAlignment="1">
      <alignment horizontal="left"/>
    </xf>
    <xf numFmtId="2" fontId="45" fillId="0" borderId="0" xfId="996" applyNumberFormat="1" applyFill="1"/>
    <xf numFmtId="1" fontId="47" fillId="0" borderId="0" xfId="0" applyNumberFormat="1" applyFont="1"/>
    <xf numFmtId="2" fontId="29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3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26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166" fontId="0" fillId="0" borderId="0" xfId="0" applyNumberFormat="1" applyAlignment="1">
      <alignment vertical="top"/>
    </xf>
    <xf numFmtId="166" fontId="0" fillId="0" borderId="5" xfId="0" applyNumberFormat="1" applyBorder="1" applyAlignment="1">
      <alignment vertical="top"/>
    </xf>
    <xf numFmtId="166" fontId="26" fillId="0" borderId="0" xfId="0" applyNumberFormat="1" applyFont="1" applyAlignment="1">
      <alignment vertical="top"/>
    </xf>
    <xf numFmtId="166" fontId="26" fillId="0" borderId="5" xfId="0" applyNumberFormat="1" applyFont="1" applyBorder="1" applyAlignment="1">
      <alignment vertical="top"/>
    </xf>
    <xf numFmtId="172" fontId="0" fillId="18" borderId="5" xfId="1833" applyNumberFormat="1" applyFont="1" applyFill="1" applyBorder="1"/>
    <xf numFmtId="0" fontId="26" fillId="6" borderId="22" xfId="0" applyFont="1" applyFill="1" applyBorder="1"/>
    <xf numFmtId="44" fontId="26" fillId="6" borderId="22" xfId="0" applyNumberFormat="1" applyFont="1" applyFill="1" applyBorder="1"/>
    <xf numFmtId="9" fontId="0" fillId="0" borderId="0" xfId="1554" applyFont="1"/>
    <xf numFmtId="165" fontId="47" fillId="0" borderId="1" xfId="723" applyNumberFormat="1" applyFont="1" applyBorder="1"/>
    <xf numFmtId="0" fontId="35" fillId="6" borderId="25" xfId="0" applyFont="1" applyFill="1" applyBorder="1" applyAlignment="1">
      <alignment horizontal="left" vertical="center" wrapText="1"/>
    </xf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78" fillId="6" borderId="0" xfId="1839" applyFont="1" applyFill="1"/>
    <xf numFmtId="44" fontId="80" fillId="22" borderId="22" xfId="1839" applyFont="1" applyFill="1" applyBorder="1"/>
    <xf numFmtId="164" fontId="0" fillId="0" borderId="0" xfId="0" applyNumberFormat="1"/>
    <xf numFmtId="2" fontId="79" fillId="0" borderId="1" xfId="723" applyNumberFormat="1" applyFont="1" applyBorder="1"/>
    <xf numFmtId="0" fontId="79" fillId="6" borderId="22" xfId="0" applyFont="1" applyFill="1" applyBorder="1"/>
    <xf numFmtId="0" fontId="78" fillId="0" borderId="0" xfId="0" applyFont="1"/>
    <xf numFmtId="0" fontId="78" fillId="20" borderId="0" xfId="0" applyFont="1" applyFill="1"/>
    <xf numFmtId="171" fontId="78" fillId="25" borderId="0" xfId="0" applyNumberFormat="1" applyFont="1" applyFill="1"/>
    <xf numFmtId="44" fontId="78" fillId="25" borderId="0" xfId="1839" applyFont="1" applyFill="1"/>
    <xf numFmtId="2" fontId="78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26" fillId="0" borderId="0" xfId="1839" applyFont="1"/>
    <xf numFmtId="171" fontId="0" fillId="0" borderId="0" xfId="1839" applyNumberFormat="1" applyFont="1"/>
    <xf numFmtId="0" fontId="39" fillId="0" borderId="0" xfId="0" applyFont="1"/>
    <xf numFmtId="1" fontId="0" fillId="0" borderId="0" xfId="0" applyNumberFormat="1"/>
    <xf numFmtId="2" fontId="78" fillId="0" borderId="0" xfId="0" applyNumberFormat="1" applyFont="1" applyAlignment="1">
      <alignment horizontal="center" vertical="center"/>
    </xf>
    <xf numFmtId="2" fontId="78" fillId="6" borderId="0" xfId="0" applyNumberFormat="1" applyFont="1" applyFill="1" applyAlignment="1">
      <alignment horizontal="center" vertical="center" wrapText="1"/>
    </xf>
    <xf numFmtId="174" fontId="0" fillId="18" borderId="5" xfId="1833" applyNumberFormat="1" applyFont="1" applyFill="1" applyBorder="1"/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1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39" fillId="4" borderId="0" xfId="0" applyFont="1" applyFill="1"/>
    <xf numFmtId="0" fontId="80" fillId="6" borderId="22" xfId="0" applyFont="1" applyFill="1" applyBorder="1"/>
    <xf numFmtId="164" fontId="80" fillId="6" borderId="22" xfId="0" applyNumberFormat="1" applyFont="1" applyFill="1" applyBorder="1"/>
    <xf numFmtId="44" fontId="26" fillId="25" borderId="22" xfId="0" applyNumberFormat="1" applyFont="1" applyFill="1" applyBorder="1"/>
    <xf numFmtId="44" fontId="26" fillId="0" borderId="0" xfId="0" applyNumberFormat="1" applyFont="1"/>
    <xf numFmtId="0" fontId="29" fillId="0" borderId="0" xfId="0" applyFont="1" applyAlignment="1">
      <alignment horizontal="left" vertical="top" wrapText="1"/>
    </xf>
    <xf numFmtId="0" fontId="33" fillId="14" borderId="0" xfId="0" applyFont="1" applyFill="1"/>
    <xf numFmtId="0" fontId="29" fillId="14" borderId="0" xfId="0" applyFont="1" applyFill="1"/>
    <xf numFmtId="0" fontId="80" fillId="0" borderId="0" xfId="0" applyFont="1"/>
    <xf numFmtId="164" fontId="80" fillId="0" borderId="22" xfId="0" applyNumberFormat="1" applyFont="1" applyBorder="1"/>
    <xf numFmtId="173" fontId="0" fillId="0" borderId="0" xfId="0" applyNumberFormat="1"/>
    <xf numFmtId="171" fontId="26" fillId="0" borderId="0" xfId="0" applyNumberFormat="1" applyFont="1"/>
    <xf numFmtId="9" fontId="26" fillId="0" borderId="22" xfId="1554" applyFont="1" applyBorder="1"/>
    <xf numFmtId="0" fontId="83" fillId="6" borderId="0" xfId="0" applyFont="1" applyFill="1" applyAlignment="1">
      <alignment horizontal="center" vertical="center"/>
    </xf>
    <xf numFmtId="0" fontId="68" fillId="6" borderId="0" xfId="0" applyFont="1" applyFill="1" applyAlignment="1">
      <alignment horizontal="center" vertical="center"/>
    </xf>
    <xf numFmtId="0" fontId="85" fillId="6" borderId="0" xfId="0" applyFont="1" applyFill="1" applyAlignment="1">
      <alignment horizontal="left" vertical="center"/>
    </xf>
    <xf numFmtId="0" fontId="85" fillId="6" borderId="0" xfId="0" applyFont="1" applyFill="1" applyAlignment="1">
      <alignment horizontal="center" vertical="center"/>
    </xf>
    <xf numFmtId="0" fontId="86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78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15" fillId="6" borderId="25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/>
    </xf>
    <xf numFmtId="0" fontId="15" fillId="6" borderId="1" xfId="0" applyFont="1" applyFill="1" applyBorder="1" applyAlignment="1">
      <alignment horizontal="center" vertical="center" wrapText="1"/>
    </xf>
    <xf numFmtId="2" fontId="15" fillId="14" borderId="28" xfId="0" applyNumberFormat="1" applyFont="1" applyFill="1" applyBorder="1" applyAlignment="1" applyProtection="1">
      <alignment horizontal="center" vertical="center"/>
      <protection locked="0"/>
    </xf>
    <xf numFmtId="0" fontId="15" fillId="6" borderId="30" xfId="0" applyFont="1" applyFill="1" applyBorder="1" applyAlignment="1">
      <alignment horizontal="center" vertical="center" wrapText="1"/>
    </xf>
    <xf numFmtId="2" fontId="15" fillId="14" borderId="31" xfId="0" applyNumberFormat="1" applyFont="1" applyFill="1" applyBorder="1" applyAlignment="1" applyProtection="1">
      <alignment horizontal="center" vertical="center"/>
      <protection locked="0"/>
    </xf>
    <xf numFmtId="2" fontId="15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5" fillId="14" borderId="1" xfId="0" applyNumberFormat="1" applyFont="1" applyFill="1" applyBorder="1" applyAlignment="1" applyProtection="1">
      <alignment horizontal="center" vertical="center"/>
      <protection locked="0"/>
    </xf>
    <xf numFmtId="49" fontId="15" fillId="14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15" fillId="0" borderId="56" xfId="0" applyFont="1" applyBorder="1" applyAlignment="1">
      <alignment horizontal="center" vertical="center" wrapText="1"/>
    </xf>
    <xf numFmtId="2" fontId="29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6" borderId="1" xfId="0" applyNumberFormat="1" applyFont="1" applyFill="1" applyBorder="1" applyAlignment="1">
      <alignment horizontal="center" vertical="center"/>
    </xf>
    <xf numFmtId="2" fontId="29" fillId="6" borderId="1" xfId="0" applyNumberFormat="1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2" fontId="29" fillId="14" borderId="1" xfId="6" applyNumberFormat="1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left" vertical="center"/>
      <protection locked="0"/>
    </xf>
    <xf numFmtId="2" fontId="29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1" xfId="1553" applyNumberFormat="1" applyFont="1" applyFill="1" applyBorder="1" applyAlignment="1">
      <alignment horizontal="center" vertical="center" wrapText="1"/>
    </xf>
    <xf numFmtId="2" fontId="35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58" fillId="0" borderId="1" xfId="1556" applyBorder="1" applyAlignment="1">
      <alignment horizontal="center" vertical="center" wrapText="1"/>
    </xf>
    <xf numFmtId="2" fontId="58" fillId="0" borderId="1" xfId="1556" applyNumberFormat="1" applyBorder="1" applyAlignment="1">
      <alignment horizontal="center" vertical="center"/>
    </xf>
    <xf numFmtId="1" fontId="29" fillId="0" borderId="1" xfId="723" applyNumberFormat="1" applyFont="1" applyBorder="1" applyAlignment="1">
      <alignment horizontal="center" vertical="center" wrapText="1"/>
    </xf>
    <xf numFmtId="1" fontId="47" fillId="0" borderId="1" xfId="0" applyNumberFormat="1" applyFont="1" applyBorder="1" applyAlignment="1">
      <alignment horizontal="center"/>
    </xf>
    <xf numFmtId="0" fontId="14" fillId="0" borderId="0" xfId="1557" applyFont="1"/>
    <xf numFmtId="2" fontId="29" fillId="4" borderId="0" xfId="723" applyNumberFormat="1" applyFont="1" applyFill="1"/>
    <xf numFmtId="2" fontId="29" fillId="23" borderId="56" xfId="0" applyNumberFormat="1" applyFont="1" applyFill="1" applyBorder="1"/>
    <xf numFmtId="0" fontId="47" fillId="0" borderId="60" xfId="0" applyFont="1" applyBorder="1" applyAlignment="1">
      <alignment horizontal="center" vertical="center" wrapText="1"/>
    </xf>
    <xf numFmtId="2" fontId="29" fillId="0" borderId="60" xfId="0" applyNumberFormat="1" applyFont="1" applyBorder="1"/>
    <xf numFmtId="0" fontId="47" fillId="0" borderId="56" xfId="0" applyFont="1" applyBorder="1" applyAlignment="1">
      <alignment horizontal="center" vertical="center" wrapText="1"/>
    </xf>
    <xf numFmtId="2" fontId="58" fillId="0" borderId="56" xfId="1556" applyNumberFormat="1" applyBorder="1"/>
    <xf numFmtId="3" fontId="29" fillId="0" borderId="0" xfId="0" applyNumberFormat="1" applyFont="1"/>
    <xf numFmtId="3" fontId="29" fillId="23" borderId="1" xfId="0" applyNumberFormat="1" applyFont="1" applyFill="1" applyBorder="1"/>
    <xf numFmtId="1" fontId="85" fillId="6" borderId="0" xfId="0" applyNumberFormat="1" applyFont="1" applyFill="1" applyAlignment="1">
      <alignment horizontal="center" vertical="center"/>
    </xf>
    <xf numFmtId="1" fontId="78" fillId="6" borderId="21" xfId="0" applyNumberFormat="1" applyFont="1" applyFill="1" applyBorder="1" applyAlignment="1">
      <alignment horizontal="center" vertical="center" wrapText="1"/>
    </xf>
    <xf numFmtId="0" fontId="68" fillId="6" borderId="4" xfId="0" applyFont="1" applyFill="1" applyBorder="1"/>
    <xf numFmtId="0" fontId="13" fillId="0" borderId="0" xfId="1557" applyFont="1"/>
    <xf numFmtId="166" fontId="29" fillId="0" borderId="0" xfId="0" applyNumberFormat="1" applyFont="1" applyAlignment="1">
      <alignment horizontal="right" vertical="top"/>
    </xf>
    <xf numFmtId="1" fontId="0" fillId="0" borderId="45" xfId="0" applyNumberFormat="1" applyBorder="1"/>
    <xf numFmtId="0" fontId="65" fillId="0" borderId="0" xfId="0" applyFont="1"/>
    <xf numFmtId="166" fontId="23" fillId="0" borderId="0" xfId="0" applyNumberFormat="1" applyFont="1"/>
    <xf numFmtId="0" fontId="23" fillId="0" borderId="55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65" fillId="0" borderId="73" xfId="1557" applyFont="1" applyBorder="1" applyAlignment="1">
      <alignment vertical="center" wrapText="1"/>
    </xf>
    <xf numFmtId="0" fontId="23" fillId="0" borderId="54" xfId="0" applyFont="1" applyBorder="1" applyAlignment="1">
      <alignment horizontal="center" vertical="center" wrapText="1"/>
    </xf>
    <xf numFmtId="1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12" fillId="0" borderId="0" xfId="1557" applyFont="1"/>
    <xf numFmtId="1" fontId="29" fillId="0" borderId="0" xfId="0" applyNumberFormat="1" applyFont="1"/>
    <xf numFmtId="2" fontId="26" fillId="6" borderId="0" xfId="0" applyNumberFormat="1" applyFont="1" applyFill="1" applyAlignment="1">
      <alignment horizontal="left"/>
    </xf>
    <xf numFmtId="0" fontId="33" fillId="0" borderId="0" xfId="723" applyFont="1" applyAlignment="1">
      <alignment horizontal="left" vertical="center" wrapText="1"/>
    </xf>
    <xf numFmtId="0" fontId="33" fillId="0" borderId="0" xfId="723" applyFont="1" applyAlignment="1">
      <alignment horizontal="left" vertical="center"/>
    </xf>
    <xf numFmtId="1" fontId="33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3" fillId="0" borderId="0" xfId="0" applyFont="1" applyAlignment="1">
      <alignment horizontal="center" wrapText="1"/>
    </xf>
    <xf numFmtId="2" fontId="36" fillId="0" borderId="0" xfId="0" applyNumberFormat="1" applyFont="1" applyAlignment="1">
      <alignment vertical="center"/>
    </xf>
    <xf numFmtId="0" fontId="87" fillId="0" borderId="0" xfId="0" applyFont="1" applyAlignment="1">
      <alignment horizontal="center" wrapText="1"/>
    </xf>
    <xf numFmtId="0" fontId="87" fillId="0" borderId="0" xfId="0" applyFont="1" applyAlignment="1">
      <alignment wrapText="1"/>
    </xf>
    <xf numFmtId="4" fontId="0" fillId="6" borderId="0" xfId="0" applyNumberFormat="1" applyFill="1"/>
    <xf numFmtId="0" fontId="26" fillId="5" borderId="2" xfId="0" applyFont="1" applyFill="1" applyBorder="1" applyAlignment="1">
      <alignment horizontal="left" vertical="center"/>
    </xf>
    <xf numFmtId="0" fontId="26" fillId="5" borderId="3" xfId="0" applyFont="1" applyFill="1" applyBorder="1" applyAlignment="1">
      <alignment horizontal="left" vertical="center"/>
    </xf>
    <xf numFmtId="0" fontId="65" fillId="0" borderId="10" xfId="0" applyFont="1" applyBorder="1" applyAlignment="1">
      <alignment horizontal="center" vertical="center" wrapText="1"/>
    </xf>
    <xf numFmtId="0" fontId="33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1" fillId="6" borderId="0" xfId="0" applyFont="1" applyFill="1"/>
    <xf numFmtId="0" fontId="28" fillId="0" borderId="4" xfId="0" applyFont="1" applyBorder="1" applyAlignment="1">
      <alignment horizontal="left" vertical="center" wrapText="1"/>
    </xf>
    <xf numFmtId="0" fontId="26" fillId="5" borderId="4" xfId="0" applyFont="1" applyFill="1" applyBorder="1"/>
    <xf numFmtId="0" fontId="0" fillId="5" borderId="0" xfId="0" applyFill="1"/>
    <xf numFmtId="0" fontId="0" fillId="5" borderId="5" xfId="0" applyFill="1" applyBorder="1"/>
    <xf numFmtId="0" fontId="0" fillId="0" borderId="17" xfId="0" applyBorder="1" applyAlignment="1">
      <alignment horizontal="center" vertical="center" wrapText="1"/>
    </xf>
    <xf numFmtId="4" fontId="29" fillId="0" borderId="0" xfId="1554" applyNumberFormat="1" applyFont="1" applyAlignment="1">
      <alignment horizontal="right" vertical="top"/>
    </xf>
    <xf numFmtId="3" fontId="29" fillId="0" borderId="0" xfId="0" applyNumberFormat="1" applyFont="1" applyAlignment="1">
      <alignment horizontal="right" vertical="top"/>
    </xf>
    <xf numFmtId="4" fontId="29" fillId="0" borderId="0" xfId="0" applyNumberFormat="1" applyFont="1" applyAlignment="1">
      <alignment horizontal="right" vertical="top"/>
    </xf>
    <xf numFmtId="1" fontId="29" fillId="0" borderId="0" xfId="0" applyNumberFormat="1" applyFont="1" applyAlignment="1">
      <alignment horizontal="right" vertical="top"/>
    </xf>
    <xf numFmtId="166" fontId="0" fillId="0" borderId="0" xfId="0" applyNumberFormat="1"/>
    <xf numFmtId="0" fontId="26" fillId="5" borderId="0" xfId="0" applyFont="1" applyFill="1" applyAlignment="1">
      <alignment horizontal="left"/>
    </xf>
    <xf numFmtId="0" fontId="0" fillId="0" borderId="45" xfId="0" applyBorder="1"/>
    <xf numFmtId="0" fontId="57" fillId="11" borderId="0" xfId="0" applyFont="1" applyFill="1" applyAlignment="1">
      <alignment wrapText="1"/>
    </xf>
    <xf numFmtId="0" fontId="23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0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14" borderId="28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26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6" xfId="0" applyBorder="1"/>
    <xf numFmtId="0" fontId="10" fillId="14" borderId="31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29" fillId="6" borderId="4" xfId="0" applyFont="1" applyFill="1" applyBorder="1" applyAlignment="1">
      <alignment horizontal="left" vertical="center" wrapText="1"/>
    </xf>
    <xf numFmtId="0" fontId="29" fillId="6" borderId="0" xfId="0" applyFont="1" applyFill="1" applyAlignment="1">
      <alignment horizontal="left" vertical="center"/>
    </xf>
    <xf numFmtId="2" fontId="29" fillId="6" borderId="5" xfId="0" applyNumberFormat="1" applyFont="1" applyFill="1" applyBorder="1" applyAlignment="1">
      <alignment horizontal="center" vertical="center"/>
    </xf>
    <xf numFmtId="2" fontId="29" fillId="6" borderId="0" xfId="0" applyNumberFormat="1" applyFont="1" applyFill="1" applyAlignment="1">
      <alignment horizontal="center" vertical="center"/>
    </xf>
    <xf numFmtId="1" fontId="29" fillId="6" borderId="66" xfId="6" applyNumberFormat="1" applyFont="1" applyFill="1" applyBorder="1" applyAlignment="1">
      <alignment horizontal="center" vertical="center"/>
    </xf>
    <xf numFmtId="0" fontId="33" fillId="6" borderId="77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4" xfId="0" applyNumberFormat="1" applyFill="1" applyBorder="1" applyAlignment="1">
      <alignment horizontal="center" vertical="center"/>
    </xf>
    <xf numFmtId="2" fontId="0" fillId="6" borderId="59" xfId="0" applyNumberFormat="1" applyFill="1" applyBorder="1" applyAlignment="1">
      <alignment horizontal="center" vertical="center"/>
    </xf>
    <xf numFmtId="1" fontId="34" fillId="6" borderId="68" xfId="6" applyNumberFormat="1" applyFont="1" applyFill="1" applyBorder="1" applyAlignment="1">
      <alignment horizontal="center" vertical="center"/>
    </xf>
    <xf numFmtId="0" fontId="29" fillId="6" borderId="59" xfId="0" applyFont="1" applyFill="1" applyBorder="1" applyAlignment="1">
      <alignment horizontal="left" vertical="center"/>
    </xf>
    <xf numFmtId="2" fontId="29" fillId="6" borderId="74" xfId="0" applyNumberFormat="1" applyFont="1" applyFill="1" applyBorder="1" applyAlignment="1">
      <alignment horizontal="center" vertical="center"/>
    </xf>
    <xf numFmtId="2" fontId="29" fillId="6" borderId="59" xfId="0" applyNumberFormat="1" applyFont="1" applyFill="1" applyBorder="1" applyAlignment="1">
      <alignment horizontal="center" vertical="center"/>
    </xf>
    <xf numFmtId="1" fontId="29" fillId="6" borderId="68" xfId="6" applyNumberFormat="1" applyFont="1" applyFill="1" applyBorder="1" applyAlignment="1">
      <alignment horizontal="center" vertical="center"/>
    </xf>
    <xf numFmtId="2" fontId="29" fillId="0" borderId="19" xfId="0" applyNumberFormat="1" applyFont="1" applyBorder="1"/>
    <xf numFmtId="2" fontId="26" fillId="0" borderId="38" xfId="0" applyNumberFormat="1" applyFont="1" applyBorder="1" applyAlignment="1">
      <alignment horizontal="right"/>
    </xf>
    <xf numFmtId="2" fontId="29" fillId="23" borderId="36" xfId="0" applyNumberFormat="1" applyFont="1" applyFill="1" applyBorder="1"/>
    <xf numFmtId="0" fontId="47" fillId="0" borderId="21" xfId="0" applyFont="1" applyBorder="1" applyAlignment="1">
      <alignment horizontal="center" vertical="center" wrapText="1"/>
    </xf>
    <xf numFmtId="2" fontId="29" fillId="0" borderId="22" xfId="0" applyNumberFormat="1" applyFont="1" applyBorder="1"/>
    <xf numFmtId="2" fontId="33" fillId="0" borderId="0" xfId="0" applyNumberFormat="1" applyFont="1"/>
    <xf numFmtId="2" fontId="0" fillId="6" borderId="0" xfId="0" applyNumberFormat="1" applyFill="1"/>
    <xf numFmtId="0" fontId="0" fillId="6" borderId="4" xfId="0" applyFill="1" applyBorder="1"/>
    <xf numFmtId="0" fontId="0" fillId="6" borderId="5" xfId="0" applyFill="1" applyBorder="1"/>
    <xf numFmtId="3" fontId="0" fillId="6" borderId="0" xfId="0" applyNumberFormat="1" applyFill="1"/>
    <xf numFmtId="0" fontId="0" fillId="6" borderId="6" xfId="0" applyFill="1" applyBorder="1"/>
    <xf numFmtId="0" fontId="26" fillId="5" borderId="4" xfId="0" applyFont="1" applyFill="1" applyBorder="1" applyAlignment="1">
      <alignment horizontal="left" vertical="center"/>
    </xf>
    <xf numFmtId="0" fontId="26" fillId="5" borderId="5" xfId="0" applyFont="1" applyFill="1" applyBorder="1" applyAlignment="1">
      <alignment horizontal="left" vertical="center"/>
    </xf>
    <xf numFmtId="2" fontId="0" fillId="6" borderId="5" xfId="0" applyNumberFormat="1" applyFill="1" applyBorder="1"/>
    <xf numFmtId="0" fontId="0" fillId="6" borderId="70" xfId="0" applyFill="1" applyBorder="1" applyAlignment="1">
      <alignment horizontal="center"/>
    </xf>
    <xf numFmtId="0" fontId="8" fillId="0" borderId="0" xfId="1557" applyFont="1"/>
    <xf numFmtId="2" fontId="29" fillId="6" borderId="19" xfId="0" applyNumberFormat="1" applyFont="1" applyFill="1" applyBorder="1"/>
    <xf numFmtId="0" fontId="88" fillId="0" borderId="0" xfId="0" applyFont="1"/>
    <xf numFmtId="0" fontId="89" fillId="0" borderId="0" xfId="6" applyFont="1"/>
    <xf numFmtId="0" fontId="89" fillId="0" borderId="0" xfId="0" applyFont="1"/>
    <xf numFmtId="0" fontId="90" fillId="0" borderId="0" xfId="0" applyFont="1"/>
    <xf numFmtId="0" fontId="0" fillId="6" borderId="0" xfId="0" applyFill="1" applyAlignment="1">
      <alignment horizontal="left" vertical="top" wrapText="1"/>
    </xf>
    <xf numFmtId="1" fontId="0" fillId="6" borderId="0" xfId="0" applyNumberFormat="1" applyFill="1" applyAlignment="1">
      <alignment horizontal="right" vertical="center" wrapText="1"/>
    </xf>
    <xf numFmtId="2" fontId="29" fillId="6" borderId="50" xfId="723" applyNumberFormat="1" applyFont="1" applyFill="1" applyBorder="1" applyAlignment="1">
      <alignment horizontal="right" vertical="center"/>
    </xf>
    <xf numFmtId="0" fontId="41" fillId="0" borderId="1" xfId="0" applyFont="1" applyBorder="1" applyAlignment="1">
      <alignment horizontal="center" vertical="center" wrapText="1"/>
    </xf>
    <xf numFmtId="165" fontId="47" fillId="0" borderId="1" xfId="1" applyNumberFormat="1" applyFont="1" applyFill="1" applyBorder="1" applyAlignment="1">
      <alignment horizontal="center"/>
    </xf>
    <xf numFmtId="2" fontId="47" fillId="0" borderId="1" xfId="1" applyNumberFormat="1" applyFont="1" applyFill="1" applyBorder="1" applyAlignment="1">
      <alignment horizontal="center"/>
    </xf>
    <xf numFmtId="166" fontId="47" fillId="0" borderId="1" xfId="1" applyNumberFormat="1" applyFont="1" applyFill="1" applyBorder="1" applyAlignment="1">
      <alignment horizontal="center"/>
    </xf>
    <xf numFmtId="167" fontId="47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2" fontId="78" fillId="0" borderId="38" xfId="0" applyNumberFormat="1" applyFont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78" fillId="0" borderId="1" xfId="0" applyNumberFormat="1" applyFont="1" applyBorder="1" applyAlignment="1">
      <alignment horizontal="center" vertical="center" wrapText="1"/>
    </xf>
    <xf numFmtId="2" fontId="78" fillId="0" borderId="30" xfId="0" applyNumberFormat="1" applyFont="1" applyBorder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78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78" fillId="0" borderId="25" xfId="0" applyNumberFormat="1" applyFont="1" applyBorder="1" applyAlignment="1">
      <alignment horizontal="center" vertical="center" wrapText="1"/>
    </xf>
    <xf numFmtId="1" fontId="26" fillId="6" borderId="0" xfId="0" applyNumberFormat="1" applyFont="1" applyFill="1" applyAlignment="1">
      <alignment horizontal="right" vertical="center"/>
    </xf>
    <xf numFmtId="1" fontId="26" fillId="6" borderId="5" xfId="0" applyNumberFormat="1" applyFont="1" applyFill="1" applyBorder="1" applyAlignment="1">
      <alignment horizontal="right" vertical="center"/>
    </xf>
    <xf numFmtId="1" fontId="0" fillId="6" borderId="4" xfId="0" applyNumberFormat="1" applyFill="1" applyBorder="1" applyAlignment="1">
      <alignment horizontal="left" vertical="center"/>
    </xf>
    <xf numFmtId="1" fontId="0" fillId="6" borderId="0" xfId="0" applyNumberFormat="1" applyFill="1" applyAlignment="1">
      <alignment horizontal="right" vertical="center"/>
    </xf>
    <xf numFmtId="1" fontId="0" fillId="6" borderId="5" xfId="0" applyNumberFormat="1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0" fontId="26" fillId="6" borderId="4" xfId="0" applyFont="1" applyFill="1" applyBorder="1" applyAlignment="1">
      <alignment horizontal="left" vertical="center"/>
    </xf>
    <xf numFmtId="2" fontId="0" fillId="6" borderId="0" xfId="0" applyNumberFormat="1" applyFill="1" applyAlignment="1">
      <alignment horizontal="right" vertical="center"/>
    </xf>
    <xf numFmtId="2" fontId="0" fillId="6" borderId="5" xfId="0" applyNumberFormat="1" applyFill="1" applyBorder="1" applyAlignment="1">
      <alignment horizontal="right" vertical="center"/>
    </xf>
    <xf numFmtId="2" fontId="26" fillId="6" borderId="0" xfId="0" applyNumberFormat="1" applyFont="1" applyFill="1" applyAlignment="1">
      <alignment horizontal="right" vertical="center"/>
    </xf>
    <xf numFmtId="2" fontId="26" fillId="6" borderId="5" xfId="0" applyNumberFormat="1" applyFont="1" applyFill="1" applyBorder="1" applyAlignment="1">
      <alignment horizontal="right" vertical="center"/>
    </xf>
    <xf numFmtId="1" fontId="0" fillId="6" borderId="6" xfId="0" applyNumberFormat="1" applyFill="1" applyBorder="1" applyAlignment="1">
      <alignment horizontal="left" vertical="center"/>
    </xf>
    <xf numFmtId="2" fontId="0" fillId="6" borderId="45" xfId="0" applyNumberFormat="1" applyFill="1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/>
    </xf>
    <xf numFmtId="0" fontId="26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5" fillId="6" borderId="0" xfId="0" applyNumberFormat="1" applyFont="1" applyFill="1" applyAlignment="1">
      <alignment horizontal="left"/>
    </xf>
    <xf numFmtId="0" fontId="39" fillId="6" borderId="4" xfId="0" applyFont="1" applyFill="1" applyBorder="1"/>
    <xf numFmtId="167" fontId="0" fillId="6" borderId="5" xfId="0" applyNumberFormat="1" applyFill="1" applyBorder="1"/>
    <xf numFmtId="1" fontId="0" fillId="6" borderId="5" xfId="0" applyNumberFormat="1" applyFill="1" applyBorder="1"/>
    <xf numFmtId="167" fontId="0" fillId="6" borderId="0" xfId="0" applyNumberFormat="1" applyFill="1"/>
    <xf numFmtId="168" fontId="0" fillId="6" borderId="5" xfId="1833" applyNumberFormat="1" applyFont="1" applyFill="1" applyBorder="1"/>
    <xf numFmtId="0" fontId="32" fillId="6" borderId="4" xfId="0" applyFont="1" applyFill="1" applyBorder="1"/>
    <xf numFmtId="1" fontId="0" fillId="6" borderId="5" xfId="1833" applyNumberFormat="1" applyFont="1" applyFill="1" applyBorder="1"/>
    <xf numFmtId="4" fontId="0" fillId="6" borderId="5" xfId="1833" applyNumberFormat="1" applyFont="1" applyFill="1" applyBorder="1"/>
    <xf numFmtId="2" fontId="68" fillId="6" borderId="4" xfId="0" applyNumberFormat="1" applyFont="1" applyFill="1" applyBorder="1"/>
    <xf numFmtId="2" fontId="0" fillId="6" borderId="4" xfId="0" applyNumberFormat="1" applyFill="1" applyBorder="1"/>
    <xf numFmtId="2" fontId="0" fillId="6" borderId="5" xfId="1833" applyNumberFormat="1" applyFont="1" applyFill="1" applyBorder="1"/>
    <xf numFmtId="43" fontId="0" fillId="6" borderId="5" xfId="1833" applyFont="1" applyFill="1" applyBorder="1"/>
    <xf numFmtId="168" fontId="39" fillId="6" borderId="5" xfId="1833" applyNumberFormat="1" applyFont="1" applyFill="1" applyBorder="1"/>
    <xf numFmtId="168" fontId="0" fillId="6" borderId="7" xfId="1833" applyNumberFormat="1" applyFont="1" applyFill="1" applyBorder="1"/>
    <xf numFmtId="1" fontId="89" fillId="0" borderId="45" xfId="0" applyNumberFormat="1" applyFont="1" applyBorder="1" applyAlignment="1" applyProtection="1">
      <alignment horizontal="center" vertical="center"/>
      <protection locked="0"/>
    </xf>
    <xf numFmtId="0" fontId="26" fillId="0" borderId="4" xfId="0" applyFont="1" applyBorder="1"/>
    <xf numFmtId="0" fontId="26" fillId="0" borderId="0" xfId="0" applyFont="1" applyAlignment="1">
      <alignment horizontal="center"/>
    </xf>
    <xf numFmtId="0" fontId="26" fillId="0" borderId="5" xfId="0" applyFont="1" applyBorder="1" applyAlignment="1">
      <alignment horizontal="center"/>
    </xf>
    <xf numFmtId="1" fontId="0" fillId="0" borderId="4" xfId="0" applyNumberFormat="1" applyBorder="1"/>
    <xf numFmtId="1" fontId="0" fillId="0" borderId="5" xfId="0" applyNumberFormat="1" applyBorder="1"/>
    <xf numFmtId="0" fontId="26" fillId="0" borderId="6" xfId="0" applyFont="1" applyBorder="1"/>
    <xf numFmtId="1" fontId="0" fillId="0" borderId="7" xfId="0" applyNumberFormat="1" applyBorder="1"/>
    <xf numFmtId="0" fontId="91" fillId="0" borderId="0" xfId="0" applyFont="1"/>
    <xf numFmtId="0" fontId="26" fillId="5" borderId="0" xfId="0" applyFont="1" applyFill="1" applyAlignment="1">
      <alignment horizontal="left" vertical="center"/>
    </xf>
    <xf numFmtId="172" fontId="0" fillId="18" borderId="0" xfId="1833" applyNumberFormat="1" applyFont="1" applyFill="1"/>
    <xf numFmtId="0" fontId="26" fillId="5" borderId="50" xfId="0" applyFont="1" applyFill="1" applyBorder="1" applyAlignment="1">
      <alignment horizontal="left" vertical="center"/>
    </xf>
    <xf numFmtId="0" fontId="7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Protection="1">
      <protection locked="0"/>
    </xf>
    <xf numFmtId="0" fontId="71" fillId="0" borderId="1" xfId="0" applyFont="1" applyBorder="1"/>
    <xf numFmtId="2" fontId="0" fillId="14" borderId="1" xfId="0" applyNumberFormat="1" applyFill="1" applyBorder="1" applyProtection="1">
      <protection locked="0"/>
    </xf>
    <xf numFmtId="0" fontId="29" fillId="0" borderId="12" xfId="0" applyFont="1" applyBorder="1"/>
    <xf numFmtId="2" fontId="29" fillId="14" borderId="12" xfId="0" applyNumberFormat="1" applyFont="1" applyFill="1" applyBorder="1" applyProtection="1">
      <protection locked="0"/>
    </xf>
    <xf numFmtId="2" fontId="29" fillId="0" borderId="12" xfId="0" applyNumberFormat="1" applyFont="1" applyBorder="1"/>
    <xf numFmtId="0" fontId="71" fillId="0" borderId="12" xfId="0" applyFont="1" applyBorder="1"/>
    <xf numFmtId="1" fontId="29" fillId="14" borderId="1" xfId="0" applyNumberFormat="1" applyFont="1" applyFill="1" applyBorder="1" applyAlignment="1" applyProtection="1">
      <alignment horizontal="left" vertical="center"/>
      <protection locked="0"/>
    </xf>
    <xf numFmtId="2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2" fontId="29" fillId="14" borderId="1" xfId="0" applyNumberFormat="1" applyFont="1" applyFill="1" applyBorder="1" applyAlignment="1" applyProtection="1">
      <alignment horizontal="left" vertical="center"/>
      <protection locked="0"/>
    </xf>
    <xf numFmtId="2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6" applyNumberFormat="1" applyFont="1" applyFill="1" applyBorder="1" applyAlignment="1" applyProtection="1">
      <alignment horizontal="left" vertical="center"/>
      <protection locked="0"/>
    </xf>
    <xf numFmtId="167" fontId="29" fillId="14" borderId="1" xfId="0" applyNumberFormat="1" applyFont="1" applyFill="1" applyBorder="1" applyAlignment="1" applyProtection="1">
      <alignment horizontal="left" vertical="center"/>
      <protection locked="0"/>
    </xf>
    <xf numFmtId="0" fontId="0" fillId="0" borderId="36" xfId="0" applyBorder="1" applyAlignment="1">
      <alignment horizontal="center" vertical="center" wrapText="1"/>
    </xf>
    <xf numFmtId="0" fontId="57" fillId="9" borderId="0" xfId="0" applyFont="1" applyFill="1" applyAlignment="1">
      <alignment horizontal="center" vertical="center" wrapText="1"/>
    </xf>
    <xf numFmtId="2" fontId="29" fillId="14" borderId="1" xfId="0" applyNumberFormat="1" applyFont="1" applyFill="1" applyBorder="1" applyAlignment="1">
      <alignment horizontal="center" vertical="center"/>
    </xf>
    <xf numFmtId="2" fontId="29" fillId="14" borderId="1" xfId="6" applyNumberFormat="1" applyFont="1" applyFill="1" applyBorder="1" applyAlignment="1">
      <alignment horizontal="center" vertical="center"/>
    </xf>
    <xf numFmtId="2" fontId="35" fillId="14" borderId="1" xfId="6" applyNumberFormat="1" applyFont="1" applyFill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1" fontId="33" fillId="0" borderId="0" xfId="723" applyNumberFormat="1" applyFont="1" applyAlignment="1">
      <alignment horizontal="left" vertical="center" wrapText="1"/>
    </xf>
    <xf numFmtId="0" fontId="6" fillId="4" borderId="0" xfId="0" applyFont="1" applyFill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/>
    </xf>
    <xf numFmtId="2" fontId="6" fillId="4" borderId="12" xfId="0" applyNumberFormat="1" applyFont="1" applyFill="1" applyBorder="1" applyAlignment="1">
      <alignment horizontal="center" vertical="center"/>
    </xf>
    <xf numFmtId="49" fontId="6" fillId="4" borderId="12" xfId="0" applyNumberFormat="1" applyFont="1" applyFill="1" applyBorder="1" applyAlignment="1">
      <alignment horizontal="center" vertical="center"/>
    </xf>
    <xf numFmtId="49" fontId="6" fillId="4" borderId="64" xfId="0" applyNumberFormat="1" applyFont="1" applyFill="1" applyBorder="1" applyAlignment="1">
      <alignment horizontal="center" vertical="center"/>
    </xf>
    <xf numFmtId="2" fontId="6" fillId="4" borderId="8" xfId="0" applyNumberFormat="1" applyFont="1" applyFill="1" applyBorder="1" applyAlignment="1">
      <alignment horizontal="center" vertical="center"/>
    </xf>
    <xf numFmtId="2" fontId="6" fillId="4" borderId="30" xfId="0" applyNumberFormat="1" applyFont="1" applyFill="1" applyBorder="1" applyAlignment="1">
      <alignment horizontal="center" vertical="center"/>
    </xf>
    <xf numFmtId="49" fontId="6" fillId="4" borderId="30" xfId="0" applyNumberFormat="1" applyFont="1" applyFill="1" applyBorder="1" applyAlignment="1">
      <alignment horizontal="center" vertical="center"/>
    </xf>
    <xf numFmtId="49" fontId="6" fillId="4" borderId="31" xfId="0" applyNumberFormat="1" applyFont="1" applyFill="1" applyBorder="1" applyAlignment="1">
      <alignment horizontal="center" vertical="center"/>
    </xf>
    <xf numFmtId="2" fontId="6" fillId="6" borderId="0" xfId="0" applyNumberFormat="1" applyFont="1" applyFill="1" applyAlignment="1">
      <alignment horizontal="center" vertical="center"/>
    </xf>
    <xf numFmtId="49" fontId="6" fillId="6" borderId="0" xfId="0" applyNumberFormat="1" applyFont="1" applyFill="1" applyAlignment="1">
      <alignment horizontal="center" vertical="center"/>
    </xf>
    <xf numFmtId="0" fontId="6" fillId="4" borderId="79" xfId="0" applyFont="1" applyFill="1" applyBorder="1" applyAlignment="1">
      <alignment horizontal="center" vertical="center" wrapText="1"/>
    </xf>
    <xf numFmtId="0" fontId="6" fillId="4" borderId="67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49" fontId="15" fillId="6" borderId="0" xfId="0" applyNumberFormat="1" applyFont="1" applyFill="1" applyAlignment="1">
      <alignment horizontal="center" vertical="center"/>
    </xf>
    <xf numFmtId="0" fontId="84" fillId="6" borderId="0" xfId="0" applyFont="1" applyFill="1" applyAlignment="1">
      <alignment horizontal="left" vertical="center"/>
    </xf>
    <xf numFmtId="0" fontId="0" fillId="4" borderId="12" xfId="0" applyFill="1" applyBorder="1"/>
    <xf numFmtId="0" fontId="29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5" fillId="14" borderId="30" xfId="0" applyNumberFormat="1" applyFont="1" applyFill="1" applyBorder="1" applyAlignment="1" applyProtection="1">
      <alignment horizontal="center" vertical="center"/>
      <protection locked="0"/>
    </xf>
    <xf numFmtId="49" fontId="15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2" fillId="0" borderId="36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10" fontId="92" fillId="6" borderId="0" xfId="0" applyNumberFormat="1" applyFont="1" applyFill="1" applyAlignment="1">
      <alignment horizontal="center" vertical="center"/>
    </xf>
    <xf numFmtId="0" fontId="41" fillId="6" borderId="1" xfId="0" applyFont="1" applyFill="1" applyBorder="1" applyAlignment="1">
      <alignment horizontal="center" vertical="center" wrapText="1"/>
    </xf>
    <xf numFmtId="0" fontId="41" fillId="6" borderId="25" xfId="0" applyFont="1" applyFill="1" applyBorder="1" applyAlignment="1">
      <alignment horizontal="center" vertical="center" wrapText="1"/>
    </xf>
    <xf numFmtId="0" fontId="29" fillId="6" borderId="25" xfId="0" applyFont="1" applyFill="1" applyBorder="1" applyAlignment="1">
      <alignment horizontal="center" vertical="center" wrapText="1"/>
    </xf>
    <xf numFmtId="0" fontId="72" fillId="0" borderId="0" xfId="0" applyFont="1"/>
    <xf numFmtId="0" fontId="93" fillId="0" borderId="0" xfId="0" applyFont="1" applyAlignment="1">
      <alignment horizontal="center"/>
    </xf>
    <xf numFmtId="9" fontId="94" fillId="0" borderId="0" xfId="1554" applyFont="1"/>
    <xf numFmtId="0" fontId="23" fillId="14" borderId="5" xfId="6" applyFill="1" applyBorder="1" applyProtection="1">
      <protection locked="0"/>
    </xf>
    <xf numFmtId="0" fontId="23" fillId="14" borderId="45" xfId="0" applyFont="1" applyFill="1" applyBorder="1"/>
    <xf numFmtId="1" fontId="28" fillId="0" borderId="45" xfId="1" applyNumberFormat="1" applyFont="1" applyFill="1" applyBorder="1" applyAlignment="1" applyProtection="1">
      <alignment horizontal="center" vertical="center"/>
      <protection locked="0"/>
    </xf>
    <xf numFmtId="1" fontId="29" fillId="0" borderId="1" xfId="0" applyNumberFormat="1" applyFont="1" applyBorder="1" applyAlignment="1">
      <alignment horizontal="center" vertical="center"/>
    </xf>
    <xf numFmtId="1" fontId="29" fillId="0" borderId="30" xfId="0" applyNumberFormat="1" applyFont="1" applyBorder="1" applyAlignment="1">
      <alignment horizontal="center" vertical="center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8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5" fillId="0" borderId="0" xfId="0" applyFont="1" applyAlignment="1">
      <alignment horizontal="left" vertical="center" wrapText="1"/>
    </xf>
    <xf numFmtId="0" fontId="48" fillId="15" borderId="2" xfId="1553" applyBorder="1"/>
    <xf numFmtId="0" fontId="48" fillId="15" borderId="50" xfId="1553" applyBorder="1"/>
    <xf numFmtId="0" fontId="48" fillId="15" borderId="3" xfId="1553" applyBorder="1"/>
    <xf numFmtId="1" fontId="18" fillId="0" borderId="0" xfId="1557" applyNumberFormat="1"/>
    <xf numFmtId="165" fontId="18" fillId="0" borderId="0" xfId="1557" applyNumberFormat="1"/>
    <xf numFmtId="0" fontId="6" fillId="0" borderId="0" xfId="1557" applyFont="1"/>
    <xf numFmtId="0" fontId="48" fillId="15" borderId="52" xfId="1553" applyBorder="1"/>
    <xf numFmtId="0" fontId="48" fillId="15" borderId="70" xfId="1553" applyBorder="1"/>
    <xf numFmtId="0" fontId="29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29" fillId="0" borderId="6" xfId="0" applyFont="1" applyBorder="1" applyAlignment="1">
      <alignment horizontal="left"/>
    </xf>
    <xf numFmtId="1" fontId="98" fillId="0" borderId="7" xfId="0" applyNumberFormat="1" applyFont="1" applyBorder="1" applyAlignment="1">
      <alignment horizontal="left" vertical="top" indent="6"/>
    </xf>
    <xf numFmtId="1" fontId="22" fillId="0" borderId="0" xfId="6" applyNumberFormat="1" applyFont="1"/>
    <xf numFmtId="0" fontId="18" fillId="27" borderId="0" xfId="1557" applyFill="1"/>
    <xf numFmtId="0" fontId="6" fillId="26" borderId="0" xfId="1557" applyFont="1" applyFill="1"/>
    <xf numFmtId="0" fontId="18" fillId="26" borderId="0" xfId="1557" applyFill="1"/>
    <xf numFmtId="0" fontId="48" fillId="26" borderId="0" xfId="1553" applyFill="1"/>
    <xf numFmtId="2" fontId="48" fillId="0" borderId="0" xfId="1553" applyNumberFormat="1" applyFill="1" applyAlignment="1">
      <alignment horizontal="center"/>
    </xf>
    <xf numFmtId="0" fontId="48" fillId="0" borderId="0" xfId="1553" applyFill="1"/>
    <xf numFmtId="0" fontId="0" fillId="27" borderId="0" xfId="0" applyFill="1"/>
    <xf numFmtId="1" fontId="0" fillId="27" borderId="0" xfId="0" applyNumberFormat="1" applyFill="1"/>
    <xf numFmtId="0" fontId="40" fillId="27" borderId="0" xfId="1557" applyFont="1" applyFill="1"/>
    <xf numFmtId="0" fontId="33" fillId="0" borderId="6" xfId="0" applyFont="1" applyBorder="1" applyAlignment="1">
      <alignment horizontal="left"/>
    </xf>
    <xf numFmtId="168" fontId="99" fillId="0" borderId="45" xfId="1833" applyNumberFormat="1" applyFont="1" applyBorder="1" applyAlignment="1">
      <alignment horizontal="left"/>
    </xf>
    <xf numFmtId="168" fontId="99" fillId="0" borderId="7" xfId="1833" applyNumberFormat="1" applyFont="1" applyBorder="1" applyAlignment="1">
      <alignment horizontal="left"/>
    </xf>
    <xf numFmtId="170" fontId="0" fillId="0" borderId="5" xfId="1833" applyNumberFormat="1" applyFont="1" applyBorder="1" applyAlignment="1">
      <alignment horizontal="left"/>
    </xf>
    <xf numFmtId="0" fontId="29" fillId="0" borderId="71" xfId="0" applyFont="1" applyBorder="1" applyAlignment="1">
      <alignment horizontal="center" vertical="center" wrapText="1"/>
    </xf>
    <xf numFmtId="0" fontId="29" fillId="14" borderId="66" xfId="0" applyFont="1" applyFill="1" applyBorder="1"/>
    <xf numFmtId="0" fontId="29" fillId="14" borderId="69" xfId="0" applyFont="1" applyFill="1" applyBorder="1"/>
    <xf numFmtId="2" fontId="0" fillId="0" borderId="50" xfId="0" applyNumberFormat="1" applyBorder="1"/>
    <xf numFmtId="2" fontId="0" fillId="0" borderId="0" xfId="1554" applyNumberFormat="1" applyFont="1"/>
    <xf numFmtId="168" fontId="0" fillId="6" borderId="0" xfId="1833" applyNumberFormat="1" applyFont="1" applyFill="1"/>
    <xf numFmtId="0" fontId="26" fillId="18" borderId="4" xfId="0" applyFont="1" applyFill="1" applyBorder="1" applyAlignment="1">
      <alignment horizontal="left" vertical="center"/>
    </xf>
    <xf numFmtId="0" fontId="26" fillId="18" borderId="0" xfId="0" applyFont="1" applyFill="1" applyAlignment="1">
      <alignment horizontal="left" vertical="center"/>
    </xf>
    <xf numFmtId="0" fontId="26" fillId="18" borderId="5" xfId="0" applyFont="1" applyFill="1" applyBorder="1" applyAlignment="1">
      <alignment horizontal="left" vertical="center"/>
    </xf>
    <xf numFmtId="166" fontId="39" fillId="18" borderId="5" xfId="0" applyNumberFormat="1" applyFont="1" applyFill="1" applyBorder="1"/>
    <xf numFmtId="174" fontId="0" fillId="6" borderId="0" xfId="1833" applyNumberFormat="1" applyFont="1" applyFill="1"/>
    <xf numFmtId="0" fontId="39" fillId="6" borderId="5" xfId="0" applyFont="1" applyFill="1" applyBorder="1"/>
    <xf numFmtId="0" fontId="39" fillId="6" borderId="4" xfId="0" quotePrefix="1" applyFont="1" applyFill="1" applyBorder="1"/>
    <xf numFmtId="175" fontId="0" fillId="6" borderId="5" xfId="1833" applyNumberFormat="1" applyFont="1" applyFill="1" applyBorder="1"/>
    <xf numFmtId="165" fontId="0" fillId="0" borderId="5" xfId="1554" applyNumberFormat="1" applyFont="1" applyBorder="1"/>
    <xf numFmtId="0" fontId="0" fillId="6" borderId="4" xfId="0" applyFill="1" applyBorder="1" applyAlignment="1">
      <alignment wrapText="1"/>
    </xf>
    <xf numFmtId="0" fontId="0" fillId="6" borderId="45" xfId="0" applyFill="1" applyBorder="1"/>
    <xf numFmtId="0" fontId="0" fillId="6" borderId="7" xfId="0" applyFill="1" applyBorder="1"/>
    <xf numFmtId="0" fontId="33" fillId="0" borderId="1" xfId="0" applyFont="1" applyBorder="1" applyAlignment="1">
      <alignment horizontal="center" vertical="center"/>
    </xf>
    <xf numFmtId="2" fontId="29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29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50" xfId="0" applyFont="1" applyBorder="1" applyAlignment="1">
      <alignment horizontal="center" vertical="center" wrapText="1"/>
    </xf>
    <xf numFmtId="0" fontId="23" fillId="14" borderId="45" xfId="6" applyFill="1" applyBorder="1" applyProtection="1">
      <protection locked="0"/>
    </xf>
    <xf numFmtId="0" fontId="23" fillId="14" borderId="45" xfId="6" applyFill="1" applyBorder="1"/>
    <xf numFmtId="0" fontId="73" fillId="0" borderId="0" xfId="1556" applyFont="1"/>
    <xf numFmtId="0" fontId="34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29" fillId="4" borderId="0" xfId="0" applyFont="1" applyFill="1" applyAlignment="1">
      <alignment wrapText="1"/>
    </xf>
    <xf numFmtId="0" fontId="29" fillId="4" borderId="0" xfId="0" applyFont="1" applyFill="1"/>
    <xf numFmtId="2" fontId="29" fillId="0" borderId="21" xfId="0" applyNumberFormat="1" applyFont="1" applyBorder="1"/>
    <xf numFmtId="0" fontId="29" fillId="4" borderId="1" xfId="0" applyFont="1" applyFill="1" applyBorder="1" applyAlignment="1">
      <alignment horizontal="center" vertical="center" wrapText="1"/>
    </xf>
    <xf numFmtId="2" fontId="3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/>
    </xf>
    <xf numFmtId="0" fontId="29" fillId="0" borderId="0" xfId="0" applyFont="1" applyAlignment="1">
      <alignment horizontal="left" vertical="center" wrapText="1"/>
    </xf>
    <xf numFmtId="2" fontId="48" fillId="15" borderId="50" xfId="1553" applyNumberFormat="1" applyBorder="1" applyAlignment="1">
      <alignment horizontal="center"/>
    </xf>
    <xf numFmtId="165" fontId="23" fillId="14" borderId="45" xfId="0" applyNumberFormat="1" applyFont="1" applyFill="1" applyBorder="1" applyAlignment="1" applyProtection="1">
      <alignment horizontal="center" vertical="center"/>
      <protection locked="0"/>
    </xf>
    <xf numFmtId="0" fontId="5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29" fillId="0" borderId="1" xfId="1554" applyNumberFormat="1" applyFont="1" applyBorder="1"/>
    <xf numFmtId="176" fontId="29" fillId="0" borderId="1" xfId="0" applyNumberFormat="1" applyFont="1" applyBorder="1"/>
    <xf numFmtId="9" fontId="29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0" fillId="4" borderId="0" xfId="0" applyFont="1" applyFill="1"/>
    <xf numFmtId="171" fontId="78" fillId="4" borderId="0" xfId="0" applyNumberFormat="1" applyFont="1" applyFill="1"/>
    <xf numFmtId="44" fontId="78" fillId="4" borderId="0" xfId="1839" applyFont="1" applyFill="1"/>
    <xf numFmtId="44" fontId="0" fillId="29" borderId="0" xfId="1839" applyFont="1" applyFill="1"/>
    <xf numFmtId="44" fontId="78" fillId="29" borderId="0" xfId="1839" applyFont="1" applyFill="1"/>
    <xf numFmtId="44" fontId="79" fillId="29" borderId="0" xfId="1839" applyFont="1" applyFill="1"/>
    <xf numFmtId="171" fontId="26" fillId="4" borderId="0" xfId="0" applyNumberFormat="1" applyFont="1" applyFill="1"/>
    <xf numFmtId="2" fontId="0" fillId="0" borderId="1" xfId="0" applyNumberFormat="1" applyBorder="1" applyAlignment="1" applyProtection="1">
      <alignment horizontal="center"/>
      <protection locked="0"/>
    </xf>
    <xf numFmtId="2" fontId="0" fillId="0" borderId="30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67" fontId="0" fillId="0" borderId="0" xfId="0" applyNumberFormat="1"/>
    <xf numFmtId="0" fontId="0" fillId="0" borderId="0" xfId="0"/>
    <xf numFmtId="0" fontId="26" fillId="0" borderId="0" xfId="0" applyFont="1" applyFill="1" applyBorder="1"/>
    <xf numFmtId="44" fontId="0" fillId="0" borderId="0" xfId="1839" applyFont="1" applyAlignment="1">
      <alignment horizontal="right"/>
    </xf>
    <xf numFmtId="0" fontId="39" fillId="0" borderId="0" xfId="0" applyFont="1" applyAlignment="1">
      <alignment wrapText="1"/>
    </xf>
    <xf numFmtId="2" fontId="26" fillId="0" borderId="0" xfId="0" applyNumberFormat="1" applyFont="1"/>
    <xf numFmtId="0" fontId="72" fillId="0" borderId="0" xfId="0" applyFont="1" applyFill="1"/>
    <xf numFmtId="2" fontId="26" fillId="0" borderId="22" xfId="0" applyNumberFormat="1" applyFont="1" applyBorder="1"/>
    <xf numFmtId="2" fontId="26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29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5" fillId="0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8" fillId="14" borderId="26" xfId="0" applyFont="1" applyFill="1" applyBorder="1" applyAlignment="1">
      <alignment horizontal="center" vertical="center" wrapText="1"/>
    </xf>
    <xf numFmtId="1" fontId="28" fillId="14" borderId="0" xfId="1" applyNumberFormat="1" applyFont="1" applyFill="1" applyBorder="1" applyAlignment="1" applyProtection="1">
      <alignment horizontal="center" vertical="center"/>
      <protection locked="0"/>
    </xf>
    <xf numFmtId="165" fontId="28" fillId="14" borderId="0" xfId="1" applyNumberFormat="1" applyFont="1" applyFill="1" applyBorder="1" applyAlignment="1" applyProtection="1">
      <alignment horizontal="center" vertical="center"/>
      <protection locked="0"/>
    </xf>
    <xf numFmtId="2" fontId="28" fillId="0" borderId="0" xfId="1" applyNumberFormat="1" applyFont="1" applyFill="1" applyBorder="1" applyAlignment="1" applyProtection="1">
      <alignment horizontal="center" vertical="center"/>
      <protection locked="0"/>
    </xf>
    <xf numFmtId="2" fontId="28" fillId="14" borderId="0" xfId="1" applyNumberFormat="1" applyFont="1" applyFill="1" applyBorder="1" applyAlignment="1" applyProtection="1">
      <alignment horizontal="center" vertical="center"/>
      <protection locked="0"/>
    </xf>
    <xf numFmtId="1" fontId="28" fillId="0" borderId="0" xfId="1" applyNumberFormat="1" applyFont="1" applyFill="1" applyBorder="1" applyAlignment="1" applyProtection="1">
      <alignment horizontal="center" vertical="center"/>
      <protection locked="0"/>
    </xf>
    <xf numFmtId="0" fontId="23" fillId="14" borderId="0" xfId="0" applyFont="1" applyFill="1" applyBorder="1" applyProtection="1">
      <protection locked="0"/>
    </xf>
    <xf numFmtId="0" fontId="23" fillId="14" borderId="0" xfId="6" applyFill="1" applyBorder="1" applyProtection="1">
      <protection locked="0"/>
    </xf>
    <xf numFmtId="0" fontId="23" fillId="14" borderId="0" xfId="6" applyFill="1" applyBorder="1"/>
    <xf numFmtId="0" fontId="23" fillId="14" borderId="0" xfId="0" applyFont="1" applyFill="1" applyBorder="1"/>
    <xf numFmtId="0" fontId="29" fillId="0" borderId="0" xfId="0" applyFont="1" applyBorder="1"/>
    <xf numFmtId="1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8" fillId="0" borderId="0" xfId="0" applyNumberFormat="1" applyFont="1" applyBorder="1" applyAlignment="1" applyProtection="1">
      <alignment horizontal="center" vertical="center"/>
      <protection locked="0"/>
    </xf>
    <xf numFmtId="165" fontId="28" fillId="14" borderId="0" xfId="0" applyNumberFormat="1" applyFont="1" applyFill="1" applyBorder="1" applyAlignment="1" applyProtection="1">
      <alignment horizontal="center" vertical="center"/>
      <protection locked="0"/>
    </xf>
    <xf numFmtId="1" fontId="23" fillId="14" borderId="0" xfId="0" applyNumberFormat="1" applyFont="1" applyFill="1" applyBorder="1" applyAlignment="1" applyProtection="1">
      <alignment horizontal="center" vertical="center"/>
      <protection locked="0"/>
    </xf>
    <xf numFmtId="165" fontId="23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14" borderId="0" xfId="0" applyNumberFormat="1" applyFont="1" applyFill="1" applyBorder="1" applyAlignment="1" applyProtection="1">
      <alignment horizontal="center" vertical="center"/>
      <protection locked="0"/>
    </xf>
    <xf numFmtId="1" fontId="89" fillId="0" borderId="0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2" fontId="29" fillId="0" borderId="1" xfId="0" applyNumberFormat="1" applyFont="1" applyFill="1" applyBorder="1" applyAlignment="1" applyProtection="1">
      <alignment horizontal="center" vertical="center"/>
      <protection locked="0"/>
    </xf>
    <xf numFmtId="2" fontId="29" fillId="14" borderId="1" xfId="0" applyNumberFormat="1" applyFont="1" applyFill="1" applyBorder="1" applyAlignment="1">
      <alignment horizontal="center" vertical="center" wrapText="1"/>
    </xf>
    <xf numFmtId="2" fontId="29" fillId="0" borderId="1" xfId="1553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 wrapText="1"/>
    </xf>
    <xf numFmtId="2" fontId="29" fillId="0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26" fillId="0" borderId="22" xfId="0" applyFont="1" applyFill="1" applyBorder="1"/>
    <xf numFmtId="0" fontId="78" fillId="0" borderId="0" xfId="0" applyFont="1" applyFill="1"/>
    <xf numFmtId="171" fontId="78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29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28" fillId="0" borderId="45" xfId="0" applyFont="1" applyBorder="1" applyAlignment="1">
      <alignment horizontal="left" vertical="center" wrapText="1"/>
    </xf>
    <xf numFmtId="0" fontId="29" fillId="0" borderId="69" xfId="0" applyFont="1" applyBorder="1"/>
    <xf numFmtId="0" fontId="0" fillId="0" borderId="0" xfId="0"/>
    <xf numFmtId="0" fontId="0" fillId="0" borderId="0" xfId="0"/>
    <xf numFmtId="0" fontId="0" fillId="0" borderId="0" xfId="0" applyFont="1"/>
    <xf numFmtId="2" fontId="23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29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0" xfId="0"/>
    <xf numFmtId="0" fontId="29" fillId="0" borderId="21" xfId="0" applyFont="1" applyBorder="1" applyAlignment="1">
      <alignment horizontal="center" vertical="center"/>
    </xf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2" fontId="57" fillId="14" borderId="0" xfId="0" applyNumberFormat="1" applyFont="1" applyFill="1" applyBorder="1" applyAlignment="1" applyProtection="1">
      <alignment horizontal="center" vertical="center"/>
      <protection locked="0"/>
    </xf>
    <xf numFmtId="2" fontId="57" fillId="14" borderId="45" xfId="0" applyNumberFormat="1" applyFont="1" applyFill="1" applyBorder="1" applyAlignment="1" applyProtection="1">
      <alignment horizontal="center" vertical="center"/>
      <protection locked="0"/>
    </xf>
    <xf numFmtId="1" fontId="57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9" fontId="0" fillId="0" borderId="0" xfId="1554" applyFont="1" applyAlignment="1">
      <alignment horizontal="center" vertical="center" wrapText="1"/>
    </xf>
    <xf numFmtId="9" fontId="0" fillId="6" borderId="5" xfId="1554" applyFont="1" applyFill="1" applyBorder="1"/>
    <xf numFmtId="9" fontId="0" fillId="6" borderId="0" xfId="1554" applyFont="1" applyFill="1"/>
    <xf numFmtId="0" fontId="0" fillId="0" borderId="0" xfId="0"/>
    <xf numFmtId="0" fontId="103" fillId="0" borderId="1" xfId="0" applyFont="1" applyFill="1" applyBorder="1" applyAlignment="1"/>
    <xf numFmtId="2" fontId="103" fillId="14" borderId="1" xfId="0" applyNumberFormat="1" applyFont="1" applyFill="1" applyBorder="1" applyProtection="1">
      <protection locked="0"/>
    </xf>
    <xf numFmtId="2" fontId="103" fillId="0" borderId="1" xfId="0" applyNumberFormat="1" applyFont="1" applyFill="1" applyBorder="1"/>
    <xf numFmtId="0" fontId="103" fillId="0" borderId="1" xfId="0" applyFont="1" applyFill="1" applyBorder="1"/>
    <xf numFmtId="0" fontId="104" fillId="0" borderId="1" xfId="0" applyFont="1" applyFill="1" applyBorder="1"/>
    <xf numFmtId="2" fontId="29" fillId="23" borderId="22" xfId="0" applyNumberFormat="1" applyFont="1" applyFill="1" applyBorder="1"/>
    <xf numFmtId="2" fontId="58" fillId="0" borderId="21" xfId="1556" applyNumberFormat="1" applyBorder="1"/>
    <xf numFmtId="1" fontId="0" fillId="0" borderId="36" xfId="0" applyNumberFormat="1" applyBorder="1" applyAlignment="1">
      <alignment horizontal="center" vertical="center" wrapText="1"/>
    </xf>
    <xf numFmtId="9" fontId="0" fillId="0" borderId="0" xfId="1554" applyNumberFormat="1" applyFont="1" applyAlignment="1">
      <alignment horizontal="center" vertical="center" wrapText="1"/>
    </xf>
    <xf numFmtId="0" fontId="105" fillId="14" borderId="1" xfId="0" applyFont="1" applyFill="1" applyBorder="1"/>
    <xf numFmtId="0" fontId="0" fillId="0" borderId="0" xfId="0"/>
    <xf numFmtId="2" fontId="32" fillId="14" borderId="1" xfId="0" applyNumberFormat="1" applyFont="1" applyFill="1" applyBorder="1" applyAlignment="1" applyProtection="1">
      <alignment horizontal="center" vertical="center"/>
      <protection locked="0"/>
    </xf>
    <xf numFmtId="2" fontId="29" fillId="6" borderId="0" xfId="723" applyNumberFormat="1" applyFont="1" applyFill="1" applyBorder="1"/>
    <xf numFmtId="2" fontId="29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29" fillId="0" borderId="1" xfId="0" applyFont="1" applyFill="1" applyBorder="1" applyAlignment="1"/>
    <xf numFmtId="2" fontId="29" fillId="0" borderId="1" xfId="0" applyNumberFormat="1" applyFont="1" applyFill="1" applyBorder="1"/>
    <xf numFmtId="0" fontId="29" fillId="0" borderId="1" xfId="0" applyFont="1" applyFill="1" applyBorder="1"/>
    <xf numFmtId="0" fontId="71" fillId="0" borderId="1" xfId="0" applyFont="1" applyFill="1" applyBorder="1"/>
    <xf numFmtId="0" fontId="29" fillId="0" borderId="3" xfId="0" applyFont="1" applyBorder="1" applyAlignment="1">
      <alignment horizontal="center" vertical="center" wrapText="1"/>
    </xf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29" fillId="0" borderId="2" xfId="0" applyFont="1" applyBorder="1" applyAlignment="1">
      <alignment horizontal="center" vertical="center" wrapText="1"/>
    </xf>
    <xf numFmtId="0" fontId="29" fillId="14" borderId="4" xfId="0" applyFont="1" applyFill="1" applyBorder="1"/>
    <xf numFmtId="0" fontId="29" fillId="14" borderId="0" xfId="0" applyFont="1" applyFill="1" applyBorder="1"/>
    <xf numFmtId="0" fontId="29" fillId="14" borderId="5" xfId="0" applyFont="1" applyFill="1" applyBorder="1"/>
    <xf numFmtId="0" fontId="29" fillId="14" borderId="6" xfId="0" applyFont="1" applyFill="1" applyBorder="1"/>
    <xf numFmtId="0" fontId="29" fillId="14" borderId="45" xfId="0" applyFont="1" applyFill="1" applyBorder="1"/>
    <xf numFmtId="0" fontId="29" fillId="14" borderId="7" xfId="0" applyFont="1" applyFill="1" applyBorder="1"/>
    <xf numFmtId="0" fontId="29" fillId="14" borderId="80" xfId="0" applyFont="1" applyFill="1" applyBorder="1"/>
    <xf numFmtId="0" fontId="29" fillId="14" borderId="72" xfId="0" applyFont="1" applyFill="1" applyBorder="1"/>
    <xf numFmtId="0" fontId="29" fillId="14" borderId="10" xfId="0" applyFont="1" applyFill="1" applyBorder="1"/>
    <xf numFmtId="0" fontId="29" fillId="14" borderId="43" xfId="0" applyFont="1" applyFill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 wrapText="1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58" xfId="0" applyFill="1" applyBorder="1" applyAlignment="1" applyProtection="1">
      <alignment horizontal="center" vertical="center"/>
      <protection locked="0"/>
    </xf>
    <xf numFmtId="1" fontId="0" fillId="6" borderId="36" xfId="0" applyNumberFormat="1" applyFill="1" applyBorder="1" applyAlignment="1">
      <alignment horizontal="center" vertical="center" wrapText="1"/>
    </xf>
    <xf numFmtId="2" fontId="29" fillId="14" borderId="1" xfId="1555" applyNumberFormat="1" applyFont="1" applyFill="1" applyBorder="1" applyAlignment="1" applyProtection="1">
      <alignment horizontal="center" vertical="center"/>
      <protection locked="0"/>
    </xf>
    <xf numFmtId="2" fontId="32" fillId="14" borderId="18" xfId="0" applyNumberFormat="1" applyFont="1" applyFill="1" applyBorder="1" applyAlignment="1" applyProtection="1">
      <alignment horizontal="center" vertical="center"/>
      <protection locked="0"/>
    </xf>
    <xf numFmtId="2" fontId="32" fillId="14" borderId="12" xfId="0" applyNumberFormat="1" applyFont="1" applyFill="1" applyBorder="1" applyAlignment="1" applyProtection="1">
      <alignment horizontal="center" vertical="center"/>
      <protection locked="0"/>
    </xf>
    <xf numFmtId="2" fontId="32" fillId="14" borderId="0" xfId="0" applyNumberFormat="1" applyFont="1" applyFill="1" applyBorder="1" applyAlignment="1" applyProtection="1">
      <alignment horizontal="center" vertical="center" wrapText="1"/>
      <protection locked="0"/>
    </xf>
    <xf numFmtId="2" fontId="0" fillId="14" borderId="1" xfId="0" applyNumberFormat="1" applyFill="1" applyBorder="1" applyAlignment="1">
      <alignment horizontal="center" vertical="center"/>
    </xf>
    <xf numFmtId="2" fontId="29" fillId="0" borderId="12" xfId="0" applyNumberFormat="1" applyFont="1" applyFill="1" applyBorder="1"/>
    <xf numFmtId="0" fontId="65" fillId="0" borderId="73" xfId="1557" applyFont="1" applyBorder="1" applyAlignment="1">
      <alignment horizontal="center" vertical="center" wrapText="1"/>
    </xf>
    <xf numFmtId="2" fontId="28" fillId="14" borderId="0" xfId="0" applyNumberFormat="1" applyFont="1" applyFill="1" applyBorder="1" applyAlignment="1" applyProtection="1">
      <alignment horizontal="center" vertical="center"/>
      <protection locked="0"/>
    </xf>
    <xf numFmtId="2" fontId="23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/>
    <xf numFmtId="2" fontId="29" fillId="0" borderId="0" xfId="0" applyNumberFormat="1" applyFont="1" applyAlignment="1">
      <alignment horizontal="right"/>
    </xf>
    <xf numFmtId="2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top"/>
    </xf>
    <xf numFmtId="0" fontId="10" fillId="14" borderId="28" xfId="0" applyFont="1" applyFill="1" applyBorder="1" applyAlignment="1">
      <alignment horizontal="center" vertical="top" wrapText="1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26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2" fontId="26" fillId="4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65" fillId="0" borderId="73" xfId="0" applyFont="1" applyBorder="1" applyAlignment="1">
      <alignment horizontal="center" vertical="center" wrapText="1"/>
    </xf>
    <xf numFmtId="0" fontId="18" fillId="0" borderId="2" xfId="1557" applyBorder="1"/>
    <xf numFmtId="0" fontId="6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horizontal="center" vertical="top" wrapText="1"/>
    </xf>
    <xf numFmtId="0" fontId="6" fillId="0" borderId="50" xfId="1557" applyFont="1" applyBorder="1" applyAlignment="1">
      <alignment vertical="top" wrapText="1"/>
    </xf>
    <xf numFmtId="0" fontId="3" fillId="0" borderId="50" xfId="1557" applyFont="1" applyBorder="1" applyAlignment="1">
      <alignment horizontal="center" vertical="top" wrapText="1"/>
    </xf>
    <xf numFmtId="0" fontId="6" fillId="0" borderId="3" xfId="1557" applyFont="1" applyBorder="1" applyAlignment="1">
      <alignment vertical="top" wrapText="1"/>
    </xf>
    <xf numFmtId="0" fontId="6" fillId="0" borderId="2" xfId="1557" applyFont="1" applyBorder="1" applyAlignment="1">
      <alignment vertical="top" wrapText="1"/>
    </xf>
    <xf numFmtId="1" fontId="18" fillId="0" borderId="0" xfId="1557" applyNumberFormat="1" applyBorder="1"/>
    <xf numFmtId="165" fontId="18" fillId="0" borderId="0" xfId="1557" applyNumberFormat="1" applyBorder="1"/>
    <xf numFmtId="168" fontId="18" fillId="0" borderId="0" xfId="1833" applyNumberFormat="1" applyFont="1" applyBorder="1"/>
    <xf numFmtId="0" fontId="0" fillId="6" borderId="56" xfId="0" applyFill="1" applyBorder="1" applyAlignment="1">
      <alignment horizontal="left" vertical="center"/>
    </xf>
    <xf numFmtId="0" fontId="0" fillId="6" borderId="22" xfId="0" applyFill="1" applyBorder="1" applyAlignment="1">
      <alignment horizontal="left" vertical="center"/>
    </xf>
    <xf numFmtId="0" fontId="0" fillId="6" borderId="60" xfId="0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6" borderId="60" xfId="0" applyNumberFormat="1" applyFill="1" applyBorder="1" applyAlignment="1">
      <alignment horizontal="center" vertical="center"/>
    </xf>
    <xf numFmtId="0" fontId="29" fillId="6" borderId="56" xfId="0" applyFont="1" applyFill="1" applyBorder="1" applyAlignment="1">
      <alignment horizontal="left" vertical="center"/>
    </xf>
    <xf numFmtId="0" fontId="29" fillId="6" borderId="22" xfId="0" applyFont="1" applyFill="1" applyBorder="1" applyAlignment="1">
      <alignment horizontal="left" vertical="center"/>
    </xf>
    <xf numFmtId="2" fontId="29" fillId="6" borderId="60" xfId="0" applyNumberFormat="1" applyFont="1" applyFill="1" applyBorder="1" applyAlignment="1">
      <alignment horizontal="center" vertical="center"/>
    </xf>
    <xf numFmtId="2" fontId="29" fillId="6" borderId="22" xfId="0" applyNumberFormat="1" applyFont="1" applyFill="1" applyBorder="1" applyAlignment="1">
      <alignment horizontal="center" vertical="center"/>
    </xf>
    <xf numFmtId="0" fontId="7" fillId="6" borderId="81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1" fontId="0" fillId="14" borderId="64" xfId="0" applyNumberFormat="1" applyFill="1" applyBorder="1" applyAlignment="1" applyProtection="1">
      <alignment horizontal="center" vertical="center"/>
      <protection locked="0"/>
    </xf>
    <xf numFmtId="0" fontId="15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5" fillId="6" borderId="50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29" fillId="0" borderId="0" xfId="0" applyFont="1" applyBorder="1" applyAlignment="1">
      <alignment horizontal="center" vertical="center"/>
    </xf>
    <xf numFmtId="2" fontId="23" fillId="14" borderId="0" xfId="0" applyNumberFormat="1" applyFont="1" applyFill="1" applyBorder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58" xfId="0" applyNumberFormat="1" applyFont="1" applyFill="1" applyBorder="1" applyAlignment="1" applyProtection="1">
      <alignment horizontal="center" vertical="center"/>
      <protection locked="0"/>
    </xf>
    <xf numFmtId="0" fontId="41" fillId="6" borderId="26" xfId="1556" applyFont="1" applyFill="1" applyBorder="1" applyAlignment="1">
      <alignment horizontal="center" vertical="center"/>
    </xf>
    <xf numFmtId="177" fontId="29" fillId="14" borderId="26" xfId="0" applyNumberFormat="1" applyFont="1" applyFill="1" applyBorder="1" applyAlignment="1" applyProtection="1">
      <alignment horizontal="center" vertical="center"/>
      <protection locked="0"/>
    </xf>
    <xf numFmtId="177" fontId="29" fillId="14" borderId="31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>
      <alignment horizontal="left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0" fontId="92" fillId="0" borderId="0" xfId="0" applyFont="1" applyAlignment="1">
      <alignment horizontal="center" vertical="top" wrapText="1"/>
    </xf>
    <xf numFmtId="0" fontId="73" fillId="0" borderId="0" xfId="1556" applyFont="1" applyFill="1" applyAlignment="1">
      <alignment horizontal="center" vertical="center" wrapText="1"/>
    </xf>
    <xf numFmtId="0" fontId="73" fillId="0" borderId="0" xfId="1556" applyFont="1" applyFill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2" fontId="29" fillId="0" borderId="12" xfId="0" applyNumberFormat="1" applyFont="1" applyFill="1" applyBorder="1" applyProtection="1">
      <protection locked="0"/>
    </xf>
    <xf numFmtId="2" fontId="29" fillId="0" borderId="1" xfId="0" applyNumberFormat="1" applyFont="1" applyFill="1" applyBorder="1" applyProtection="1">
      <protection locked="0"/>
    </xf>
    <xf numFmtId="2" fontId="103" fillId="0" borderId="12" xfId="0" applyNumberFormat="1" applyFont="1" applyFill="1" applyBorder="1" applyProtection="1">
      <protection locked="0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29" fillId="0" borderId="0" xfId="0" applyFont="1" applyBorder="1" applyAlignment="1">
      <alignment horizontal="center" vertical="center" wrapText="1"/>
    </xf>
    <xf numFmtId="1" fontId="29" fillId="0" borderId="0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/>
    </xf>
    <xf numFmtId="0" fontId="29" fillId="0" borderId="1" xfId="0" applyNumberFormat="1" applyFont="1" applyBorder="1" applyAlignment="1">
      <alignment vertical="center"/>
    </xf>
    <xf numFmtId="0" fontId="29" fillId="0" borderId="1" xfId="0" applyNumberFormat="1" applyFont="1" applyBorder="1" applyAlignment="1"/>
    <xf numFmtId="0" fontId="29" fillId="0" borderId="0" xfId="0" applyFont="1" applyBorder="1" applyAlignment="1">
      <alignment horizontal="center"/>
    </xf>
    <xf numFmtId="0" fontId="28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top"/>
    </xf>
    <xf numFmtId="0" fontId="29" fillId="5" borderId="1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29" fillId="0" borderId="0" xfId="0" applyFont="1" applyFill="1" applyBorder="1"/>
    <xf numFmtId="166" fontId="29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29" fillId="0" borderId="0" xfId="0" applyNumberFormat="1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49" fillId="0" borderId="0" xfId="0" applyFont="1" applyBorder="1" applyAlignment="1">
      <alignment horizontal="left" vertical="center" wrapText="1"/>
    </xf>
    <xf numFmtId="0" fontId="106" fillId="0" borderId="0" xfId="0" applyFont="1"/>
    <xf numFmtId="0" fontId="15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2" fontId="0" fillId="14" borderId="80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0" fontId="11" fillId="0" borderId="4" xfId="1557" applyFont="1" applyBorder="1"/>
    <xf numFmtId="2" fontId="18" fillId="0" borderId="5" xfId="1557" applyNumberFormat="1" applyBorder="1"/>
    <xf numFmtId="0" fontId="14" fillId="0" borderId="6" xfId="1557" applyFont="1" applyBorder="1"/>
    <xf numFmtId="0" fontId="18" fillId="0" borderId="45" xfId="1557" applyBorder="1"/>
    <xf numFmtId="168" fontId="18" fillId="0" borderId="45" xfId="1833" applyNumberFormat="1" applyFont="1" applyBorder="1"/>
    <xf numFmtId="2" fontId="18" fillId="0" borderId="7" xfId="1557" applyNumberFormat="1" applyBorder="1"/>
    <xf numFmtId="0" fontId="18" fillId="0" borderId="5" xfId="1557" applyBorder="1"/>
    <xf numFmtId="0" fontId="18" fillId="0" borderId="7" xfId="1557" applyBorder="1"/>
    <xf numFmtId="0" fontId="2" fillId="0" borderId="2" xfId="1557" applyFont="1" applyBorder="1" applyAlignment="1">
      <alignment vertical="top" wrapText="1"/>
    </xf>
    <xf numFmtId="165" fontId="18" fillId="0" borderId="4" xfId="1557" applyNumberFormat="1" applyBorder="1"/>
    <xf numFmtId="0" fontId="18" fillId="0" borderId="6" xfId="1557" applyBorder="1"/>
    <xf numFmtId="1" fontId="18" fillId="0" borderId="4" xfId="1557" applyNumberFormat="1" applyBorder="1"/>
    <xf numFmtId="0" fontId="0" fillId="0" borderId="0" xfId="0"/>
    <xf numFmtId="1" fontId="28" fillId="6" borderId="0" xfId="1" applyNumberFormat="1" applyFont="1" applyFill="1" applyBorder="1" applyAlignment="1" applyProtection="1">
      <alignment horizontal="center" vertical="center"/>
      <protection locked="0"/>
    </xf>
    <xf numFmtId="1" fontId="28" fillId="6" borderId="0" xfId="0" applyNumberFormat="1" applyFont="1" applyFill="1" applyBorder="1" applyAlignment="1" applyProtection="1">
      <alignment horizontal="center" vertical="center"/>
      <protection locked="0"/>
    </xf>
    <xf numFmtId="1" fontId="23" fillId="6" borderId="0" xfId="0" applyNumberFormat="1" applyFont="1" applyFill="1" applyBorder="1" applyAlignment="1" applyProtection="1">
      <alignment horizontal="center" vertical="center"/>
      <protection locked="0"/>
    </xf>
    <xf numFmtId="1" fontId="23" fillId="6" borderId="45" xfId="0" applyNumberFormat="1" applyFont="1" applyFill="1" applyBorder="1" applyAlignment="1" applyProtection="1">
      <alignment horizontal="center" vertical="center"/>
      <protection locked="0"/>
    </xf>
    <xf numFmtId="165" fontId="23" fillId="6" borderId="0" xfId="0" applyNumberFormat="1" applyFont="1" applyFill="1" applyBorder="1" applyAlignment="1" applyProtection="1">
      <alignment horizontal="center" vertical="center"/>
      <protection locked="0"/>
    </xf>
    <xf numFmtId="1" fontId="65" fillId="6" borderId="0" xfId="0" applyNumberFormat="1" applyFont="1" applyFill="1" applyBorder="1" applyAlignment="1" applyProtection="1">
      <alignment horizontal="center" vertical="center"/>
      <protection locked="0"/>
    </xf>
    <xf numFmtId="166" fontId="28" fillId="6" borderId="0" xfId="1" applyNumberFormat="1" applyFont="1" applyFill="1" applyBorder="1" applyAlignment="1" applyProtection="1">
      <alignment horizontal="center" vertical="center"/>
      <protection locked="0"/>
    </xf>
    <xf numFmtId="166" fontId="23" fillId="6" borderId="0" xfId="0" applyNumberFormat="1" applyFont="1" applyFill="1" applyBorder="1" applyAlignment="1" applyProtection="1">
      <alignment horizontal="center" vertical="center"/>
      <protection locked="0"/>
    </xf>
    <xf numFmtId="167" fontId="57" fillId="6" borderId="0" xfId="0" applyNumberFormat="1" applyFont="1" applyFill="1" applyBorder="1" applyAlignment="1" applyProtection="1">
      <alignment horizontal="center" vertical="center"/>
      <protection locked="0"/>
    </xf>
    <xf numFmtId="167" fontId="57" fillId="6" borderId="45" xfId="0" applyNumberFormat="1" applyFont="1" applyFill="1" applyBorder="1" applyAlignment="1" applyProtection="1">
      <alignment horizontal="center" vertical="center"/>
      <protection locked="0"/>
    </xf>
    <xf numFmtId="2" fontId="23" fillId="6" borderId="0" xfId="0" applyNumberFormat="1" applyFont="1" applyFill="1" applyBorder="1" applyAlignment="1" applyProtection="1">
      <alignment horizontal="center" vertical="center"/>
      <protection locked="0"/>
    </xf>
    <xf numFmtId="2" fontId="57" fillId="6" borderId="0" xfId="0" applyNumberFormat="1" applyFont="1" applyFill="1" applyBorder="1" applyAlignment="1" applyProtection="1">
      <alignment horizontal="center" vertical="center"/>
      <protection locked="0"/>
    </xf>
    <xf numFmtId="0" fontId="0" fillId="14" borderId="81" xfId="0" applyFill="1" applyBorder="1" applyAlignment="1">
      <alignment horizontal="center"/>
    </xf>
    <xf numFmtId="0" fontId="0" fillId="14" borderId="31" xfId="0" applyFill="1" applyBorder="1" applyAlignment="1">
      <alignment horizontal="center"/>
    </xf>
    <xf numFmtId="10" fontId="0" fillId="6" borderId="0" xfId="0" applyNumberFormat="1" applyFill="1" applyAlignment="1">
      <alignment horizontal="center" vertical="center"/>
    </xf>
    <xf numFmtId="0" fontId="0" fillId="6" borderId="70" xfId="0" applyFill="1" applyBorder="1" applyAlignment="1">
      <alignment horizontal="left" vertical="center"/>
    </xf>
    <xf numFmtId="0" fontId="26" fillId="18" borderId="0" xfId="0" applyFont="1" applyFill="1" applyAlignment="1">
      <alignment horizontal="center" vertical="top"/>
    </xf>
    <xf numFmtId="0" fontId="26" fillId="18" borderId="0" xfId="0" applyFont="1" applyFill="1" applyBorder="1" applyAlignment="1">
      <alignment horizontal="center" vertical="top"/>
    </xf>
    <xf numFmtId="0" fontId="26" fillId="18" borderId="5" xfId="0" applyFont="1" applyFill="1" applyBorder="1" applyAlignment="1">
      <alignment horizontal="center" vertical="top"/>
    </xf>
    <xf numFmtId="1" fontId="28" fillId="0" borderId="0" xfId="1" applyNumberFormat="1" applyFont="1" applyFill="1" applyBorder="1" applyAlignment="1" applyProtection="1">
      <alignment horizontal="center" vertical="center"/>
    </xf>
    <xf numFmtId="2" fontId="29" fillId="0" borderId="12" xfId="0" applyNumberFormat="1" applyFont="1" applyFill="1" applyBorder="1" applyProtection="1"/>
    <xf numFmtId="2" fontId="29" fillId="6" borderId="1" xfId="0" applyNumberFormat="1" applyFont="1" applyFill="1" applyBorder="1" applyAlignment="1" applyProtection="1">
      <alignment horizontal="center" wrapText="1"/>
    </xf>
    <xf numFmtId="2" fontId="29" fillId="14" borderId="1" xfId="6" applyNumberFormat="1" applyFont="1" applyFill="1" applyBorder="1" applyAlignment="1" applyProtection="1">
      <alignment horizontal="center" vertical="center"/>
    </xf>
    <xf numFmtId="166" fontId="32" fillId="14" borderId="1" xfId="0" applyNumberFormat="1" applyFont="1" applyFill="1" applyBorder="1" applyAlignment="1" applyProtection="1">
      <alignment vertical="center" wrapText="1"/>
    </xf>
    <xf numFmtId="166" fontId="29" fillId="14" borderId="1" xfId="0" applyNumberFormat="1" applyFont="1" applyFill="1" applyBorder="1" applyAlignment="1" applyProtection="1">
      <alignment vertical="center"/>
    </xf>
    <xf numFmtId="166" fontId="29" fillId="14" borderId="1" xfId="0" applyNumberFormat="1" applyFont="1" applyFill="1" applyBorder="1" applyAlignment="1" applyProtection="1">
      <alignment vertical="center"/>
      <protection locked="0"/>
    </xf>
    <xf numFmtId="0" fontId="29" fillId="14" borderId="1" xfId="0" applyFont="1" applyFill="1" applyBorder="1" applyAlignment="1" applyProtection="1">
      <alignment horizontal="center" vertical="center"/>
      <protection locked="0"/>
    </xf>
    <xf numFmtId="0" fontId="29" fillId="14" borderId="1" xfId="0" applyFont="1" applyFill="1" applyBorder="1" applyAlignment="1" applyProtection="1">
      <alignment horizontal="center" vertical="center" wrapText="1"/>
      <protection locked="0"/>
    </xf>
    <xf numFmtId="166" fontId="32" fillId="14" borderId="1" xfId="0" applyNumberFormat="1" applyFont="1" applyFill="1" applyBorder="1" applyAlignment="1" applyProtection="1">
      <alignment horizontal="center" vertical="center" wrapText="1"/>
      <protection locked="0"/>
    </xf>
    <xf numFmtId="166" fontId="29" fillId="1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24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10" fontId="0" fillId="5" borderId="0" xfId="0" applyNumberFormat="1" applyFill="1" applyAlignment="1" applyProtection="1">
      <alignment horizontal="left" vertic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5" fillId="0" borderId="71" xfId="0" applyFont="1" applyBorder="1" applyAlignment="1">
      <alignment horizontal="center" vertical="center" wrapText="1"/>
    </xf>
    <xf numFmtId="0" fontId="15" fillId="0" borderId="66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center" vertical="center" wrapText="1"/>
    </xf>
    <xf numFmtId="0" fontId="15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15" fillId="6" borderId="72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  <xf numFmtId="0" fontId="26" fillId="5" borderId="2" xfId="0" applyFont="1" applyFill="1" applyBorder="1" applyAlignment="1">
      <alignment horizontal="left" vertical="top"/>
    </xf>
    <xf numFmtId="0" fontId="26" fillId="5" borderId="50" xfId="0" applyFont="1" applyFill="1" applyBorder="1" applyAlignment="1">
      <alignment horizontal="left" vertical="top"/>
    </xf>
    <xf numFmtId="0" fontId="26" fillId="5" borderId="3" xfId="0" applyFont="1" applyFill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29" fillId="6" borderId="2" xfId="0" applyFont="1" applyFill="1" applyBorder="1" applyAlignment="1">
      <alignment horizontal="center" vertical="center"/>
    </xf>
    <xf numFmtId="0" fontId="29" fillId="6" borderId="50" xfId="0" applyFont="1" applyFill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60" fillId="0" borderId="8" xfId="0" applyFont="1" applyBorder="1" applyAlignment="1">
      <alignment horizontal="center" vertical="center" wrapText="1"/>
    </xf>
    <xf numFmtId="0" fontId="60" fillId="0" borderId="17" xfId="0" applyFont="1" applyBorder="1" applyAlignment="1">
      <alignment horizontal="center" vertical="center" wrapText="1"/>
    </xf>
    <xf numFmtId="0" fontId="60" fillId="0" borderId="12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 wrapText="1"/>
    </xf>
    <xf numFmtId="0" fontId="33" fillId="0" borderId="37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33" fillId="0" borderId="39" xfId="0" applyFont="1" applyBorder="1" applyAlignment="1">
      <alignment horizontal="center" vertical="center"/>
    </xf>
    <xf numFmtId="0" fontId="29" fillId="0" borderId="19" xfId="0" applyFont="1" applyBorder="1" applyAlignment="1">
      <alignment horizontal="left"/>
    </xf>
    <xf numFmtId="0" fontId="29" fillId="0" borderId="22" xfId="0" applyFont="1" applyBorder="1" applyAlignment="1">
      <alignment horizontal="left"/>
    </xf>
    <xf numFmtId="0" fontId="29" fillId="0" borderId="21" xfId="0" applyFont="1" applyBorder="1" applyAlignment="1">
      <alignment horizontal="left"/>
    </xf>
    <xf numFmtId="2" fontId="29" fillId="0" borderId="19" xfId="0" applyNumberFormat="1" applyFont="1" applyBorder="1" applyAlignment="1">
      <alignment horizontal="center" vertical="center"/>
    </xf>
    <xf numFmtId="2" fontId="29" fillId="0" borderId="22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29" fillId="0" borderId="19" xfId="0" applyNumberFormat="1" applyFont="1" applyBorder="1" applyAlignment="1">
      <alignment horizontal="center"/>
    </xf>
    <xf numFmtId="2" fontId="29" fillId="0" borderId="22" xfId="0" applyNumberFormat="1" applyFont="1" applyBorder="1" applyAlignment="1">
      <alignment horizontal="center"/>
    </xf>
    <xf numFmtId="2" fontId="29" fillId="0" borderId="21" xfId="0" applyNumberFormat="1" applyFont="1" applyBorder="1" applyAlignment="1">
      <alignment horizontal="center"/>
    </xf>
    <xf numFmtId="0" fontId="29" fillId="0" borderId="9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49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58" xfId="0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9" fillId="0" borderId="51" xfId="0" applyFont="1" applyBorder="1" applyAlignment="1">
      <alignment horizontal="center" vertical="center" wrapText="1"/>
    </xf>
    <xf numFmtId="0" fontId="29" fillId="0" borderId="48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0" fontId="29" fillId="0" borderId="61" xfId="0" applyFont="1" applyBorder="1" applyAlignment="1">
      <alignment horizontal="center" vertical="center"/>
    </xf>
    <xf numFmtId="0" fontId="29" fillId="0" borderId="53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29" fillId="0" borderId="21" xfId="0" applyFont="1" applyBorder="1" applyAlignment="1">
      <alignment horizontal="center"/>
    </xf>
    <xf numFmtId="0" fontId="49" fillId="0" borderId="1" xfId="0" applyFont="1" applyBorder="1" applyAlignment="1">
      <alignment horizontal="center" vertical="center" wrapText="1"/>
    </xf>
    <xf numFmtId="0" fontId="49" fillId="0" borderId="8" xfId="0" applyFont="1" applyBorder="1" applyAlignment="1">
      <alignment horizontal="left" vertical="top" wrapText="1"/>
    </xf>
    <xf numFmtId="0" fontId="49" fillId="0" borderId="17" xfId="0" applyFont="1" applyBorder="1" applyAlignment="1">
      <alignment horizontal="left" vertical="top" wrapText="1"/>
    </xf>
    <xf numFmtId="0" fontId="49" fillId="0" borderId="12" xfId="0" applyFont="1" applyBorder="1" applyAlignment="1">
      <alignment horizontal="left" vertical="top" wrapText="1"/>
    </xf>
    <xf numFmtId="0" fontId="33" fillId="0" borderId="19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2" fontId="29" fillId="0" borderId="1" xfId="0" applyNumberFormat="1" applyFont="1" applyBorder="1" applyAlignment="1">
      <alignment horizontal="center"/>
    </xf>
    <xf numFmtId="0" fontId="29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top" wrapText="1"/>
    </xf>
    <xf numFmtId="0" fontId="29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left" vertical="top" wrapText="1"/>
    </xf>
    <xf numFmtId="0" fontId="29" fillId="0" borderId="21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 wrapText="1"/>
    </xf>
    <xf numFmtId="0" fontId="33" fillId="0" borderId="29" xfId="0" applyFont="1" applyBorder="1" applyAlignment="1">
      <alignment horizontal="center" vertical="center" wrapText="1"/>
    </xf>
    <xf numFmtId="2" fontId="29" fillId="0" borderId="19" xfId="0" applyNumberFormat="1" applyFont="1" applyBorder="1" applyAlignment="1">
      <alignment horizontal="center" vertical="center" wrapText="1"/>
    </xf>
    <xf numFmtId="2" fontId="29" fillId="0" borderId="22" xfId="0" applyNumberFormat="1" applyFont="1" applyBorder="1" applyAlignment="1">
      <alignment horizontal="center" vertical="center" wrapText="1"/>
    </xf>
    <xf numFmtId="2" fontId="29" fillId="0" borderId="21" xfId="0" applyNumberFormat="1" applyFont="1" applyBorder="1" applyAlignment="1">
      <alignment horizontal="center" vertical="center" wrapText="1"/>
    </xf>
    <xf numFmtId="2" fontId="29" fillId="0" borderId="1" xfId="0" applyNumberFormat="1" applyFont="1" applyBorder="1" applyAlignment="1">
      <alignment horizontal="center" wrapText="1"/>
    </xf>
    <xf numFmtId="0" fontId="26" fillId="0" borderId="35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26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54" fillId="0" borderId="22" xfId="0" applyFont="1" applyBorder="1" applyAlignment="1">
      <alignment horizontal="center" vertical="center" wrapText="1"/>
    </xf>
    <xf numFmtId="1" fontId="29" fillId="0" borderId="1" xfId="0" applyNumberFormat="1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47" fillId="0" borderId="55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0" fontId="35" fillId="0" borderId="9" xfId="1558" applyBorder="1" applyAlignment="1">
      <alignment horizontal="center" vertical="top" wrapText="1"/>
    </xf>
    <xf numFmtId="0" fontId="35" fillId="0" borderId="10" xfId="1558" applyBorder="1" applyAlignment="1">
      <alignment horizontal="center" vertical="top" wrapText="1"/>
    </xf>
    <xf numFmtId="0" fontId="47" fillId="0" borderId="35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48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48" fillId="26" borderId="0" xfId="1553" applyNumberFormat="1" applyFill="1" applyAlignment="1">
      <alignment horizontal="center"/>
    </xf>
    <xf numFmtId="0" fontId="22" fillId="9" borderId="13" xfId="0" applyFont="1" applyFill="1" applyBorder="1" applyAlignment="1">
      <alignment horizontal="center"/>
    </xf>
    <xf numFmtId="0" fontId="22" fillId="9" borderId="14" xfId="0" applyFont="1" applyFill="1" applyBorder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2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2" fillId="9" borderId="22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9" fillId="19" borderId="0" xfId="0" applyFont="1" applyFill="1" applyAlignment="1">
      <alignment horizontal="left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58" fillId="0" borderId="0" xfId="1556" applyAlignment="1">
      <alignment horizontal="left" vertical="center"/>
    </xf>
    <xf numFmtId="0" fontId="58" fillId="5" borderId="1" xfId="1556" applyFill="1" applyBorder="1" applyAlignment="1">
      <alignment horizontal="center" vertical="center"/>
    </xf>
    <xf numFmtId="0" fontId="29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29" fillId="6" borderId="8" xfId="1" applyFont="1" applyFill="1" applyBorder="1" applyAlignment="1">
      <alignment horizontal="center" vertical="center" wrapText="1"/>
    </xf>
    <xf numFmtId="0" fontId="29" fillId="6" borderId="17" xfId="1" applyFont="1" applyFill="1" applyBorder="1" applyAlignment="1">
      <alignment horizontal="center" vertical="center" wrapText="1"/>
    </xf>
    <xf numFmtId="0" fontId="29" fillId="6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/>
    </xf>
    <xf numFmtId="0" fontId="34" fillId="6" borderId="21" xfId="1" applyFont="1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 wrapText="1"/>
    </xf>
    <xf numFmtId="0" fontId="29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right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2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4" fillId="5" borderId="19" xfId="1" applyFont="1" applyFill="1" applyBorder="1" applyAlignment="1">
      <alignment horizontal="right" wrapText="1"/>
    </xf>
    <xf numFmtId="0" fontId="34" fillId="5" borderId="22" xfId="1" applyFont="1" applyFill="1" applyBorder="1" applyAlignment="1">
      <alignment horizontal="right" wrapText="1"/>
    </xf>
    <xf numFmtId="0" fontId="34" fillId="5" borderId="21" xfId="1" applyFont="1" applyFill="1" applyBorder="1" applyAlignment="1">
      <alignment horizontal="right" wrapText="1"/>
    </xf>
    <xf numFmtId="0" fontId="34" fillId="5" borderId="8" xfId="1" applyFont="1" applyFill="1" applyBorder="1" applyAlignment="1">
      <alignment horizontal="center" vertical="center" wrapText="1"/>
    </xf>
    <xf numFmtId="0" fontId="34" fillId="5" borderId="17" xfId="1" applyFont="1" applyFill="1" applyBorder="1" applyAlignment="1">
      <alignment horizontal="center" vertical="center" wrapText="1"/>
    </xf>
    <xf numFmtId="0" fontId="34" fillId="5" borderId="12" xfId="1" applyFont="1" applyFill="1" applyBorder="1" applyAlignment="1">
      <alignment horizontal="center" vertical="center" wrapText="1"/>
    </xf>
    <xf numFmtId="0" fontId="34" fillId="6" borderId="19" xfId="1" applyFont="1" applyFill="1" applyBorder="1" applyAlignment="1">
      <alignment horizontal="center" vertical="center" wrapText="1"/>
    </xf>
    <xf numFmtId="0" fontId="34" fillId="6" borderId="21" xfId="1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3"/>
      <tableStyleElement type="headerRow" dxfId="12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</a:t>
            </a:r>
            <a:r>
              <a:rPr lang="en-US" baseline="0"/>
              <a:t>Requirement and Feedbasket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Season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requirements'!$C$4:$C$11</c:f>
              <c:numCache>
                <c:formatCode>0.000</c:formatCode>
                <c:ptCount val="8"/>
                <c:pt idx="0">
                  <c:v>0</c:v>
                </c:pt>
                <c:pt idx="1">
                  <c:v>2.1340378167217205E-2</c:v>
                </c:pt>
                <c:pt idx="2">
                  <c:v>0.1427235007210968</c:v>
                </c:pt>
                <c:pt idx="3">
                  <c:v>1.1618650335484922E-2</c:v>
                </c:pt>
                <c:pt idx="4">
                  <c:v>0.13633841388449541</c:v>
                </c:pt>
                <c:pt idx="5">
                  <c:v>0.34615565137444737</c:v>
                </c:pt>
                <c:pt idx="6">
                  <c:v>0</c:v>
                </c:pt>
                <c:pt idx="7">
                  <c:v>0.65817659448274168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4-4315-92E3-4E0BD1B880FC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Season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requirements'!$D$4:$D$11</c:f>
              <c:numCache>
                <c:formatCode>0.000</c:formatCode>
                <c:ptCount val="8"/>
                <c:pt idx="0">
                  <c:v>0</c:v>
                </c:pt>
                <c:pt idx="1">
                  <c:v>8.6062911192446283E-3</c:v>
                </c:pt>
                <c:pt idx="2">
                  <c:v>5.5419494471449178E-2</c:v>
                </c:pt>
                <c:pt idx="3">
                  <c:v>5.2713533105373356E-2</c:v>
                </c:pt>
                <c:pt idx="4">
                  <c:v>0.77320507183660814</c:v>
                </c:pt>
                <c:pt idx="5">
                  <c:v>0.14541664304930582</c:v>
                </c:pt>
                <c:pt idx="6">
                  <c:v>0</c:v>
                </c:pt>
                <c:pt idx="7">
                  <c:v>1.0353610335819812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A4-4315-92E3-4E0BD1B880FC}"/>
            </c:ext>
          </c:extLst>
        </c:ser>
        <c:ser>
          <c:idx val="2"/>
          <c:order val="2"/>
          <c:tx>
            <c:strRef>
              <c:f>'Land requirements'!$E$3</c:f>
              <c:strCache>
                <c:ptCount val="1"/>
                <c:pt idx="0">
                  <c:v>Season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'Land requirements'!$B$4:$B$11</c:f>
              <c:strCache>
                <c:ptCount val="8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  <c:pt idx="7">
                  <c:v>Total area used for feed production (ha)</c:v>
                </c:pt>
              </c:strCache>
            </c:strRef>
          </c:cat>
          <c:val>
            <c:numRef>
              <c:f>'Land requirements'!$E$4:$E$11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0A4-4315-92E3-4E0BD1B88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4189680"/>
        <c:axId val="1594199664"/>
        <c:extLst/>
      </c:barChart>
      <c:catAx>
        <c:axId val="159418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Feed Item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99664"/>
        <c:crosses val="autoZero"/>
        <c:auto val="1"/>
        <c:lblAlgn val="ctr"/>
        <c:lblOffset val="100"/>
        <c:noMultiLvlLbl val="0"/>
      </c:catAx>
      <c:valAx>
        <c:axId val="15941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land (ha)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18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Requirement and Feedbasket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Season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2.1340378167217205E-2</c:v>
                </c:pt>
                <c:pt idx="2">
                  <c:v>0.1427235007210968</c:v>
                </c:pt>
                <c:pt idx="3">
                  <c:v>1.1618650335484922E-2</c:v>
                </c:pt>
                <c:pt idx="4">
                  <c:v>0.13633841388449541</c:v>
                </c:pt>
                <c:pt idx="5">
                  <c:v>0.34615565137444737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Season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8.6062911192446283E-3</c:v>
                </c:pt>
                <c:pt idx="2">
                  <c:v>5.5419494471449178E-2</c:v>
                </c:pt>
                <c:pt idx="3">
                  <c:v>5.2713533105373356E-2</c:v>
                </c:pt>
                <c:pt idx="4">
                  <c:v>0.77320507183660814</c:v>
                </c:pt>
                <c:pt idx="5">
                  <c:v>0.14541664304930582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requirements'!$F$3</c15:sqref>
                        </c15:formulaRef>
                      </c:ext>
                    </c:extLst>
                    <c:strCache>
                      <c:ptCount val="1"/>
                      <c:pt idx="0">
                        <c:v>Total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BC9D-4AA2-90B5-C02A4FA3599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BC9D-4AA2-90B5-C02A4FA3599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BC9D-4AA2-90B5-C02A4FA3599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BC9D-4AA2-90B5-C02A4FA3599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BC9D-4AA2-90B5-C02A4FA3599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BC9D-4AA2-90B5-C02A4FA35996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BC9D-4AA2-90B5-C02A4FA3599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Pennisetum purpureum</c:v>
                      </c:pt>
                      <c:pt idx="2">
                        <c:v>Rhodes</c:v>
                      </c:pt>
                      <c:pt idx="3">
                        <c:v>Guatemala</c:v>
                      </c:pt>
                      <c:pt idx="4">
                        <c:v>Maize</c:v>
                      </c:pt>
                      <c:pt idx="5">
                        <c:v>Natural pasture</c:v>
                      </c:pt>
                      <c:pt idx="6">
                        <c:v>N/A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requirements'!$F$4:$F$11</c15:sqref>
                        </c15:fullRef>
                        <c15:formulaRef>
                          <c15:sqref>'Land requirements'!$F$4:$F$10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2.9946669286461836E-2</c:v>
                      </c:pt>
                      <c:pt idx="2">
                        <c:v>0.19814299519254597</c:v>
                      </c:pt>
                      <c:pt idx="3">
                        <c:v>6.4332183440858282E-2</c:v>
                      </c:pt>
                      <c:pt idx="4">
                        <c:v>0.90954348572110355</c:v>
                      </c:pt>
                      <c:pt idx="5">
                        <c:v>0.49157229442375316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9.4420861377832779</c:v>
                </c:pt>
                <c:pt idx="2">
                  <c:v>-2.1625377475568897</c:v>
                </c:pt>
                <c:pt idx="3">
                  <c:v>5.2715146474138663</c:v>
                </c:pt>
                <c:pt idx="4">
                  <c:v>36.163556613749314</c:v>
                </c:pt>
                <c:pt idx="5">
                  <c:v>-28.238429893435566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34.491508510767972</c:v>
                </c:pt>
                <c:pt idx="2">
                  <c:v>53.307386531014529</c:v>
                </c:pt>
                <c:pt idx="3">
                  <c:v>40.006098712661284</c:v>
                </c:pt>
                <c:pt idx="4">
                  <c:v>82.048487662828975</c:v>
                </c:pt>
                <c:pt idx="5">
                  <c:v>43.129727439149306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Pennisetum purpureum</c:v>
                </c:pt>
                <c:pt idx="2">
                  <c:v>Rhodes</c:v>
                </c:pt>
                <c:pt idx="3">
                  <c:v>Guatemala</c:v>
                </c:pt>
                <c:pt idx="4">
                  <c:v>Maize</c:v>
                </c:pt>
                <c:pt idx="5">
                  <c:v>Natural pasture</c:v>
                </c:pt>
                <c:pt idx="6">
                  <c:v>N/A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25.049422372984694</c:v>
                </c:pt>
                <c:pt idx="2">
                  <c:v>55.469924278571419</c:v>
                </c:pt>
                <c:pt idx="3">
                  <c:v>34.734584065247418</c:v>
                </c:pt>
                <c:pt idx="4">
                  <c:v>45.884931049079661</c:v>
                </c:pt>
                <c:pt idx="5">
                  <c:v>71.368157332584872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'Water Impacts'!$A$10:$A$16</c:f>
              <c:strCache>
                <c:ptCount val="7"/>
                <c:pt idx="0">
                  <c:v>Concentrate (commercial)</c:v>
                </c:pt>
                <c:pt idx="1">
                  <c:v>Pennisetum purpureum - forage</c:v>
                </c:pt>
                <c:pt idx="2">
                  <c:v>Rhodes grass (Chloris gayana) - forage</c:v>
                </c:pt>
                <c:pt idx="3">
                  <c:v>Guatemala (Tripsacum andersonii) - forage</c:v>
                </c:pt>
                <c:pt idx="4">
                  <c:v>Maize (Zea mays) - stover</c:v>
                </c:pt>
                <c:pt idx="5">
                  <c:v>Naturally occuring pasture - green fodder </c:v>
                </c:pt>
                <c:pt idx="6">
                  <c:v>N/A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40.078625728381425</c:v>
                </c:pt>
                <c:pt idx="2">
                  <c:v>265.1813752326907</c:v>
                </c:pt>
                <c:pt idx="3">
                  <c:v>86.097905505015333</c:v>
                </c:pt>
                <c:pt idx="4">
                  <c:v>532.78259316784329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0.76741540740446124</c:v>
                </c:pt>
                <c:pt idx="1">
                  <c:v>0</c:v>
                </c:pt>
                <c:pt idx="2">
                  <c:v>0.80447936589383473</c:v>
                </c:pt>
                <c:pt idx="3">
                  <c:v>3.5546892494377635</c:v>
                </c:pt>
                <c:pt idx="4">
                  <c:v>0</c:v>
                </c:pt>
                <c:pt idx="5">
                  <c:v>0</c:v>
                </c:pt>
                <c:pt idx="6">
                  <c:v>2.3176337714357511E-3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9.0716494235919098E-2</c:v>
                </c:pt>
                <c:pt idx="1">
                  <c:v>0</c:v>
                </c:pt>
                <c:pt idx="2">
                  <c:v>0.38258252863613396</c:v>
                </c:pt>
                <c:pt idx="3">
                  <c:v>5.5337362896641116</c:v>
                </c:pt>
                <c:pt idx="4">
                  <c:v>0</c:v>
                </c:pt>
                <c:pt idx="5">
                  <c:v>0</c:v>
                </c:pt>
                <c:pt idx="6">
                  <c:v>2.3176337714357511E-3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3554.6892494377635</c:v>
                </c:pt>
                <c:pt idx="1">
                  <c:v>82.667191847389844</c:v>
                </c:pt>
                <c:pt idx="2">
                  <c:v>451.13260877902803</c:v>
                </c:pt>
                <c:pt idx="3">
                  <c:v>270.67956526741676</c:v>
                </c:pt>
                <c:pt idx="4">
                  <c:v>644.71819664657482</c:v>
                </c:pt>
                <c:pt idx="5">
                  <c:v>122.6972107578864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5533.7362896641116</c:v>
                </c:pt>
                <c:pt idx="1">
                  <c:v>382.58252863613393</c:v>
                </c:pt>
                <c:pt idx="2">
                  <c:v>0</c:v>
                </c:pt>
                <c:pt idx="3">
                  <c:v>0</c:v>
                </c:pt>
                <c:pt idx="4">
                  <c:v>80.802435672789727</c:v>
                </c:pt>
                <c:pt idx="5">
                  <c:v>9.9140585631293749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1828272</xdr:colOff>
      <xdr:row>0</xdr:row>
      <xdr:rowOff>100541</xdr:rowOff>
    </xdr:from>
    <xdr:to>
      <xdr:col>8</xdr:col>
      <xdr:colOff>592667</xdr:colOff>
      <xdr:row>13</xdr:row>
      <xdr:rowOff>68477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022" y="100541"/>
          <a:ext cx="4495270" cy="2653986"/>
        </a:xfrm>
        <a:prstGeom prst="rect">
          <a:avLst/>
        </a:prstGeom>
      </xdr:spPr>
    </xdr:pic>
    <xdr:clientData/>
  </xdr:twoCellAnchor>
  <xdr:twoCellAnchor editAs="oneCell">
    <xdr:from>
      <xdr:col>8</xdr:col>
      <xdr:colOff>416985</xdr:colOff>
      <xdr:row>5</xdr:row>
      <xdr:rowOff>47626</xdr:rowOff>
    </xdr:from>
    <xdr:to>
      <xdr:col>10</xdr:col>
      <xdr:colOff>1276657</xdr:colOff>
      <xdr:row>14</xdr:row>
      <xdr:rowOff>107252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1610" y="666751"/>
          <a:ext cx="3653672" cy="1913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5</xdr:row>
      <xdr:rowOff>127000</xdr:rowOff>
    </xdr:from>
    <xdr:to>
      <xdr:col>12</xdr:col>
      <xdr:colOff>122768</xdr:colOff>
      <xdr:row>14</xdr:row>
      <xdr:rowOff>57301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56775" y="746125"/>
          <a:ext cx="1688043" cy="1787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1076325</xdr:colOff>
          <xdr:row>107</xdr:row>
          <xdr:rowOff>95250</xdr:rowOff>
        </xdr:from>
        <xdr:to>
          <xdr:col>6</xdr:col>
          <xdr:colOff>800100</xdr:colOff>
          <xdr:row>111</xdr:row>
          <xdr:rowOff>152400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809625</xdr:colOff>
      <xdr:row>1</xdr:row>
      <xdr:rowOff>147637</xdr:rowOff>
    </xdr:from>
    <xdr:to>
      <xdr:col>16</xdr:col>
      <xdr:colOff>447675</xdr:colOff>
      <xdr:row>17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819150</xdr:colOff>
      <xdr:row>18</xdr:row>
      <xdr:rowOff>171450</xdr:rowOff>
    </xdr:from>
    <xdr:to>
      <xdr:col>16</xdr:col>
      <xdr:colOff>457200</xdr:colOff>
      <xdr:row>34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an2018\papers\VCs\2018_analysis\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@CIAT\CRP%20@Livestock%20and%20Environment\@CLEANED\Kalkulator%20June%202017\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CGIAR\CLEANED\Vivien%20data%20WK_SAC\Dropbox%20folder\CLEANED_N_maybe%20still%20wrong\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14" totalsRowShown="0" headerRowDxfId="11" dataDxfId="9" headerRowBorderDxfId="10">
  <autoFilter ref="A2:I114">
    <filterColumn colId="0">
      <filters>
        <filter val="Concentrate (commercial)"/>
        <filter val="Guatemala (Tripsacum andersonii) - forage"/>
        <filter val="Maize (Zea mays) - stover"/>
        <filter val="Naturally occuring pasture - green fodder"/>
        <filter val="Pennisetum purpureum - forage"/>
        <filter val="Rhodes grass (Chloris gayana) - forage"/>
      </filters>
    </filterColumn>
  </autoFilter>
  <sortState ref="A13:I114">
    <sortCondition ref="A2:A114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/>
    <tableColumn id="5" name="CP content (% DM)" dataDxfId="4"/>
    <tableColumn id="6" name="CP content (% fresh)" dataDxfId="3">
      <calculatedColumnFormula>#REF!*#REF!+#REF!*#REF!</calculatedColumnFormula>
    </tableColumn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17"/>
  <sheetViews>
    <sheetView showGridLines="0" tabSelected="1" zoomScale="71" zoomScaleNormal="71" workbookViewId="0">
      <selection activeCell="E16" sqref="E16"/>
    </sheetView>
  </sheetViews>
  <sheetFormatPr defaultColWidth="10.875" defaultRowHeight="15.75"/>
  <cols>
    <col min="1" max="1" width="7" style="429" customWidth="1"/>
    <col min="2" max="2" width="42.375" style="431" customWidth="1"/>
    <col min="3" max="3" width="53.25" style="431" customWidth="1"/>
    <col min="4" max="4" width="27.875" style="429" customWidth="1"/>
    <col min="5" max="5" width="29.75" style="429" customWidth="1"/>
    <col min="6" max="6" width="30.75" style="429" customWidth="1"/>
    <col min="7" max="7" width="25.75" style="429" customWidth="1"/>
    <col min="8" max="8" width="18.625" style="429" customWidth="1"/>
    <col min="9" max="9" width="20.625" style="429" customWidth="1"/>
    <col min="10" max="10" width="16.125" style="429" customWidth="1"/>
    <col min="11" max="11" width="18.5" style="429" customWidth="1"/>
    <col min="12" max="12" width="24.375" style="429" customWidth="1"/>
    <col min="13" max="13" width="15" style="429" customWidth="1"/>
    <col min="14" max="14" width="17.5" style="429" customWidth="1"/>
    <col min="15" max="15" width="31.125" style="429" customWidth="1"/>
    <col min="16" max="16" width="15.5" style="429" customWidth="1"/>
    <col min="17" max="17" width="38" style="429" customWidth="1"/>
    <col min="18" max="18" width="30.375" style="429" customWidth="1"/>
    <col min="19" max="27" width="15.5" style="429" customWidth="1"/>
    <col min="28" max="31" width="10.875" style="429"/>
    <col min="32" max="32" width="35.5" style="429" customWidth="1"/>
    <col min="33" max="33" width="10.875" style="429"/>
    <col min="34" max="34" width="13.125" style="429" customWidth="1"/>
    <col min="35" max="16384" width="10.875" style="429"/>
  </cols>
  <sheetData>
    <row r="1" spans="1:9">
      <c r="B1" s="432" t="s">
        <v>1223</v>
      </c>
      <c r="C1" s="432"/>
      <c r="D1" s="428"/>
      <c r="E1" s="428"/>
      <c r="G1" s="72"/>
      <c r="H1" s="72"/>
      <c r="I1" s="72"/>
    </row>
    <row r="2" spans="1:9" ht="16.5" thickBot="1">
      <c r="A2" s="677"/>
      <c r="B2" s="117"/>
      <c r="C2" s="117"/>
      <c r="G2" s="72"/>
      <c r="H2" s="72"/>
      <c r="I2" s="72"/>
    </row>
    <row r="3" spans="1:9" ht="16.5" thickBot="1">
      <c r="A3" s="677"/>
      <c r="B3" s="117"/>
      <c r="C3" s="117"/>
      <c r="D3" s="1324" t="s">
        <v>69</v>
      </c>
      <c r="E3" s="1335" t="s">
        <v>96</v>
      </c>
      <c r="G3" s="72"/>
      <c r="H3" s="72"/>
      <c r="I3" s="72"/>
    </row>
    <row r="4" spans="1:9" ht="16.5" thickBot="1">
      <c r="A4" s="677"/>
      <c r="B4" s="117"/>
      <c r="C4" s="117"/>
      <c r="G4" s="72"/>
      <c r="H4" s="72"/>
      <c r="I4" s="72"/>
    </row>
    <row r="5" spans="1:9">
      <c r="A5" s="677"/>
      <c r="B5" s="1412" t="s">
        <v>1225</v>
      </c>
      <c r="C5" s="1296" t="s">
        <v>1224</v>
      </c>
      <c r="D5" s="1293" t="s">
        <v>77</v>
      </c>
      <c r="E5" s="444" t="s">
        <v>1141</v>
      </c>
      <c r="G5" s="72"/>
      <c r="H5" s="72"/>
      <c r="I5" s="72"/>
    </row>
    <row r="6" spans="1:9">
      <c r="A6" s="677"/>
      <c r="B6" s="1413"/>
      <c r="C6" s="1291" t="s">
        <v>1226</v>
      </c>
      <c r="D6" s="1294" t="s">
        <v>639</v>
      </c>
      <c r="E6" s="364" t="s">
        <v>1859</v>
      </c>
      <c r="G6" s="72"/>
      <c r="H6" s="72"/>
      <c r="I6" s="72"/>
    </row>
    <row r="7" spans="1:9" ht="16.5" thickBot="1">
      <c r="A7" s="677"/>
      <c r="B7" s="1414"/>
      <c r="C7" s="1295" t="s">
        <v>1227</v>
      </c>
      <c r="D7" s="699" t="s">
        <v>639</v>
      </c>
      <c r="E7" s="1309" t="s">
        <v>1860</v>
      </c>
      <c r="G7" s="72"/>
      <c r="H7" s="72"/>
      <c r="I7" s="72"/>
    </row>
    <row r="8" spans="1:9">
      <c r="B8" s="429"/>
      <c r="C8" s="1308"/>
      <c r="D8" s="452">
        <f>'Land requirements'!F11</f>
        <v>1.693537628064723</v>
      </c>
      <c r="G8" s="72"/>
      <c r="H8" s="72"/>
      <c r="I8" s="72"/>
    </row>
    <row r="9" spans="1:9" ht="16.5" thickBot="1">
      <c r="B9" s="30"/>
      <c r="C9" s="1289"/>
      <c r="D9" s="274"/>
      <c r="I9" s="1308"/>
    </row>
    <row r="10" spans="1:9">
      <c r="B10" s="1412" t="s">
        <v>908</v>
      </c>
      <c r="C10" s="1296"/>
      <c r="D10" s="1304"/>
      <c r="E10" s="1321"/>
      <c r="H10" s="1323"/>
      <c r="I10" s="1308"/>
    </row>
    <row r="11" spans="1:9" ht="16.5" thickBot="1">
      <c r="B11" s="1414"/>
      <c r="C11" s="1295"/>
      <c r="D11" s="245"/>
      <c r="E11" s="1322"/>
      <c r="I11" s="1308"/>
    </row>
    <row r="12" spans="1:9" ht="16.5" thickBot="1">
      <c r="B12" s="30"/>
      <c r="C12" s="229"/>
      <c r="D12" s="438"/>
    </row>
    <row r="13" spans="1:9" ht="16.5" thickBot="1">
      <c r="B13" s="30"/>
      <c r="C13" s="1325"/>
      <c r="D13" s="437" t="s">
        <v>1821</v>
      </c>
      <c r="E13" s="1308"/>
      <c r="G13" s="1308"/>
    </row>
    <row r="14" spans="1:9">
      <c r="B14" s="598" t="s">
        <v>1838</v>
      </c>
      <c r="C14" s="1409"/>
      <c r="D14" s="1391">
        <v>190</v>
      </c>
      <c r="E14" s="1308"/>
      <c r="G14" s="1308"/>
    </row>
    <row r="15" spans="1:9" ht="16.5" thickBot="1">
      <c r="B15" s="1326" t="s">
        <v>819</v>
      </c>
      <c r="C15" s="1410"/>
      <c r="D15" s="1392">
        <v>175</v>
      </c>
      <c r="E15" s="1308"/>
      <c r="G15" s="1308"/>
    </row>
    <row r="16" spans="1:9" ht="16.5" thickBot="1">
      <c r="B16" s="1326" t="s">
        <v>1840</v>
      </c>
      <c r="C16" s="1410"/>
      <c r="D16" s="1392">
        <v>0</v>
      </c>
      <c r="E16" s="30"/>
      <c r="F16" s="154"/>
      <c r="G16" s="154"/>
      <c r="H16" s="169"/>
      <c r="I16" s="169"/>
    </row>
    <row r="17" spans="1:17">
      <c r="B17" s="798"/>
      <c r="C17" s="1327">
        <f>SUM(C14:C15)</f>
        <v>0</v>
      </c>
      <c r="D17" s="1327">
        <f>SUM(D14:D16)</f>
        <v>365</v>
      </c>
      <c r="E17" s="30"/>
      <c r="F17" s="154"/>
      <c r="G17" s="154"/>
      <c r="H17" s="169"/>
      <c r="I17" s="169"/>
    </row>
    <row r="18" spans="1:17">
      <c r="B18" s="432" t="s">
        <v>829</v>
      </c>
      <c r="C18" s="428"/>
      <c r="D18" s="428"/>
      <c r="E18" s="433"/>
      <c r="F18" s="428"/>
      <c r="G18" s="428"/>
      <c r="H18" s="428"/>
      <c r="I18" s="428"/>
      <c r="J18" s="428"/>
      <c r="K18" s="428"/>
      <c r="L18" s="428"/>
      <c r="M18" s="428"/>
      <c r="N18" s="428"/>
      <c r="O18" s="428"/>
      <c r="P18" s="428"/>
      <c r="Q18" s="428"/>
    </row>
    <row r="19" spans="1:17" ht="16.5" thickBot="1"/>
    <row r="20" spans="1:17" s="431" customFormat="1" ht="79.5" customHeight="1">
      <c r="B20" s="1415" t="s">
        <v>1052</v>
      </c>
      <c r="C20" s="439"/>
      <c r="D20" s="711" t="s">
        <v>1186</v>
      </c>
      <c r="E20" s="929" t="s">
        <v>1492</v>
      </c>
      <c r="F20" s="1273" t="s">
        <v>1493</v>
      </c>
      <c r="G20" s="1278"/>
      <c r="H20" s="1279" t="s">
        <v>1047</v>
      </c>
      <c r="I20" s="985" t="s">
        <v>1565</v>
      </c>
      <c r="J20" s="1362" t="s">
        <v>1048</v>
      </c>
      <c r="K20" s="712" t="s">
        <v>1049</v>
      </c>
      <c r="L20" s="712" t="s">
        <v>1596</v>
      </c>
      <c r="M20" s="1073" t="s">
        <v>1050</v>
      </c>
      <c r="N20" s="986" t="s">
        <v>1566</v>
      </c>
      <c r="O20" s="604" t="s">
        <v>1133</v>
      </c>
      <c r="P20" s="441"/>
      <c r="Q20" s="713" t="s">
        <v>1051</v>
      </c>
    </row>
    <row r="21" spans="1:17">
      <c r="A21" s="442"/>
      <c r="B21" s="1416"/>
      <c r="C21" s="443" t="s">
        <v>1818</v>
      </c>
      <c r="D21" s="366">
        <v>0</v>
      </c>
      <c r="E21" s="930">
        <v>0</v>
      </c>
      <c r="F21" s="1274">
        <v>0</v>
      </c>
      <c r="G21" s="1157"/>
      <c r="H21" s="368">
        <v>0</v>
      </c>
      <c r="I21" s="369">
        <v>0</v>
      </c>
      <c r="J21" s="367">
        <v>0</v>
      </c>
      <c r="K21" s="367">
        <v>0</v>
      </c>
      <c r="L21" s="367">
        <v>0</v>
      </c>
      <c r="M21" s="368">
        <v>0</v>
      </c>
      <c r="N21" s="369">
        <v>0</v>
      </c>
      <c r="O21" s="367">
        <v>0</v>
      </c>
      <c r="P21" s="1310"/>
      <c r="Q21" s="1363">
        <v>0</v>
      </c>
    </row>
    <row r="22" spans="1:17">
      <c r="B22" s="1416"/>
      <c r="C22" s="443" t="s">
        <v>1819</v>
      </c>
      <c r="D22" s="366">
        <v>2</v>
      </c>
      <c r="E22" s="930">
        <v>1525</v>
      </c>
      <c r="F22" s="1274">
        <v>0</v>
      </c>
      <c r="G22" s="1157"/>
      <c r="H22" s="368">
        <v>1</v>
      </c>
      <c r="I22" s="369">
        <v>0</v>
      </c>
      <c r="J22" s="367">
        <v>0</v>
      </c>
      <c r="K22" s="367">
        <v>0</v>
      </c>
      <c r="L22" s="367">
        <v>0</v>
      </c>
      <c r="M22" s="368">
        <v>1</v>
      </c>
      <c r="N22" s="369">
        <v>0</v>
      </c>
      <c r="O22" s="367">
        <v>0</v>
      </c>
      <c r="P22" s="1310"/>
      <c r="Q22" s="1363">
        <v>0.9</v>
      </c>
    </row>
    <row r="23" spans="1:17">
      <c r="B23" s="1416"/>
      <c r="C23" s="443" t="s">
        <v>1068</v>
      </c>
      <c r="D23" s="366">
        <v>0</v>
      </c>
      <c r="E23" s="366">
        <v>0</v>
      </c>
      <c r="F23" s="1275">
        <v>0</v>
      </c>
      <c r="G23" s="1157"/>
      <c r="H23" s="368">
        <v>0</v>
      </c>
      <c r="I23" s="369">
        <v>0</v>
      </c>
      <c r="J23" s="367">
        <v>0</v>
      </c>
      <c r="K23" s="367">
        <v>0</v>
      </c>
      <c r="L23" s="367">
        <v>0</v>
      </c>
      <c r="M23" s="368">
        <v>0</v>
      </c>
      <c r="N23" s="369">
        <v>0</v>
      </c>
      <c r="O23" s="367">
        <v>0</v>
      </c>
      <c r="P23" s="1310"/>
      <c r="Q23" s="1363">
        <v>0</v>
      </c>
    </row>
    <row r="24" spans="1:17">
      <c r="B24" s="1416"/>
      <c r="C24" s="443" t="s">
        <v>631</v>
      </c>
      <c r="D24" s="366">
        <v>0</v>
      </c>
      <c r="E24" s="366">
        <v>0</v>
      </c>
      <c r="F24" s="1274">
        <v>0</v>
      </c>
      <c r="G24" s="1157"/>
      <c r="H24" s="368">
        <v>0</v>
      </c>
      <c r="I24" s="369">
        <v>0</v>
      </c>
      <c r="J24" s="367">
        <v>0</v>
      </c>
      <c r="K24" s="367">
        <v>0</v>
      </c>
      <c r="L24" s="367">
        <v>0</v>
      </c>
      <c r="M24" s="368">
        <v>0</v>
      </c>
      <c r="N24" s="369">
        <v>0</v>
      </c>
      <c r="O24" s="367">
        <v>0</v>
      </c>
      <c r="P24" s="1310"/>
      <c r="Q24" s="1363">
        <v>0</v>
      </c>
    </row>
    <row r="25" spans="1:17">
      <c r="B25" s="1416"/>
      <c r="C25" s="443" t="s">
        <v>1019</v>
      </c>
      <c r="D25" s="366">
        <v>3</v>
      </c>
      <c r="E25" s="366">
        <v>0</v>
      </c>
      <c r="F25" s="1274">
        <v>156</v>
      </c>
      <c r="G25" s="1157"/>
      <c r="H25" s="368">
        <v>1</v>
      </c>
      <c r="I25" s="369">
        <v>0</v>
      </c>
      <c r="J25" s="367">
        <v>0</v>
      </c>
      <c r="K25" s="367">
        <v>0</v>
      </c>
      <c r="L25" s="367">
        <v>0</v>
      </c>
      <c r="M25" s="368">
        <v>1</v>
      </c>
      <c r="N25" s="369">
        <v>0</v>
      </c>
      <c r="O25" s="367">
        <v>0</v>
      </c>
      <c r="P25" s="1310"/>
      <c r="Q25" s="1363">
        <v>0.9</v>
      </c>
    </row>
    <row r="26" spans="1:17">
      <c r="B26" s="1416"/>
      <c r="C26" s="443" t="s">
        <v>1775</v>
      </c>
      <c r="D26" s="366">
        <v>0</v>
      </c>
      <c r="E26" s="366">
        <v>0</v>
      </c>
      <c r="F26" s="1274">
        <v>0</v>
      </c>
      <c r="G26" s="1157"/>
      <c r="H26" s="368">
        <v>0</v>
      </c>
      <c r="I26" s="369">
        <v>0</v>
      </c>
      <c r="J26" s="367">
        <v>0</v>
      </c>
      <c r="K26" s="367">
        <v>0</v>
      </c>
      <c r="L26" s="367">
        <v>0</v>
      </c>
      <c r="M26" s="368">
        <v>0</v>
      </c>
      <c r="N26" s="369">
        <v>0</v>
      </c>
      <c r="O26" s="367">
        <v>0</v>
      </c>
      <c r="P26" s="1310"/>
      <c r="Q26" s="1363">
        <v>0</v>
      </c>
    </row>
    <row r="27" spans="1:17">
      <c r="B27" s="1416"/>
      <c r="C27" s="443" t="s">
        <v>1672</v>
      </c>
      <c r="D27" s="366">
        <v>0</v>
      </c>
      <c r="E27" s="366">
        <v>0</v>
      </c>
      <c r="F27" s="1274">
        <v>0</v>
      </c>
      <c r="G27" s="1157"/>
      <c r="H27" s="368">
        <v>0</v>
      </c>
      <c r="I27" s="369">
        <v>0</v>
      </c>
      <c r="J27" s="367">
        <v>0</v>
      </c>
      <c r="K27" s="367">
        <v>0</v>
      </c>
      <c r="L27" s="367">
        <v>0</v>
      </c>
      <c r="M27" s="368">
        <v>0</v>
      </c>
      <c r="N27" s="369">
        <v>0</v>
      </c>
      <c r="O27" s="367">
        <v>0</v>
      </c>
      <c r="P27" s="1310"/>
      <c r="Q27" s="1363">
        <v>0</v>
      </c>
    </row>
    <row r="28" spans="1:17">
      <c r="B28" s="1416"/>
      <c r="C28" s="443" t="s">
        <v>631</v>
      </c>
      <c r="D28" s="366">
        <v>0</v>
      </c>
      <c r="E28" s="366">
        <v>0</v>
      </c>
      <c r="F28" s="1274">
        <v>0</v>
      </c>
      <c r="G28" s="1157"/>
      <c r="H28" s="368">
        <v>0</v>
      </c>
      <c r="I28" s="369">
        <v>0</v>
      </c>
      <c r="J28" s="367">
        <v>0</v>
      </c>
      <c r="K28" s="367">
        <v>0</v>
      </c>
      <c r="L28" s="367">
        <v>0</v>
      </c>
      <c r="M28" s="368">
        <v>0</v>
      </c>
      <c r="N28" s="369">
        <v>0</v>
      </c>
      <c r="O28" s="367">
        <v>0</v>
      </c>
      <c r="P28" s="1310"/>
      <c r="Q28" s="1363">
        <v>0</v>
      </c>
    </row>
    <row r="29" spans="1:17">
      <c r="B29" s="1416"/>
      <c r="C29" s="443"/>
      <c r="D29" s="1146">
        <v>0</v>
      </c>
      <c r="E29" s="1146">
        <v>0</v>
      </c>
      <c r="F29" s="1158">
        <v>0</v>
      </c>
      <c r="G29" s="1157"/>
      <c r="H29" s="368">
        <v>0</v>
      </c>
      <c r="I29" s="369">
        <v>0</v>
      </c>
      <c r="J29" s="367">
        <v>0</v>
      </c>
      <c r="K29" s="367">
        <v>0</v>
      </c>
      <c r="L29" s="1148">
        <v>0</v>
      </c>
      <c r="M29" s="368">
        <v>0</v>
      </c>
      <c r="N29" s="1147">
        <v>0</v>
      </c>
      <c r="O29" s="1148">
        <v>0</v>
      </c>
      <c r="P29" s="1310"/>
      <c r="Q29" s="1364">
        <v>0</v>
      </c>
    </row>
    <row r="30" spans="1:17">
      <c r="B30" s="1311"/>
      <c r="C30" s="443"/>
      <c r="D30" s="1146">
        <v>0</v>
      </c>
      <c r="E30" s="1146">
        <v>0</v>
      </c>
      <c r="F30" s="1158">
        <v>0</v>
      </c>
      <c r="G30" s="1157"/>
      <c r="H30" s="368">
        <v>0</v>
      </c>
      <c r="I30" s="369">
        <v>0</v>
      </c>
      <c r="J30" s="367">
        <v>0</v>
      </c>
      <c r="K30" s="367">
        <v>0</v>
      </c>
      <c r="L30" s="1148">
        <v>0</v>
      </c>
      <c r="M30" s="368">
        <v>0</v>
      </c>
      <c r="N30" s="1147">
        <v>0</v>
      </c>
      <c r="O30" s="1148">
        <v>0</v>
      </c>
      <c r="P30" s="1310"/>
      <c r="Q30" s="1364">
        <v>0</v>
      </c>
    </row>
    <row r="31" spans="1:17">
      <c r="B31" s="1311"/>
      <c r="C31" s="443"/>
      <c r="D31" s="1146">
        <v>0</v>
      </c>
      <c r="E31" s="1146">
        <v>0</v>
      </c>
      <c r="F31" s="1158">
        <v>0</v>
      </c>
      <c r="G31" s="1157"/>
      <c r="H31" s="368">
        <v>0</v>
      </c>
      <c r="I31" s="369">
        <v>0</v>
      </c>
      <c r="J31" s="367">
        <v>0</v>
      </c>
      <c r="K31" s="367">
        <v>0</v>
      </c>
      <c r="L31" s="1148">
        <v>0</v>
      </c>
      <c r="M31" s="368">
        <v>0</v>
      </c>
      <c r="N31" s="1147">
        <v>0</v>
      </c>
      <c r="O31" s="1148">
        <v>0</v>
      </c>
      <c r="P31" s="1310"/>
      <c r="Q31" s="1364">
        <v>0</v>
      </c>
    </row>
    <row r="32" spans="1:17">
      <c r="B32" s="1311"/>
      <c r="C32" s="443"/>
      <c r="D32" s="1146">
        <v>0</v>
      </c>
      <c r="E32" s="1146">
        <v>0</v>
      </c>
      <c r="F32" s="1158">
        <v>0</v>
      </c>
      <c r="G32" s="1157"/>
      <c r="H32" s="368">
        <v>0</v>
      </c>
      <c r="I32" s="369">
        <v>0</v>
      </c>
      <c r="J32" s="367">
        <v>0</v>
      </c>
      <c r="K32" s="367">
        <v>0</v>
      </c>
      <c r="L32" s="1148">
        <v>0</v>
      </c>
      <c r="M32" s="368">
        <v>0</v>
      </c>
      <c r="N32" s="1147">
        <v>0</v>
      </c>
      <c r="O32" s="1148">
        <v>0</v>
      </c>
      <c r="P32" s="1310"/>
      <c r="Q32" s="1364">
        <v>0</v>
      </c>
    </row>
    <row r="33" spans="1:17">
      <c r="B33" s="1311"/>
      <c r="C33" s="443"/>
      <c r="D33" s="1146">
        <v>0</v>
      </c>
      <c r="E33" s="1146">
        <v>0</v>
      </c>
      <c r="F33" s="1158">
        <v>0</v>
      </c>
      <c r="G33" s="1157"/>
      <c r="H33" s="368">
        <v>0</v>
      </c>
      <c r="I33" s="369">
        <v>0</v>
      </c>
      <c r="J33" s="367">
        <v>0</v>
      </c>
      <c r="K33" s="367">
        <v>0</v>
      </c>
      <c r="L33" s="1148">
        <v>0</v>
      </c>
      <c r="M33" s="368">
        <v>0</v>
      </c>
      <c r="N33" s="1147">
        <v>0</v>
      </c>
      <c r="O33" s="1148">
        <v>0</v>
      </c>
      <c r="P33" s="1310"/>
      <c r="Q33" s="1364">
        <v>0</v>
      </c>
    </row>
    <row r="34" spans="1:17" ht="16.5" thickBot="1">
      <c r="B34" s="1312"/>
      <c r="C34" s="872"/>
      <c r="D34" s="1313">
        <v>0</v>
      </c>
      <c r="E34" s="1313">
        <v>0</v>
      </c>
      <c r="F34" s="1159">
        <v>0</v>
      </c>
      <c r="G34" s="1314"/>
      <c r="H34" s="1315">
        <v>0</v>
      </c>
      <c r="I34" s="974">
        <v>0</v>
      </c>
      <c r="J34" s="978">
        <v>0</v>
      </c>
      <c r="K34" s="978">
        <v>0</v>
      </c>
      <c r="L34" s="978">
        <v>0</v>
      </c>
      <c r="M34" s="1315">
        <v>0</v>
      </c>
      <c r="N34" s="974">
        <v>0</v>
      </c>
      <c r="O34" s="978">
        <v>0</v>
      </c>
      <c r="P34" s="1316"/>
      <c r="Q34" s="1365">
        <v>0</v>
      </c>
    </row>
    <row r="35" spans="1:17" ht="16.5" thickBot="1"/>
    <row r="36" spans="1:17" ht="46.5" customHeight="1">
      <c r="B36" s="1417" t="s">
        <v>1600</v>
      </c>
      <c r="C36" s="1276"/>
      <c r="D36" s="235" t="s">
        <v>1601</v>
      </c>
      <c r="E36" s="154"/>
      <c r="F36" s="154"/>
      <c r="G36" s="154"/>
      <c r="H36" s="154"/>
      <c r="I36" s="154"/>
      <c r="J36" s="154"/>
    </row>
    <row r="37" spans="1:17" ht="19.5" customHeight="1">
      <c r="A37" s="442"/>
      <c r="B37" s="1418"/>
      <c r="C37" s="13" t="s">
        <v>1054</v>
      </c>
      <c r="D37" s="1274" t="s">
        <v>456</v>
      </c>
      <c r="E37" s="1074"/>
      <c r="F37" s="1074"/>
      <c r="G37" s="1074"/>
      <c r="H37" s="1074"/>
      <c r="I37" s="1074"/>
      <c r="J37" s="1074"/>
    </row>
    <row r="38" spans="1:17">
      <c r="B38" s="1418"/>
      <c r="C38" s="13" t="s">
        <v>1055</v>
      </c>
      <c r="D38" s="1274" t="s">
        <v>121</v>
      </c>
      <c r="E38" s="1074"/>
      <c r="F38" s="1074"/>
      <c r="G38" s="1074"/>
      <c r="H38" s="1074"/>
      <c r="I38" s="1074"/>
      <c r="J38" s="1074"/>
    </row>
    <row r="39" spans="1:17" ht="16.5" customHeight="1" thickBot="1">
      <c r="B39" s="1419"/>
      <c r="C39" s="1277" t="s">
        <v>1056</v>
      </c>
      <c r="D39" s="1159" t="s">
        <v>452</v>
      </c>
      <c r="E39" s="1074"/>
      <c r="F39" s="1074"/>
      <c r="G39" s="1074"/>
      <c r="H39" s="1074"/>
      <c r="I39" s="1074"/>
      <c r="J39" s="1074"/>
    </row>
    <row r="40" spans="1:17" ht="16.5" thickBot="1">
      <c r="B40" s="714"/>
      <c r="C40" s="714"/>
      <c r="D40" s="714"/>
      <c r="E40" s="715"/>
    </row>
    <row r="41" spans="1:17" ht="15.75" customHeight="1">
      <c r="B41" s="1430" t="s">
        <v>1053</v>
      </c>
      <c r="C41" s="430"/>
      <c r="D41" s="444" t="s">
        <v>1058</v>
      </c>
    </row>
    <row r="42" spans="1:17">
      <c r="A42" s="716"/>
      <c r="B42" s="1431"/>
      <c r="C42" s="984" t="s">
        <v>128</v>
      </c>
      <c r="D42" s="718">
        <v>0</v>
      </c>
      <c r="E42" s="716"/>
    </row>
    <row r="43" spans="1:17" ht="30.75" customHeight="1">
      <c r="A43" s="716"/>
      <c r="B43" s="1431"/>
      <c r="C43" s="984" t="s">
        <v>1564</v>
      </c>
      <c r="D43" s="718">
        <v>0</v>
      </c>
      <c r="E43" s="716"/>
    </row>
    <row r="44" spans="1:17">
      <c r="A44" s="716"/>
      <c r="B44" s="1431"/>
      <c r="C44" s="717" t="s">
        <v>129</v>
      </c>
      <c r="D44" s="718">
        <v>4.66</v>
      </c>
      <c r="E44" s="716"/>
    </row>
    <row r="45" spans="1:17">
      <c r="A45" s="716"/>
      <c r="B45" s="1431"/>
      <c r="C45" s="717" t="s">
        <v>130</v>
      </c>
      <c r="D45" s="718">
        <v>0</v>
      </c>
      <c r="E45" s="716"/>
    </row>
    <row r="46" spans="1:17" ht="16.5" thickBot="1">
      <c r="A46" s="716"/>
      <c r="B46" s="1432"/>
      <c r="C46" s="719" t="s">
        <v>131</v>
      </c>
      <c r="D46" s="720">
        <v>0</v>
      </c>
      <c r="E46" s="716"/>
    </row>
    <row r="47" spans="1:17" ht="16.5" thickBot="1">
      <c r="A47" s="716"/>
      <c r="B47" s="715"/>
      <c r="C47" s="715"/>
      <c r="D47" s="721"/>
      <c r="E47" s="716"/>
      <c r="F47" s="446"/>
    </row>
    <row r="48" spans="1:17" ht="15" customHeight="1" thickBot="1">
      <c r="B48" s="72"/>
      <c r="C48" s="72"/>
      <c r="D48" s="856" t="s">
        <v>1346</v>
      </c>
      <c r="E48" s="437" t="s">
        <v>1438</v>
      </c>
      <c r="F48" s="446"/>
    </row>
    <row r="49" spans="1:46" ht="15.75" customHeight="1">
      <c r="B49" s="1427" t="s">
        <v>1437</v>
      </c>
      <c r="C49" s="447" t="s">
        <v>1482</v>
      </c>
      <c r="D49" s="365">
        <v>3</v>
      </c>
      <c r="E49" s="365">
        <v>3</v>
      </c>
      <c r="F49" s="472"/>
    </row>
    <row r="50" spans="1:46">
      <c r="B50" s="1428"/>
      <c r="C50" s="448" t="s">
        <v>1093</v>
      </c>
      <c r="D50" s="675">
        <v>3</v>
      </c>
      <c r="E50" s="675">
        <v>3</v>
      </c>
      <c r="F50" s="472"/>
    </row>
    <row r="51" spans="1:46">
      <c r="B51" s="1428"/>
      <c r="C51" s="448" t="s">
        <v>1094</v>
      </c>
      <c r="D51" s="675">
        <v>5</v>
      </c>
      <c r="E51" s="675">
        <v>5</v>
      </c>
      <c r="F51" s="472"/>
    </row>
    <row r="52" spans="1:46">
      <c r="B52" s="1428"/>
      <c r="C52" s="448" t="s">
        <v>1187</v>
      </c>
      <c r="D52" s="675">
        <v>2</v>
      </c>
      <c r="E52" s="675">
        <v>2</v>
      </c>
      <c r="F52" s="472"/>
    </row>
    <row r="53" spans="1:46" ht="16.5" thickBot="1">
      <c r="B53" s="1429"/>
      <c r="C53" s="449" t="s">
        <v>127</v>
      </c>
      <c r="D53" s="450">
        <f>(1-((100-D49)/100*(100-D50)/100*(100-D51)/100*(100-D52)/100))*100</f>
        <v>12.402209999999991</v>
      </c>
      <c r="E53" s="450">
        <f>(1-((100-E49)/100*(100-E50)/100*(100-E51)/100*(100-E52)/100))*100</f>
        <v>12.402209999999991</v>
      </c>
      <c r="F53" s="472"/>
    </row>
    <row r="54" spans="1:46">
      <c r="A54" s="716"/>
      <c r="B54" s="715"/>
      <c r="C54" s="715"/>
      <c r="D54" s="716"/>
      <c r="E54" s="721"/>
      <c r="F54" s="471"/>
      <c r="N54" s="317"/>
    </row>
    <row r="55" spans="1:46">
      <c r="B55" s="432" t="s">
        <v>1069</v>
      </c>
      <c r="C55" s="428"/>
      <c r="D55" s="428"/>
      <c r="E55" s="433"/>
      <c r="F55" s="428"/>
      <c r="G55" s="428"/>
      <c r="H55" s="428"/>
      <c r="I55" s="428"/>
      <c r="J55" s="428"/>
      <c r="K55" s="428"/>
      <c r="L55" s="428"/>
      <c r="M55" s="428"/>
      <c r="N55" s="428"/>
      <c r="O55" s="428"/>
      <c r="P55" s="428"/>
      <c r="Q55" s="432"/>
      <c r="R55" s="428"/>
      <c r="S55" s="428"/>
      <c r="T55" s="433"/>
      <c r="U55" s="428"/>
      <c r="V55" s="428"/>
      <c r="W55" s="428"/>
      <c r="X55" s="428"/>
      <c r="Y55" s="428"/>
      <c r="Z55" s="428"/>
      <c r="AA55" s="428"/>
      <c r="AB55" s="428"/>
      <c r="AC55" s="428"/>
      <c r="AD55" s="428"/>
      <c r="AE55" s="428"/>
    </row>
    <row r="56" spans="1:46" ht="16.5" thickBot="1">
      <c r="B56" s="429"/>
      <c r="D56" s="949"/>
      <c r="E56" s="317"/>
      <c r="O56" s="12"/>
      <c r="P56" s="949"/>
      <c r="Y56" s="12"/>
      <c r="Z56" s="12"/>
      <c r="AA56" s="12"/>
    </row>
    <row r="57" spans="1:46" ht="16.5" thickBot="1">
      <c r="B57" s="1325" t="s">
        <v>1836</v>
      </c>
      <c r="D57" s="949"/>
      <c r="E57" s="317"/>
      <c r="O57" s="12"/>
      <c r="P57" s="949"/>
      <c r="R57" s="1325" t="s">
        <v>1837</v>
      </c>
      <c r="Y57" s="12"/>
      <c r="Z57" s="12"/>
      <c r="AA57" s="12"/>
      <c r="AG57" s="1394" t="s">
        <v>1839</v>
      </c>
      <c r="AH57" s="437"/>
      <c r="AN57" s="12"/>
      <c r="AO57" s="12"/>
      <c r="AP57" s="12"/>
    </row>
    <row r="58" spans="1:46" ht="16.5" thickBot="1">
      <c r="B58" s="429"/>
      <c r="D58" s="949"/>
      <c r="E58" s="317"/>
      <c r="O58" s="12"/>
      <c r="P58" s="949"/>
      <c r="Y58" s="12"/>
      <c r="Z58" s="12"/>
      <c r="AA58" s="12"/>
      <c r="AN58" s="12"/>
      <c r="AO58" s="12"/>
      <c r="AP58" s="12"/>
    </row>
    <row r="59" spans="1:46" ht="63.75" thickBot="1">
      <c r="B59" s="998"/>
      <c r="C59" s="999" t="str">
        <f>C21</f>
        <v>Cows (local)</v>
      </c>
      <c r="D59" s="999" t="str">
        <f>C22</f>
        <v>Cows (improved)</v>
      </c>
      <c r="E59" s="999" t="str">
        <f>C23</f>
        <v>Adult cattle - male</v>
      </c>
      <c r="F59" s="999" t="str">
        <f>C24</f>
        <v>Calves</v>
      </c>
      <c r="G59" s="999" t="str">
        <f>C25</f>
        <v>Steers/heifers</v>
      </c>
      <c r="H59" s="999" t="str">
        <f>C26</f>
        <v>Sheep/Goats - Ewes/Does</v>
      </c>
      <c r="I59" s="999" t="str">
        <f>C27</f>
        <v>Pigs - lactating/pregnant sows</v>
      </c>
      <c r="J59" s="999" t="str">
        <f>C28</f>
        <v>Calves</v>
      </c>
      <c r="K59" s="1149">
        <f>C29</f>
        <v>0</v>
      </c>
      <c r="L59" s="1149">
        <f>C30</f>
        <v>0</v>
      </c>
      <c r="M59" s="1149">
        <f>C31</f>
        <v>0</v>
      </c>
      <c r="N59" s="1149">
        <f>C32</f>
        <v>0</v>
      </c>
      <c r="O59" s="1149">
        <f>C33</f>
        <v>0</v>
      </c>
      <c r="P59" s="1000">
        <f>C34</f>
        <v>0</v>
      </c>
      <c r="Q59" s="30"/>
      <c r="R59" s="1001" t="str">
        <f>C59</f>
        <v>Cows (local)</v>
      </c>
      <c r="S59" s="999" t="str">
        <f>D59</f>
        <v>Cows (improved)</v>
      </c>
      <c r="T59" s="999" t="str">
        <f t="shared" ref="T59:Z59" si="0">E59</f>
        <v>Adult cattle - male</v>
      </c>
      <c r="U59" s="999" t="str">
        <f t="shared" si="0"/>
        <v>Calves</v>
      </c>
      <c r="V59" s="999" t="str">
        <f t="shared" si="0"/>
        <v>Steers/heifers</v>
      </c>
      <c r="W59" s="999" t="str">
        <f t="shared" si="0"/>
        <v>Sheep/Goats - Ewes/Does</v>
      </c>
      <c r="X59" s="999" t="str">
        <f t="shared" si="0"/>
        <v>Pigs - lactating/pregnant sows</v>
      </c>
      <c r="Y59" s="999" t="str">
        <f t="shared" si="0"/>
        <v>Calves</v>
      </c>
      <c r="Z59" s="1149">
        <f t="shared" si="0"/>
        <v>0</v>
      </c>
      <c r="AA59" s="1149">
        <f t="shared" ref="AA59:AB59" si="1">L59</f>
        <v>0</v>
      </c>
      <c r="AB59" s="1149">
        <f t="shared" si="1"/>
        <v>0</v>
      </c>
      <c r="AC59" s="1000">
        <f>N59</f>
        <v>0</v>
      </c>
      <c r="AD59" s="1000">
        <f>O59</f>
        <v>0</v>
      </c>
      <c r="AE59" s="1000">
        <f>P59</f>
        <v>0</v>
      </c>
      <c r="AG59" s="1001" t="str">
        <f>R59</f>
        <v>Cows (local)</v>
      </c>
      <c r="AH59" s="999" t="str">
        <f>S59</f>
        <v>Cows (improved)</v>
      </c>
      <c r="AI59" s="999" t="str">
        <f t="shared" ref="AI59" si="2">T59</f>
        <v>Adult cattle - male</v>
      </c>
      <c r="AJ59" s="999" t="str">
        <f t="shared" ref="AJ59" si="3">U59</f>
        <v>Calves</v>
      </c>
      <c r="AK59" s="999" t="str">
        <f t="shared" ref="AK59" si="4">V59</f>
        <v>Steers/heifers</v>
      </c>
      <c r="AL59" s="999" t="str">
        <f t="shared" ref="AL59" si="5">W59</f>
        <v>Sheep/Goats - Ewes/Does</v>
      </c>
      <c r="AM59" s="999" t="str">
        <f t="shared" ref="AM59" si="6">X59</f>
        <v>Pigs - lactating/pregnant sows</v>
      </c>
      <c r="AN59" s="999" t="str">
        <f t="shared" ref="AN59" si="7">Y59</f>
        <v>Calves</v>
      </c>
      <c r="AO59" s="1149">
        <f t="shared" ref="AO59" si="8">Z59</f>
        <v>0</v>
      </c>
      <c r="AP59" s="1149">
        <f t="shared" ref="AP59" si="9">AA59</f>
        <v>0</v>
      </c>
      <c r="AQ59" s="1149">
        <f t="shared" ref="AQ59" si="10">AB59</f>
        <v>0</v>
      </c>
      <c r="AR59" s="1000">
        <f>AC59</f>
        <v>0</v>
      </c>
      <c r="AS59" s="1000">
        <f>AD59</f>
        <v>0</v>
      </c>
      <c r="AT59" s="1000">
        <f>AE59</f>
        <v>0</v>
      </c>
    </row>
    <row r="60" spans="1:46" ht="34.5" customHeight="1">
      <c r="B60" s="996" t="s">
        <v>1621</v>
      </c>
      <c r="C60" s="997">
        <v>0</v>
      </c>
      <c r="D60" s="997">
        <v>0.05</v>
      </c>
      <c r="E60" s="997">
        <v>0</v>
      </c>
      <c r="F60" s="997">
        <v>0</v>
      </c>
      <c r="G60" s="997">
        <v>0.05</v>
      </c>
      <c r="H60" s="997">
        <v>0</v>
      </c>
      <c r="I60" s="997">
        <v>0</v>
      </c>
      <c r="J60" s="997">
        <v>0</v>
      </c>
      <c r="K60" s="997">
        <v>0</v>
      </c>
      <c r="L60" s="997">
        <v>0</v>
      </c>
      <c r="M60" s="997">
        <v>0</v>
      </c>
      <c r="N60" s="997">
        <v>0</v>
      </c>
      <c r="O60" s="997">
        <v>0</v>
      </c>
      <c r="P60" s="997">
        <v>0</v>
      </c>
      <c r="Q60" s="1411" t="str">
        <f t="shared" ref="Q60:Q66" si="11">B60</f>
        <v>Concentrate (commercial)</v>
      </c>
      <c r="R60" s="997">
        <v>0</v>
      </c>
      <c r="S60" s="997">
        <v>0.08</v>
      </c>
      <c r="T60" s="997">
        <v>0</v>
      </c>
      <c r="U60" s="997">
        <v>0</v>
      </c>
      <c r="V60" s="997">
        <v>0.08</v>
      </c>
      <c r="W60" s="997">
        <v>0</v>
      </c>
      <c r="X60" s="997">
        <v>0</v>
      </c>
      <c r="Y60" s="997">
        <v>0</v>
      </c>
      <c r="Z60" s="997">
        <v>0</v>
      </c>
      <c r="AA60" s="997">
        <v>0</v>
      </c>
      <c r="AB60" s="997">
        <v>0</v>
      </c>
      <c r="AC60" s="997">
        <v>0</v>
      </c>
      <c r="AD60" s="997">
        <v>0</v>
      </c>
      <c r="AE60" s="997">
        <v>0</v>
      </c>
      <c r="AF60" s="1393" t="str">
        <f t="shared" ref="AF60:AF66" si="12">Q60</f>
        <v>Concentrate (commercial)</v>
      </c>
      <c r="AG60" s="997">
        <v>0</v>
      </c>
      <c r="AH60" s="997">
        <v>0</v>
      </c>
      <c r="AI60" s="997">
        <v>0</v>
      </c>
      <c r="AJ60" s="997">
        <v>0</v>
      </c>
      <c r="AK60" s="997">
        <v>0</v>
      </c>
      <c r="AL60" s="997">
        <v>0</v>
      </c>
      <c r="AM60" s="997">
        <v>0</v>
      </c>
      <c r="AN60" s="997">
        <v>0</v>
      </c>
      <c r="AO60" s="997">
        <v>0</v>
      </c>
      <c r="AP60" s="997">
        <v>0</v>
      </c>
      <c r="AQ60" s="997">
        <v>0</v>
      </c>
      <c r="AR60" s="997">
        <v>0</v>
      </c>
      <c r="AS60" s="997">
        <v>0</v>
      </c>
      <c r="AT60" s="997">
        <v>0</v>
      </c>
    </row>
    <row r="61" spans="1:46" ht="34.5" customHeight="1">
      <c r="B61" s="996" t="s">
        <v>1722</v>
      </c>
      <c r="C61" s="370">
        <v>0</v>
      </c>
      <c r="D61" s="370">
        <v>0.15</v>
      </c>
      <c r="E61" s="370">
        <v>0</v>
      </c>
      <c r="F61" s="370">
        <v>0</v>
      </c>
      <c r="G61" s="370">
        <v>0.15</v>
      </c>
      <c r="H61" s="370">
        <v>0</v>
      </c>
      <c r="I61" s="370">
        <v>0</v>
      </c>
      <c r="J61" s="370">
        <v>0</v>
      </c>
      <c r="K61" s="370">
        <v>0</v>
      </c>
      <c r="L61" s="370">
        <v>0</v>
      </c>
      <c r="M61" s="370">
        <v>0</v>
      </c>
      <c r="N61" s="370">
        <v>0</v>
      </c>
      <c r="O61" s="370">
        <v>0</v>
      </c>
      <c r="P61" s="370">
        <v>0</v>
      </c>
      <c r="Q61" s="1411" t="str">
        <f t="shared" si="11"/>
        <v>Pennisetum purpureum - forage</v>
      </c>
      <c r="R61" s="370">
        <v>0</v>
      </c>
      <c r="S61" s="370">
        <v>0.08</v>
      </c>
      <c r="T61" s="370">
        <v>0</v>
      </c>
      <c r="U61" s="370">
        <v>0</v>
      </c>
      <c r="V61" s="370">
        <v>0.08</v>
      </c>
      <c r="W61" s="370">
        <v>0</v>
      </c>
      <c r="X61" s="370">
        <v>0</v>
      </c>
      <c r="Y61" s="370">
        <v>0</v>
      </c>
      <c r="Z61" s="370">
        <v>0</v>
      </c>
      <c r="AA61" s="370">
        <v>0</v>
      </c>
      <c r="AB61" s="370">
        <v>0</v>
      </c>
      <c r="AC61" s="370">
        <v>0</v>
      </c>
      <c r="AD61" s="370">
        <v>0</v>
      </c>
      <c r="AE61" s="370">
        <v>0</v>
      </c>
      <c r="AF61" s="1393" t="str">
        <f t="shared" si="12"/>
        <v>Pennisetum purpureum - forage</v>
      </c>
      <c r="AG61" s="370">
        <v>0</v>
      </c>
      <c r="AH61" s="370">
        <v>0</v>
      </c>
      <c r="AI61" s="370">
        <v>0</v>
      </c>
      <c r="AJ61" s="370">
        <v>0</v>
      </c>
      <c r="AK61" s="370">
        <v>0</v>
      </c>
      <c r="AL61" s="370">
        <v>0</v>
      </c>
      <c r="AM61" s="370">
        <v>0</v>
      </c>
      <c r="AN61" s="370">
        <v>0</v>
      </c>
      <c r="AO61" s="370">
        <v>0</v>
      </c>
      <c r="AP61" s="370">
        <v>0</v>
      </c>
      <c r="AQ61" s="370">
        <v>0</v>
      </c>
      <c r="AR61" s="370">
        <v>0</v>
      </c>
      <c r="AS61" s="370">
        <v>0</v>
      </c>
      <c r="AT61" s="370">
        <v>0</v>
      </c>
    </row>
    <row r="62" spans="1:46" ht="34.5" customHeight="1">
      <c r="B62" s="996" t="s">
        <v>1633</v>
      </c>
      <c r="C62" s="370">
        <v>0</v>
      </c>
      <c r="D62" s="370">
        <v>0.37</v>
      </c>
      <c r="E62" s="370">
        <v>0</v>
      </c>
      <c r="F62" s="370">
        <v>0</v>
      </c>
      <c r="G62" s="370">
        <v>0.37</v>
      </c>
      <c r="H62" s="370">
        <v>0</v>
      </c>
      <c r="I62" s="370">
        <v>0</v>
      </c>
      <c r="J62" s="370">
        <v>0</v>
      </c>
      <c r="K62" s="370">
        <v>0</v>
      </c>
      <c r="L62" s="370">
        <v>0</v>
      </c>
      <c r="M62" s="370">
        <v>0</v>
      </c>
      <c r="N62" s="370">
        <v>0</v>
      </c>
      <c r="O62" s="370">
        <v>0</v>
      </c>
      <c r="P62" s="370">
        <v>0</v>
      </c>
      <c r="Q62" s="1411" t="str">
        <f t="shared" si="11"/>
        <v>Rhodes grass (Chloris gayana) - forage</v>
      </c>
      <c r="R62" s="370">
        <v>0</v>
      </c>
      <c r="S62" s="370">
        <v>0.19</v>
      </c>
      <c r="T62" s="370">
        <v>0</v>
      </c>
      <c r="U62" s="370">
        <v>0</v>
      </c>
      <c r="V62" s="370">
        <v>0.19</v>
      </c>
      <c r="W62" s="370">
        <v>0</v>
      </c>
      <c r="X62" s="370">
        <v>0</v>
      </c>
      <c r="Y62" s="370">
        <v>0</v>
      </c>
      <c r="Z62" s="370">
        <v>0</v>
      </c>
      <c r="AA62" s="370">
        <v>0</v>
      </c>
      <c r="AB62" s="370">
        <v>0</v>
      </c>
      <c r="AC62" s="370">
        <v>0</v>
      </c>
      <c r="AD62" s="370">
        <v>0</v>
      </c>
      <c r="AE62" s="370">
        <v>0</v>
      </c>
      <c r="AF62" s="1393" t="str">
        <f t="shared" si="12"/>
        <v>Rhodes grass (Chloris gayana) - forage</v>
      </c>
      <c r="AG62" s="370">
        <v>0</v>
      </c>
      <c r="AH62" s="370">
        <v>0</v>
      </c>
      <c r="AI62" s="370">
        <v>0</v>
      </c>
      <c r="AJ62" s="370">
        <v>0</v>
      </c>
      <c r="AK62" s="370">
        <v>0</v>
      </c>
      <c r="AL62" s="370">
        <v>0</v>
      </c>
      <c r="AM62" s="370">
        <v>0</v>
      </c>
      <c r="AN62" s="370">
        <v>0</v>
      </c>
      <c r="AO62" s="370">
        <v>0</v>
      </c>
      <c r="AP62" s="370">
        <v>0</v>
      </c>
      <c r="AQ62" s="370">
        <v>0</v>
      </c>
      <c r="AR62" s="370">
        <v>0</v>
      </c>
      <c r="AS62" s="370">
        <v>0</v>
      </c>
      <c r="AT62" s="370">
        <v>0</v>
      </c>
    </row>
    <row r="63" spans="1:46" ht="34.5" customHeight="1">
      <c r="B63" s="996" t="s">
        <v>1862</v>
      </c>
      <c r="C63" s="370">
        <v>0</v>
      </c>
      <c r="D63" s="370">
        <v>0.05</v>
      </c>
      <c r="E63" s="370">
        <v>0</v>
      </c>
      <c r="F63" s="370">
        <v>0</v>
      </c>
      <c r="G63" s="370">
        <v>0.05</v>
      </c>
      <c r="H63" s="370">
        <v>0</v>
      </c>
      <c r="I63" s="370">
        <v>0</v>
      </c>
      <c r="J63" s="370">
        <v>0</v>
      </c>
      <c r="K63" s="370">
        <v>0</v>
      </c>
      <c r="L63" s="370">
        <v>0</v>
      </c>
      <c r="M63" s="370">
        <v>0</v>
      </c>
      <c r="N63" s="370">
        <v>0</v>
      </c>
      <c r="O63" s="370">
        <v>0</v>
      </c>
      <c r="P63" s="370">
        <v>0</v>
      </c>
      <c r="Q63" s="1411" t="str">
        <f t="shared" si="11"/>
        <v>Guatemala (Tripsacum andersonii) - forage</v>
      </c>
      <c r="R63" s="370">
        <v>0</v>
      </c>
      <c r="S63" s="370">
        <v>0.3</v>
      </c>
      <c r="T63" s="370">
        <v>0</v>
      </c>
      <c r="U63" s="370">
        <v>0</v>
      </c>
      <c r="V63" s="370">
        <v>0.3</v>
      </c>
      <c r="W63" s="370">
        <v>0</v>
      </c>
      <c r="X63" s="370">
        <v>0</v>
      </c>
      <c r="Y63" s="370">
        <v>0</v>
      </c>
      <c r="Z63" s="370">
        <v>0</v>
      </c>
      <c r="AA63" s="370">
        <v>0</v>
      </c>
      <c r="AB63" s="370">
        <v>0</v>
      </c>
      <c r="AC63" s="370">
        <v>0</v>
      </c>
      <c r="AD63" s="370">
        <v>0</v>
      </c>
      <c r="AE63" s="370">
        <v>0</v>
      </c>
      <c r="AF63" s="1393" t="str">
        <f t="shared" si="12"/>
        <v>Guatemala (Tripsacum andersonii) - forage</v>
      </c>
      <c r="AG63" s="370">
        <v>0</v>
      </c>
      <c r="AH63" s="370">
        <v>0</v>
      </c>
      <c r="AI63" s="370">
        <v>0</v>
      </c>
      <c r="AJ63" s="370">
        <v>0</v>
      </c>
      <c r="AK63" s="370">
        <v>0</v>
      </c>
      <c r="AL63" s="370">
        <v>0</v>
      </c>
      <c r="AM63" s="370">
        <v>0</v>
      </c>
      <c r="AN63" s="370">
        <v>0</v>
      </c>
      <c r="AO63" s="370">
        <v>0</v>
      </c>
      <c r="AP63" s="370">
        <v>0</v>
      </c>
      <c r="AQ63" s="370">
        <v>0</v>
      </c>
      <c r="AR63" s="370">
        <v>0</v>
      </c>
      <c r="AS63" s="370">
        <v>0</v>
      </c>
      <c r="AT63" s="370">
        <v>0</v>
      </c>
    </row>
    <row r="64" spans="1:46" ht="34.5" customHeight="1">
      <c r="B64" s="996" t="s">
        <v>1503</v>
      </c>
      <c r="C64" s="370">
        <v>0</v>
      </c>
      <c r="D64" s="370">
        <v>0.02</v>
      </c>
      <c r="E64" s="370">
        <v>0</v>
      </c>
      <c r="F64" s="370">
        <v>0</v>
      </c>
      <c r="G64" s="370">
        <v>0.02</v>
      </c>
      <c r="H64" s="370">
        <v>0</v>
      </c>
      <c r="I64" s="370">
        <v>0</v>
      </c>
      <c r="J64" s="370">
        <v>0</v>
      </c>
      <c r="K64" s="370">
        <v>0</v>
      </c>
      <c r="L64" s="370">
        <v>0</v>
      </c>
      <c r="M64" s="370">
        <v>0</v>
      </c>
      <c r="N64" s="370">
        <v>0</v>
      </c>
      <c r="O64" s="370">
        <v>0</v>
      </c>
      <c r="P64" s="370">
        <v>0</v>
      </c>
      <c r="Q64" s="1411" t="str">
        <f t="shared" si="11"/>
        <v>Maize (Zea mays) - stover</v>
      </c>
      <c r="R64" s="370">
        <v>0</v>
      </c>
      <c r="S64" s="370">
        <v>0.15</v>
      </c>
      <c r="T64" s="370">
        <v>0</v>
      </c>
      <c r="U64" s="370">
        <v>0</v>
      </c>
      <c r="V64" s="370">
        <v>0.15</v>
      </c>
      <c r="W64" s="370">
        <v>0</v>
      </c>
      <c r="X64" s="370">
        <v>0</v>
      </c>
      <c r="Y64" s="370">
        <v>0</v>
      </c>
      <c r="Z64" s="370">
        <v>0</v>
      </c>
      <c r="AA64" s="370">
        <v>0</v>
      </c>
      <c r="AB64" s="370">
        <v>0</v>
      </c>
      <c r="AC64" s="370">
        <v>0</v>
      </c>
      <c r="AD64" s="370">
        <v>0</v>
      </c>
      <c r="AE64" s="370">
        <v>0</v>
      </c>
      <c r="AF64" s="1393" t="str">
        <f t="shared" si="12"/>
        <v>Maize (Zea mays) - stover</v>
      </c>
      <c r="AG64" s="370">
        <v>0</v>
      </c>
      <c r="AH64" s="370">
        <v>0</v>
      </c>
      <c r="AI64" s="370">
        <v>0</v>
      </c>
      <c r="AJ64" s="370">
        <v>0</v>
      </c>
      <c r="AK64" s="370">
        <v>0</v>
      </c>
      <c r="AL64" s="370">
        <v>0</v>
      </c>
      <c r="AM64" s="370">
        <v>0</v>
      </c>
      <c r="AN64" s="370">
        <v>0</v>
      </c>
      <c r="AO64" s="370">
        <v>0</v>
      </c>
      <c r="AP64" s="370">
        <v>0</v>
      </c>
      <c r="AQ64" s="370">
        <v>0</v>
      </c>
      <c r="AR64" s="370">
        <v>0</v>
      </c>
      <c r="AS64" s="370">
        <v>0</v>
      </c>
      <c r="AT64" s="370">
        <v>0</v>
      </c>
    </row>
    <row r="65" spans="1:165" ht="34.5" customHeight="1">
      <c r="B65" s="996" t="s">
        <v>1509</v>
      </c>
      <c r="C65" s="370">
        <v>0</v>
      </c>
      <c r="D65" s="370">
        <v>0.36</v>
      </c>
      <c r="E65" s="370">
        <v>0</v>
      </c>
      <c r="F65" s="370">
        <v>0</v>
      </c>
      <c r="G65" s="370">
        <v>0.36</v>
      </c>
      <c r="H65" s="370">
        <v>0</v>
      </c>
      <c r="I65" s="370">
        <v>0</v>
      </c>
      <c r="J65" s="370">
        <v>0</v>
      </c>
      <c r="K65" s="370">
        <v>0</v>
      </c>
      <c r="L65" s="370">
        <v>0</v>
      </c>
      <c r="M65" s="370">
        <v>0</v>
      </c>
      <c r="N65" s="370">
        <v>0</v>
      </c>
      <c r="O65" s="370">
        <v>0</v>
      </c>
      <c r="P65" s="370">
        <v>0</v>
      </c>
      <c r="Q65" s="1411" t="str">
        <f t="shared" si="11"/>
        <v xml:space="preserve">Naturally occuring pasture - green fodder </v>
      </c>
      <c r="R65" s="370">
        <v>0</v>
      </c>
      <c r="S65" s="370">
        <v>0.2</v>
      </c>
      <c r="T65" s="370">
        <v>0</v>
      </c>
      <c r="U65" s="370">
        <v>0</v>
      </c>
      <c r="V65" s="370">
        <v>0.2</v>
      </c>
      <c r="W65" s="370">
        <v>0</v>
      </c>
      <c r="X65" s="370">
        <v>0</v>
      </c>
      <c r="Y65" s="370">
        <v>0</v>
      </c>
      <c r="Z65" s="370">
        <v>0</v>
      </c>
      <c r="AA65" s="370">
        <v>0</v>
      </c>
      <c r="AB65" s="370">
        <v>0</v>
      </c>
      <c r="AC65" s="370">
        <v>0</v>
      </c>
      <c r="AD65" s="370">
        <v>0</v>
      </c>
      <c r="AE65" s="370">
        <v>0</v>
      </c>
      <c r="AF65" s="1393" t="str">
        <f t="shared" si="12"/>
        <v xml:space="preserve">Naturally occuring pasture - green fodder </v>
      </c>
      <c r="AG65" s="370">
        <v>0</v>
      </c>
      <c r="AH65" s="370">
        <v>0</v>
      </c>
      <c r="AI65" s="370">
        <v>0</v>
      </c>
      <c r="AJ65" s="370">
        <v>0</v>
      </c>
      <c r="AK65" s="370">
        <v>0</v>
      </c>
      <c r="AL65" s="370">
        <v>0</v>
      </c>
      <c r="AM65" s="370">
        <v>0</v>
      </c>
      <c r="AN65" s="370">
        <v>0</v>
      </c>
      <c r="AO65" s="370">
        <v>0</v>
      </c>
      <c r="AP65" s="370">
        <v>0</v>
      </c>
      <c r="AQ65" s="370">
        <v>0</v>
      </c>
      <c r="AR65" s="370">
        <v>0</v>
      </c>
      <c r="AS65" s="370">
        <v>0</v>
      </c>
      <c r="AT65" s="370">
        <v>0</v>
      </c>
    </row>
    <row r="66" spans="1:165" ht="34.5" customHeight="1" thickBot="1">
      <c r="B66" s="996" t="s">
        <v>1144</v>
      </c>
      <c r="C66" s="995">
        <v>0</v>
      </c>
      <c r="D66" s="995">
        <v>0</v>
      </c>
      <c r="E66" s="995">
        <v>0</v>
      </c>
      <c r="F66" s="995">
        <v>0</v>
      </c>
      <c r="G66" s="995">
        <v>0</v>
      </c>
      <c r="H66" s="995">
        <v>0</v>
      </c>
      <c r="I66" s="995">
        <v>0</v>
      </c>
      <c r="J66" s="995">
        <v>0</v>
      </c>
      <c r="K66" s="995">
        <v>0</v>
      </c>
      <c r="L66" s="995">
        <v>0</v>
      </c>
      <c r="M66" s="995">
        <v>0</v>
      </c>
      <c r="N66" s="995">
        <v>0</v>
      </c>
      <c r="O66" s="995">
        <v>0</v>
      </c>
      <c r="P66" s="995">
        <v>0</v>
      </c>
      <c r="Q66" s="1411" t="str">
        <f t="shared" si="11"/>
        <v>N/A</v>
      </c>
      <c r="R66" s="995">
        <v>0</v>
      </c>
      <c r="S66" s="995">
        <v>0</v>
      </c>
      <c r="T66" s="995">
        <v>0</v>
      </c>
      <c r="U66" s="995">
        <v>0</v>
      </c>
      <c r="V66" s="995">
        <v>0</v>
      </c>
      <c r="W66" s="995">
        <v>0</v>
      </c>
      <c r="X66" s="995">
        <v>0</v>
      </c>
      <c r="Y66" s="995">
        <v>0</v>
      </c>
      <c r="Z66" s="995">
        <v>0</v>
      </c>
      <c r="AA66" s="995">
        <v>0</v>
      </c>
      <c r="AB66" s="995">
        <v>0</v>
      </c>
      <c r="AC66" s="995">
        <v>0</v>
      </c>
      <c r="AD66" s="995">
        <v>0</v>
      </c>
      <c r="AE66" s="995">
        <v>0</v>
      </c>
      <c r="AF66" s="1393" t="str">
        <f t="shared" si="12"/>
        <v>N/A</v>
      </c>
      <c r="AG66" s="995">
        <v>0</v>
      </c>
      <c r="AH66" s="995">
        <v>0</v>
      </c>
      <c r="AI66" s="995">
        <v>0</v>
      </c>
      <c r="AJ66" s="995">
        <v>0</v>
      </c>
      <c r="AK66" s="995">
        <v>0</v>
      </c>
      <c r="AL66" s="995">
        <v>0</v>
      </c>
      <c r="AM66" s="995">
        <v>0</v>
      </c>
      <c r="AN66" s="995">
        <v>0</v>
      </c>
      <c r="AO66" s="995">
        <v>0</v>
      </c>
      <c r="AP66" s="995">
        <v>0</v>
      </c>
      <c r="AQ66" s="995">
        <v>0</v>
      </c>
      <c r="AR66" s="995">
        <v>0</v>
      </c>
      <c r="AS66" s="995">
        <v>0</v>
      </c>
      <c r="AT66" s="995">
        <v>0</v>
      </c>
    </row>
    <row r="67" spans="1:165">
      <c r="B67" s="429"/>
      <c r="C67" s="983">
        <f>SUM(C60:C66)</f>
        <v>0</v>
      </c>
      <c r="D67" s="983">
        <f t="shared" ref="D67:M67" si="13">SUM(D60:D66)</f>
        <v>1</v>
      </c>
      <c r="E67" s="983">
        <f t="shared" si="13"/>
        <v>0</v>
      </c>
      <c r="F67" s="983">
        <f t="shared" si="13"/>
        <v>0</v>
      </c>
      <c r="G67" s="983">
        <f t="shared" si="13"/>
        <v>1</v>
      </c>
      <c r="H67" s="983">
        <f t="shared" si="13"/>
        <v>0</v>
      </c>
      <c r="I67" s="983">
        <f t="shared" si="13"/>
        <v>0</v>
      </c>
      <c r="J67" s="983">
        <f t="shared" si="13"/>
        <v>0</v>
      </c>
      <c r="K67" s="983">
        <f t="shared" si="13"/>
        <v>0</v>
      </c>
      <c r="L67" s="983">
        <f t="shared" si="13"/>
        <v>0</v>
      </c>
      <c r="M67" s="983">
        <f t="shared" si="13"/>
        <v>0</v>
      </c>
      <c r="N67" s="983">
        <f t="shared" ref="N67:AE67" si="14">SUM(N60:N66)</f>
        <v>0</v>
      </c>
      <c r="O67" s="983">
        <f t="shared" si="14"/>
        <v>0</v>
      </c>
      <c r="P67" s="983">
        <f t="shared" si="14"/>
        <v>0</v>
      </c>
      <c r="Q67" s="983"/>
      <c r="R67" s="983">
        <f t="shared" si="14"/>
        <v>0</v>
      </c>
      <c r="S67" s="983">
        <f t="shared" si="14"/>
        <v>1</v>
      </c>
      <c r="T67" s="983">
        <f t="shared" si="14"/>
        <v>0</v>
      </c>
      <c r="U67" s="983">
        <f t="shared" si="14"/>
        <v>0</v>
      </c>
      <c r="V67" s="983">
        <f t="shared" si="14"/>
        <v>1</v>
      </c>
      <c r="W67" s="983">
        <f t="shared" si="14"/>
        <v>0</v>
      </c>
      <c r="X67" s="983">
        <f t="shared" si="14"/>
        <v>0</v>
      </c>
      <c r="Y67" s="983">
        <f t="shared" si="14"/>
        <v>0</v>
      </c>
      <c r="Z67" s="983">
        <f t="shared" si="14"/>
        <v>0</v>
      </c>
      <c r="AA67" s="983">
        <f t="shared" si="14"/>
        <v>0</v>
      </c>
      <c r="AB67" s="983">
        <f t="shared" si="14"/>
        <v>0</v>
      </c>
      <c r="AC67" s="983">
        <f t="shared" si="14"/>
        <v>0</v>
      </c>
      <c r="AD67" s="983">
        <f t="shared" si="14"/>
        <v>0</v>
      </c>
      <c r="AE67" s="983">
        <f t="shared" si="14"/>
        <v>0</v>
      </c>
      <c r="AG67" s="983">
        <f t="shared" ref="AG67:AT67" si="15">SUM(AG60:AG66)</f>
        <v>0</v>
      </c>
      <c r="AH67" s="983">
        <f t="shared" si="15"/>
        <v>0</v>
      </c>
      <c r="AI67" s="983">
        <f t="shared" si="15"/>
        <v>0</v>
      </c>
      <c r="AJ67" s="983">
        <f t="shared" si="15"/>
        <v>0</v>
      </c>
      <c r="AK67" s="983">
        <f t="shared" si="15"/>
        <v>0</v>
      </c>
      <c r="AL67" s="983">
        <f t="shared" si="15"/>
        <v>0</v>
      </c>
      <c r="AM67" s="983">
        <f t="shared" si="15"/>
        <v>0</v>
      </c>
      <c r="AN67" s="983">
        <f t="shared" si="15"/>
        <v>0</v>
      </c>
      <c r="AO67" s="983">
        <f t="shared" si="15"/>
        <v>0</v>
      </c>
      <c r="AP67" s="983">
        <f t="shared" si="15"/>
        <v>0</v>
      </c>
      <c r="AQ67" s="983">
        <f t="shared" si="15"/>
        <v>0</v>
      </c>
      <c r="AR67" s="983">
        <f t="shared" si="15"/>
        <v>0</v>
      </c>
      <c r="AS67" s="983">
        <f t="shared" si="15"/>
        <v>0</v>
      </c>
      <c r="AT67" s="983">
        <f t="shared" si="15"/>
        <v>0</v>
      </c>
    </row>
    <row r="68" spans="1:165">
      <c r="B68" s="429"/>
      <c r="C68" s="429"/>
      <c r="L68" s="12"/>
      <c r="M68" s="12"/>
      <c r="N68" s="12"/>
      <c r="Q68" s="431"/>
      <c r="T68" s="454"/>
      <c r="U68" s="454"/>
      <c r="V68" s="1061"/>
      <c r="W68" s="1061"/>
      <c r="X68" s="1061"/>
      <c r="Y68" s="454"/>
      <c r="Z68" s="454"/>
      <c r="AA68" s="721"/>
      <c r="AB68" s="967"/>
      <c r="AP68" s="431"/>
    </row>
    <row r="69" spans="1:165">
      <c r="B69" s="432" t="s">
        <v>1110</v>
      </c>
      <c r="C69" s="428"/>
      <c r="D69" s="428"/>
      <c r="E69" s="428"/>
      <c r="F69" s="428"/>
      <c r="G69" s="428"/>
      <c r="H69" s="428"/>
      <c r="I69" s="428"/>
      <c r="J69" s="432"/>
      <c r="K69" s="428"/>
      <c r="L69" s="428"/>
      <c r="M69" s="452"/>
      <c r="N69" s="452"/>
      <c r="O69" s="452"/>
      <c r="P69" s="452"/>
      <c r="Q69" s="452"/>
      <c r="R69" s="452"/>
      <c r="S69" s="452"/>
      <c r="T69" s="454"/>
      <c r="U69" s="454"/>
      <c r="V69" s="454"/>
      <c r="W69" s="454"/>
      <c r="X69" s="454"/>
      <c r="Y69" s="454"/>
      <c r="Z69" s="454"/>
      <c r="AA69" s="721"/>
      <c r="AB69" s="967"/>
      <c r="AC69" s="431"/>
      <c r="AP69" s="431"/>
      <c r="BC69" s="431"/>
    </row>
    <row r="70" spans="1:165">
      <c r="B70" s="117"/>
      <c r="C70" s="429"/>
      <c r="E70" s="317"/>
      <c r="T70" s="454"/>
      <c r="U70" s="454"/>
      <c r="V70" s="454"/>
      <c r="W70" s="454"/>
      <c r="X70" s="454"/>
      <c r="Y70" s="454"/>
      <c r="Z70" s="454"/>
      <c r="AA70" s="721"/>
      <c r="AB70" s="967"/>
      <c r="AP70" s="431"/>
    </row>
    <row r="71" spans="1:165" ht="16.5" thickBot="1">
      <c r="C71" s="429"/>
      <c r="E71" s="317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4"/>
      <c r="U71" s="454"/>
      <c r="V71" s="721"/>
      <c r="W71" s="721"/>
      <c r="X71" s="454"/>
      <c r="Y71" s="454"/>
      <c r="Z71" s="721"/>
      <c r="AA71" s="721"/>
      <c r="AB71" s="431"/>
      <c r="AO71" s="431"/>
    </row>
    <row r="72" spans="1:165" ht="31.5">
      <c r="B72" s="1423" t="s">
        <v>1599</v>
      </c>
      <c r="C72" s="439" t="s">
        <v>1089</v>
      </c>
      <c r="D72" s="453" t="s">
        <v>1090</v>
      </c>
      <c r="E72" s="453" t="s">
        <v>628</v>
      </c>
      <c r="F72" s="453" t="s">
        <v>1288</v>
      </c>
      <c r="G72" s="453" t="s">
        <v>1206</v>
      </c>
      <c r="H72" s="1303"/>
      <c r="I72" s="1293" t="s">
        <v>863</v>
      </c>
      <c r="J72" s="1317" t="s">
        <v>832</v>
      </c>
      <c r="K72" s="1296" t="s">
        <v>981</v>
      </c>
      <c r="L72" s="1320" t="s">
        <v>1739</v>
      </c>
      <c r="M72" s="454"/>
      <c r="N72" s="454"/>
      <c r="O72" s="454"/>
      <c r="P72" s="454"/>
      <c r="Q72" s="454"/>
      <c r="R72" s="454"/>
      <c r="S72" s="454"/>
      <c r="T72" s="454"/>
      <c r="U72" s="721"/>
      <c r="V72" s="721"/>
      <c r="W72" s="721"/>
      <c r="X72" s="721"/>
      <c r="Y72" s="454"/>
      <c r="Z72" s="721"/>
      <c r="AA72" s="721"/>
      <c r="AO72" s="431"/>
    </row>
    <row r="73" spans="1:165" s="460" customFormat="1" ht="15.75" customHeight="1">
      <c r="A73" s="457"/>
      <c r="B73" s="1424"/>
      <c r="C73" s="971" t="str">
        <f t="shared" ref="C73:C79" si="16">B60</f>
        <v>Concentrate (commercial)</v>
      </c>
      <c r="D73" s="611" t="str">
        <f>VLOOKUP(C73,FEED_P[],9,FALSE)</f>
        <v>Purchased</v>
      </c>
      <c r="E73" s="722" t="s">
        <v>1113</v>
      </c>
      <c r="F73" s="369">
        <v>0</v>
      </c>
      <c r="G73" s="722">
        <v>0</v>
      </c>
      <c r="H73" s="1089"/>
      <c r="I73" s="723" t="s">
        <v>869</v>
      </c>
      <c r="J73" s="1318" t="s">
        <v>973</v>
      </c>
      <c r="K73" s="724">
        <v>30</v>
      </c>
      <c r="L73" s="1229" t="s">
        <v>738</v>
      </c>
      <c r="M73" s="454"/>
      <c r="N73" s="454"/>
      <c r="O73" s="454"/>
      <c r="P73" s="454"/>
      <c r="Q73" s="454"/>
      <c r="R73" s="454"/>
      <c r="S73" s="454"/>
      <c r="T73" s="454"/>
      <c r="U73" s="721"/>
      <c r="V73" s="721"/>
      <c r="W73" s="721"/>
      <c r="X73" s="721"/>
      <c r="Y73" s="721"/>
      <c r="Z73" s="721"/>
      <c r="AA73" s="429"/>
      <c r="AB73" s="429"/>
      <c r="AC73" s="429"/>
      <c r="AD73" s="429"/>
      <c r="AE73" s="429"/>
      <c r="AF73" s="429"/>
      <c r="AG73" s="429"/>
      <c r="AH73" s="429"/>
      <c r="AI73" s="429"/>
      <c r="AJ73" s="429"/>
      <c r="AK73" s="429"/>
      <c r="AL73" s="429"/>
      <c r="AM73" s="429"/>
      <c r="AN73" s="429"/>
      <c r="AO73" s="431"/>
      <c r="AP73" s="429"/>
      <c r="AQ73" s="429"/>
      <c r="AR73" s="429"/>
      <c r="AS73" s="429"/>
      <c r="AT73" s="429"/>
      <c r="AU73" s="429"/>
      <c r="AV73" s="429"/>
      <c r="AW73" s="429"/>
      <c r="AX73" s="429"/>
      <c r="AY73" s="429"/>
      <c r="AZ73" s="429"/>
      <c r="BA73" s="429"/>
      <c r="BB73" s="429"/>
      <c r="BC73" s="429"/>
      <c r="BD73" s="429"/>
      <c r="BE73" s="429"/>
      <c r="BF73" s="429"/>
      <c r="BG73" s="429"/>
      <c r="BH73" s="429"/>
      <c r="BI73" s="429"/>
      <c r="BJ73" s="429"/>
      <c r="BK73" s="429"/>
      <c r="BL73" s="429"/>
      <c r="BM73" s="429"/>
      <c r="BN73" s="429"/>
      <c r="BO73" s="429"/>
      <c r="BP73" s="429"/>
      <c r="BQ73" s="429"/>
      <c r="BR73" s="429"/>
      <c r="BS73" s="429"/>
      <c r="BT73" s="429"/>
      <c r="BU73" s="429"/>
      <c r="BV73" s="429"/>
      <c r="BW73" s="429"/>
      <c r="BX73" s="429"/>
      <c r="BY73" s="429"/>
      <c r="BZ73" s="429"/>
      <c r="CA73" s="429"/>
      <c r="CB73" s="429"/>
      <c r="CC73" s="429"/>
      <c r="CD73" s="429"/>
      <c r="CE73" s="429"/>
      <c r="CF73" s="429"/>
      <c r="CG73" s="429"/>
      <c r="CH73" s="429"/>
      <c r="CI73" s="429"/>
      <c r="CJ73" s="429"/>
      <c r="CK73" s="429"/>
      <c r="CL73" s="429"/>
      <c r="CM73" s="429"/>
      <c r="CN73" s="429"/>
      <c r="CO73" s="429"/>
      <c r="CP73" s="429"/>
      <c r="CQ73" s="429"/>
      <c r="CR73" s="429"/>
      <c r="CS73" s="429"/>
      <c r="CT73" s="429"/>
      <c r="CU73" s="429"/>
      <c r="CV73" s="429"/>
      <c r="CW73" s="429"/>
      <c r="CX73" s="429"/>
      <c r="CY73" s="429"/>
      <c r="CZ73" s="429"/>
      <c r="DA73" s="429"/>
      <c r="DB73" s="429"/>
      <c r="DC73" s="429"/>
      <c r="DD73" s="429"/>
      <c r="DE73" s="429"/>
      <c r="DF73" s="429"/>
      <c r="DG73" s="429"/>
      <c r="DH73" s="429"/>
      <c r="DI73" s="429"/>
      <c r="DJ73" s="429"/>
      <c r="DK73" s="429"/>
      <c r="DL73" s="429"/>
      <c r="DM73" s="429"/>
      <c r="DN73" s="429"/>
      <c r="DO73" s="429"/>
      <c r="DP73" s="429"/>
      <c r="DQ73" s="429"/>
      <c r="DR73" s="429"/>
      <c r="DS73" s="429"/>
      <c r="DT73" s="429"/>
      <c r="DU73" s="429"/>
      <c r="DV73" s="429"/>
      <c r="DW73" s="429"/>
      <c r="DX73" s="429"/>
      <c r="DY73" s="429"/>
      <c r="DZ73" s="429"/>
      <c r="EA73" s="429"/>
      <c r="EB73" s="429"/>
      <c r="EC73" s="429"/>
      <c r="ED73" s="429"/>
      <c r="EE73" s="429"/>
      <c r="EF73" s="429"/>
      <c r="EG73" s="429"/>
      <c r="EH73" s="429"/>
      <c r="EI73" s="429"/>
      <c r="EJ73" s="429"/>
      <c r="EK73" s="429"/>
      <c r="EL73" s="429"/>
      <c r="EM73" s="429"/>
      <c r="EN73" s="429"/>
      <c r="EO73" s="429"/>
      <c r="EP73" s="429"/>
      <c r="EQ73" s="429"/>
      <c r="ER73" s="429"/>
      <c r="ES73" s="429"/>
      <c r="ET73" s="429"/>
      <c r="EU73" s="429"/>
      <c r="EV73" s="429"/>
      <c r="EW73" s="429"/>
      <c r="EX73" s="429"/>
      <c r="EY73" s="429"/>
      <c r="EZ73" s="429"/>
      <c r="FA73" s="429"/>
      <c r="FB73" s="429"/>
      <c r="FC73" s="429"/>
      <c r="FD73" s="429"/>
      <c r="FE73" s="429"/>
      <c r="FF73" s="429"/>
      <c r="FG73" s="429"/>
      <c r="FH73" s="429"/>
      <c r="FI73" s="429"/>
    </row>
    <row r="74" spans="1:165" s="460" customFormat="1" ht="15.75" customHeight="1">
      <c r="A74" s="716"/>
      <c r="B74" s="1424"/>
      <c r="C74" s="971" t="str">
        <f t="shared" si="16"/>
        <v>Pennisetum purpureum - forage</v>
      </c>
      <c r="D74" s="611" t="str">
        <f>VLOOKUP(C74,FEED_P[],9,FALSE)</f>
        <v>Pennisetum purpureum</v>
      </c>
      <c r="E74" s="722" t="s">
        <v>1096</v>
      </c>
      <c r="F74" s="369">
        <v>0</v>
      </c>
      <c r="G74" s="722">
        <v>0</v>
      </c>
      <c r="H74" s="1089"/>
      <c r="I74" s="723" t="s">
        <v>885</v>
      </c>
      <c r="J74" s="1318" t="s">
        <v>973</v>
      </c>
      <c r="K74" s="724">
        <v>30</v>
      </c>
      <c r="L74" s="1229" t="s">
        <v>738</v>
      </c>
      <c r="M74" s="454"/>
      <c r="N74" s="454"/>
      <c r="O74" s="454"/>
      <c r="P74" s="454"/>
      <c r="Q74" s="454"/>
      <c r="R74" s="454"/>
      <c r="S74" s="454"/>
      <c r="T74" s="721"/>
      <c r="U74" s="721"/>
      <c r="V74" s="721"/>
      <c r="W74" s="721"/>
      <c r="X74" s="721"/>
      <c r="Y74" s="721"/>
      <c r="Z74" s="721"/>
      <c r="AA74" s="464"/>
      <c r="AB74" s="429"/>
      <c r="AC74" s="429"/>
      <c r="AD74" s="429"/>
      <c r="AE74" s="429"/>
      <c r="AF74" s="429"/>
      <c r="AG74" s="429"/>
      <c r="AH74" s="429"/>
      <c r="AI74" s="429"/>
      <c r="AJ74" s="429"/>
      <c r="AK74" s="429"/>
      <c r="AL74" s="429"/>
      <c r="AM74" s="429"/>
      <c r="AN74" s="429"/>
      <c r="AO74" s="431"/>
      <c r="AP74" s="429"/>
      <c r="AQ74" s="429"/>
      <c r="AR74" s="429"/>
      <c r="AS74" s="429"/>
      <c r="AT74" s="429"/>
      <c r="AU74" s="429"/>
      <c r="AV74" s="429"/>
      <c r="AW74" s="429"/>
      <c r="AX74" s="429"/>
      <c r="AY74" s="429"/>
      <c r="AZ74" s="429"/>
      <c r="BA74" s="429"/>
      <c r="BB74" s="429"/>
      <c r="BC74" s="429"/>
      <c r="BD74" s="429"/>
      <c r="BE74" s="429"/>
      <c r="BF74" s="429"/>
      <c r="BG74" s="429"/>
      <c r="BH74" s="429"/>
      <c r="BI74" s="429"/>
      <c r="BJ74" s="429"/>
      <c r="BK74" s="429"/>
      <c r="BL74" s="429"/>
      <c r="BM74" s="429"/>
      <c r="BN74" s="429"/>
      <c r="BO74" s="429"/>
      <c r="BP74" s="429"/>
      <c r="BQ74" s="429"/>
      <c r="BR74" s="429"/>
      <c r="BS74" s="429"/>
      <c r="BT74" s="429"/>
      <c r="BU74" s="429"/>
      <c r="BV74" s="429"/>
      <c r="BW74" s="429"/>
      <c r="BX74" s="429"/>
      <c r="BY74" s="429"/>
      <c r="BZ74" s="429"/>
      <c r="CA74" s="429"/>
      <c r="CB74" s="429"/>
      <c r="CC74" s="429"/>
      <c r="CD74" s="429"/>
      <c r="CE74" s="429"/>
      <c r="CF74" s="429"/>
      <c r="CG74" s="429"/>
      <c r="CH74" s="429"/>
      <c r="CI74" s="429"/>
      <c r="CJ74" s="429"/>
      <c r="CK74" s="429"/>
      <c r="CL74" s="429"/>
      <c r="CM74" s="429"/>
      <c r="CN74" s="429"/>
      <c r="CO74" s="429"/>
      <c r="CP74" s="429"/>
      <c r="CQ74" s="429"/>
      <c r="CR74" s="429"/>
      <c r="CS74" s="429"/>
      <c r="CT74" s="429"/>
      <c r="CU74" s="429"/>
      <c r="CV74" s="429"/>
      <c r="CW74" s="429"/>
      <c r="CX74" s="429"/>
      <c r="CY74" s="429"/>
      <c r="CZ74" s="429"/>
      <c r="DA74" s="429"/>
      <c r="DB74" s="429"/>
      <c r="DC74" s="429"/>
      <c r="DD74" s="429"/>
      <c r="DE74" s="429"/>
      <c r="DF74" s="429"/>
      <c r="DG74" s="429"/>
      <c r="DH74" s="429"/>
      <c r="DI74" s="429"/>
      <c r="DJ74" s="429"/>
      <c r="DK74" s="429"/>
      <c r="DL74" s="429"/>
      <c r="DM74" s="429"/>
      <c r="DN74" s="429"/>
      <c r="DO74" s="429"/>
      <c r="DP74" s="429"/>
      <c r="DQ74" s="429"/>
      <c r="DR74" s="429"/>
      <c r="DS74" s="429"/>
      <c r="DT74" s="429"/>
      <c r="DU74" s="429"/>
      <c r="DV74" s="429"/>
      <c r="DW74" s="429"/>
      <c r="DX74" s="429"/>
      <c r="DY74" s="429"/>
      <c r="DZ74" s="429"/>
      <c r="EA74" s="429"/>
      <c r="EB74" s="429"/>
      <c r="EC74" s="429"/>
      <c r="ED74" s="429"/>
      <c r="EE74" s="429"/>
      <c r="EF74" s="429"/>
      <c r="EG74" s="429"/>
      <c r="EH74" s="429"/>
      <c r="EI74" s="429"/>
      <c r="EJ74" s="429"/>
      <c r="EK74" s="429"/>
      <c r="EL74" s="429"/>
      <c r="EM74" s="429"/>
      <c r="EN74" s="429"/>
      <c r="EO74" s="429"/>
      <c r="EP74" s="429"/>
      <c r="EQ74" s="429"/>
      <c r="ER74" s="429"/>
      <c r="ES74" s="429"/>
      <c r="ET74" s="429"/>
      <c r="EU74" s="429"/>
      <c r="EV74" s="429"/>
      <c r="EW74" s="429"/>
      <c r="EX74" s="429"/>
      <c r="EY74" s="429"/>
      <c r="EZ74" s="429"/>
      <c r="FA74" s="429"/>
      <c r="FB74" s="429"/>
      <c r="FC74" s="429"/>
      <c r="FD74" s="429"/>
      <c r="FE74" s="429"/>
      <c r="FF74" s="429"/>
      <c r="FG74" s="429"/>
      <c r="FH74" s="429"/>
      <c r="FI74" s="429"/>
    </row>
    <row r="75" spans="1:165" s="460" customFormat="1" ht="15.75" customHeight="1">
      <c r="A75" s="716"/>
      <c r="B75" s="1424"/>
      <c r="C75" s="971" t="str">
        <f t="shared" si="16"/>
        <v>Rhodes grass (Chloris gayana) - forage</v>
      </c>
      <c r="D75" s="611" t="str">
        <f>VLOOKUP(C75,FEED_P[],9,FALSE)</f>
        <v>Rhodes</v>
      </c>
      <c r="E75" s="722" t="s">
        <v>1096</v>
      </c>
      <c r="F75" s="369">
        <v>0</v>
      </c>
      <c r="G75" s="722">
        <v>0</v>
      </c>
      <c r="H75" s="1089"/>
      <c r="I75" s="723" t="s">
        <v>885</v>
      </c>
      <c r="J75" s="1318" t="s">
        <v>973</v>
      </c>
      <c r="K75" s="724">
        <v>30</v>
      </c>
      <c r="L75" s="1229" t="s">
        <v>738</v>
      </c>
      <c r="M75" s="454"/>
      <c r="N75" s="454"/>
      <c r="O75" s="454"/>
      <c r="P75" s="454"/>
      <c r="Q75" s="454"/>
      <c r="R75" s="454"/>
      <c r="S75" s="454"/>
      <c r="T75" s="721"/>
      <c r="U75" s="721"/>
      <c r="V75" s="721"/>
      <c r="W75" s="721"/>
      <c r="X75" s="721"/>
      <c r="Y75" s="721"/>
      <c r="Z75" s="721"/>
      <c r="AA75" s="452"/>
      <c r="AB75" s="429"/>
      <c r="AC75" s="429"/>
      <c r="AD75" s="429"/>
      <c r="AE75" s="429"/>
      <c r="AF75" s="429"/>
      <c r="AG75" s="429"/>
      <c r="AH75" s="429"/>
      <c r="AI75" s="431"/>
      <c r="AJ75" s="429"/>
      <c r="AK75" s="429"/>
      <c r="AL75" s="429"/>
      <c r="AM75" s="429"/>
      <c r="AN75" s="429"/>
      <c r="AO75" s="431"/>
      <c r="AP75" s="429"/>
      <c r="AQ75" s="429"/>
      <c r="AR75" s="429"/>
      <c r="AS75" s="429"/>
      <c r="AT75" s="429"/>
      <c r="AU75" s="429"/>
      <c r="AV75" s="429"/>
      <c r="AW75" s="429"/>
      <c r="AX75" s="429"/>
      <c r="AY75" s="429"/>
      <c r="AZ75" s="429"/>
      <c r="BA75" s="429"/>
      <c r="BB75" s="429"/>
      <c r="BC75" s="429"/>
      <c r="BD75" s="429"/>
      <c r="BE75" s="429"/>
      <c r="BF75" s="429"/>
      <c r="BG75" s="429"/>
      <c r="BH75" s="429"/>
      <c r="BI75" s="429"/>
      <c r="BJ75" s="429"/>
      <c r="BK75" s="429"/>
      <c r="BL75" s="429"/>
      <c r="BM75" s="429"/>
      <c r="BN75" s="429"/>
      <c r="BO75" s="429"/>
      <c r="BP75" s="429"/>
      <c r="BQ75" s="429"/>
      <c r="BR75" s="429"/>
      <c r="BS75" s="429"/>
      <c r="BT75" s="429"/>
      <c r="BU75" s="429"/>
      <c r="BV75" s="429"/>
      <c r="BW75" s="429"/>
      <c r="BX75" s="429"/>
      <c r="BY75" s="429"/>
      <c r="BZ75" s="429"/>
      <c r="CA75" s="429"/>
      <c r="CB75" s="429"/>
      <c r="CC75" s="429"/>
      <c r="CD75" s="429"/>
      <c r="CE75" s="429"/>
      <c r="CF75" s="429"/>
      <c r="CG75" s="429"/>
      <c r="CH75" s="429"/>
      <c r="CI75" s="429"/>
      <c r="CJ75" s="429"/>
      <c r="CK75" s="429"/>
      <c r="CL75" s="429"/>
      <c r="CM75" s="429"/>
      <c r="CN75" s="429"/>
      <c r="CO75" s="429"/>
      <c r="CP75" s="429"/>
      <c r="CQ75" s="429"/>
      <c r="CR75" s="429"/>
      <c r="CS75" s="429"/>
      <c r="CT75" s="429"/>
      <c r="CU75" s="429"/>
      <c r="CV75" s="429"/>
      <c r="CW75" s="429"/>
      <c r="CX75" s="429"/>
      <c r="CY75" s="429"/>
      <c r="CZ75" s="429"/>
      <c r="DA75" s="429"/>
      <c r="DB75" s="429"/>
      <c r="DC75" s="429"/>
      <c r="DD75" s="429"/>
      <c r="DE75" s="429"/>
      <c r="DF75" s="429"/>
      <c r="DG75" s="429"/>
      <c r="DH75" s="429"/>
      <c r="DI75" s="429"/>
      <c r="DJ75" s="429"/>
      <c r="DK75" s="429"/>
      <c r="DL75" s="429"/>
      <c r="DM75" s="429"/>
      <c r="DN75" s="429"/>
      <c r="DO75" s="429"/>
      <c r="DP75" s="429"/>
      <c r="DQ75" s="429"/>
      <c r="DR75" s="429"/>
      <c r="DS75" s="429"/>
      <c r="DT75" s="429"/>
      <c r="DU75" s="429"/>
      <c r="DV75" s="429"/>
      <c r="DW75" s="429"/>
      <c r="DX75" s="429"/>
      <c r="DY75" s="429"/>
      <c r="DZ75" s="429"/>
      <c r="EA75" s="429"/>
      <c r="EB75" s="429"/>
      <c r="EC75" s="429"/>
      <c r="ED75" s="429"/>
      <c r="EE75" s="429"/>
      <c r="EF75" s="429"/>
      <c r="EG75" s="429"/>
      <c r="EH75" s="429"/>
      <c r="EI75" s="429"/>
      <c r="EJ75" s="429"/>
      <c r="EK75" s="429"/>
      <c r="EL75" s="429"/>
      <c r="EM75" s="429"/>
      <c r="EN75" s="429"/>
      <c r="EO75" s="429"/>
      <c r="EP75" s="429"/>
      <c r="EQ75" s="429"/>
      <c r="ER75" s="429"/>
      <c r="ES75" s="429"/>
      <c r="ET75" s="429"/>
      <c r="EU75" s="429"/>
      <c r="EV75" s="429"/>
      <c r="EW75" s="429"/>
      <c r="EX75" s="429"/>
      <c r="EY75" s="429"/>
      <c r="EZ75" s="429"/>
      <c r="FA75" s="429"/>
      <c r="FB75" s="429"/>
      <c r="FC75" s="429"/>
      <c r="FD75" s="429"/>
      <c r="FE75" s="429"/>
      <c r="FF75" s="429"/>
      <c r="FG75" s="429"/>
      <c r="FH75" s="429"/>
      <c r="FI75" s="429"/>
    </row>
    <row r="76" spans="1:165" s="460" customFormat="1" ht="15.75" customHeight="1">
      <c r="A76" s="716"/>
      <c r="B76" s="1424"/>
      <c r="C76" s="971" t="str">
        <f t="shared" si="16"/>
        <v>Guatemala (Tripsacum andersonii) - forage</v>
      </c>
      <c r="D76" s="611" t="str">
        <f>VLOOKUP(C76,FEED_P[],9,FALSE)</f>
        <v>Guatemala</v>
      </c>
      <c r="E76" s="722" t="s">
        <v>1096</v>
      </c>
      <c r="F76" s="369">
        <v>0</v>
      </c>
      <c r="G76" s="722">
        <v>0</v>
      </c>
      <c r="H76" s="1089"/>
      <c r="I76" s="723" t="s">
        <v>871</v>
      </c>
      <c r="J76" s="1318" t="s">
        <v>973</v>
      </c>
      <c r="K76" s="724">
        <v>30</v>
      </c>
      <c r="L76" s="1229" t="s">
        <v>738</v>
      </c>
      <c r="M76" s="454"/>
      <c r="N76" s="454"/>
      <c r="O76" s="454"/>
      <c r="P76" s="454"/>
      <c r="Q76" s="454"/>
      <c r="R76" s="454"/>
      <c r="S76" s="454"/>
      <c r="T76" s="721"/>
      <c r="U76" s="721"/>
      <c r="V76" s="429"/>
      <c r="W76" s="721"/>
      <c r="X76" s="721"/>
      <c r="Y76" s="721"/>
      <c r="Z76" s="429"/>
      <c r="AA76" s="452"/>
      <c r="AB76" s="429"/>
      <c r="AC76" s="429"/>
      <c r="AD76" s="429"/>
      <c r="AE76" s="429"/>
      <c r="AF76" s="429"/>
      <c r="AG76" s="429"/>
      <c r="AH76" s="429"/>
      <c r="AI76" s="429"/>
      <c r="AJ76" s="429"/>
      <c r="AK76" s="429"/>
      <c r="AL76" s="429"/>
      <c r="AM76" s="429"/>
      <c r="AN76" s="429"/>
      <c r="AO76" s="431"/>
      <c r="AP76" s="429"/>
      <c r="AQ76" s="429"/>
      <c r="AR76" s="429"/>
      <c r="AS76" s="429"/>
      <c r="AT76" s="429"/>
      <c r="AU76" s="429"/>
      <c r="AV76" s="429"/>
      <c r="AW76" s="429"/>
      <c r="AX76" s="429"/>
      <c r="AY76" s="429"/>
      <c r="AZ76" s="429"/>
      <c r="BA76" s="429"/>
      <c r="BB76" s="429"/>
      <c r="BC76" s="429"/>
      <c r="BD76" s="429"/>
      <c r="BE76" s="429"/>
      <c r="BF76" s="429"/>
      <c r="BG76" s="429"/>
      <c r="BH76" s="429"/>
      <c r="BI76" s="429"/>
      <c r="BJ76" s="429"/>
      <c r="BK76" s="429"/>
      <c r="BL76" s="429"/>
      <c r="BM76" s="429"/>
      <c r="BN76" s="429"/>
      <c r="BO76" s="429"/>
      <c r="BP76" s="429"/>
      <c r="BQ76" s="429"/>
      <c r="BR76" s="429"/>
      <c r="BS76" s="429"/>
      <c r="BT76" s="429"/>
      <c r="BU76" s="429"/>
      <c r="BV76" s="429"/>
      <c r="BW76" s="429"/>
      <c r="BX76" s="429"/>
      <c r="BY76" s="429"/>
      <c r="BZ76" s="429"/>
      <c r="CA76" s="429"/>
      <c r="CB76" s="429"/>
      <c r="CC76" s="429"/>
      <c r="CD76" s="429"/>
      <c r="CE76" s="429"/>
      <c r="CF76" s="429"/>
      <c r="CG76" s="429"/>
      <c r="CH76" s="429"/>
      <c r="CI76" s="429"/>
      <c r="CJ76" s="429"/>
      <c r="CK76" s="429"/>
      <c r="CL76" s="429"/>
      <c r="CM76" s="429"/>
      <c r="CN76" s="429"/>
      <c r="CO76" s="429"/>
      <c r="CP76" s="429"/>
      <c r="CQ76" s="429"/>
      <c r="CR76" s="429"/>
      <c r="CS76" s="429"/>
      <c r="CT76" s="429"/>
      <c r="CU76" s="429"/>
      <c r="CV76" s="429"/>
      <c r="CW76" s="429"/>
      <c r="CX76" s="429"/>
      <c r="CY76" s="429"/>
      <c r="CZ76" s="429"/>
      <c r="DA76" s="429"/>
      <c r="DB76" s="429"/>
      <c r="DC76" s="429"/>
      <c r="DD76" s="429"/>
      <c r="DE76" s="429"/>
      <c r="DF76" s="429"/>
      <c r="DG76" s="429"/>
      <c r="DH76" s="429"/>
      <c r="DI76" s="429"/>
      <c r="DJ76" s="429"/>
      <c r="DK76" s="429"/>
      <c r="DL76" s="429"/>
      <c r="DM76" s="429"/>
      <c r="DN76" s="429"/>
      <c r="DO76" s="429"/>
      <c r="DP76" s="429"/>
      <c r="DQ76" s="429"/>
      <c r="DR76" s="429"/>
      <c r="DS76" s="429"/>
      <c r="DT76" s="429"/>
      <c r="DU76" s="429"/>
      <c r="DV76" s="429"/>
      <c r="DW76" s="429"/>
      <c r="DX76" s="429"/>
      <c r="DY76" s="429"/>
      <c r="DZ76" s="429"/>
      <c r="EA76" s="429"/>
      <c r="EB76" s="429"/>
      <c r="EC76" s="429"/>
      <c r="ED76" s="429"/>
      <c r="EE76" s="429"/>
      <c r="EF76" s="429"/>
      <c r="EG76" s="429"/>
      <c r="EH76" s="429"/>
      <c r="EI76" s="429"/>
      <c r="EJ76" s="429"/>
      <c r="EK76" s="429"/>
      <c r="EL76" s="429"/>
      <c r="EM76" s="429"/>
      <c r="EN76" s="429"/>
      <c r="EO76" s="429"/>
      <c r="EP76" s="429"/>
      <c r="EQ76" s="429"/>
      <c r="ER76" s="429"/>
      <c r="ES76" s="429"/>
      <c r="ET76" s="429"/>
      <c r="EU76" s="429"/>
      <c r="EV76" s="429"/>
      <c r="EW76" s="429"/>
      <c r="EX76" s="429"/>
      <c r="EY76" s="429"/>
      <c r="EZ76" s="429"/>
      <c r="FA76" s="429"/>
      <c r="FB76" s="429"/>
      <c r="FC76" s="429"/>
      <c r="FD76" s="429"/>
      <c r="FE76" s="429"/>
      <c r="FF76" s="429"/>
      <c r="FG76" s="429"/>
      <c r="FH76" s="429"/>
      <c r="FI76" s="429"/>
    </row>
    <row r="77" spans="1:165" s="460" customFormat="1" ht="15.75" customHeight="1">
      <c r="A77" s="716"/>
      <c r="B77" s="1424"/>
      <c r="C77" s="971" t="str">
        <f t="shared" si="16"/>
        <v>Maize (Zea mays) - stover</v>
      </c>
      <c r="D77" s="611" t="str">
        <f>VLOOKUP(C77,FEED_P[],9,FALSE)</f>
        <v>Maize</v>
      </c>
      <c r="E77" s="722" t="s">
        <v>1097</v>
      </c>
      <c r="F77" s="369">
        <v>0</v>
      </c>
      <c r="G77" s="722">
        <v>0</v>
      </c>
      <c r="H77" s="1089"/>
      <c r="I77" s="723" t="s">
        <v>378</v>
      </c>
      <c r="J77" s="1318" t="s">
        <v>973</v>
      </c>
      <c r="K77" s="724">
        <v>30</v>
      </c>
      <c r="L77" s="1229" t="s">
        <v>738</v>
      </c>
      <c r="M77" s="454"/>
      <c r="N77" s="454"/>
      <c r="O77" s="454"/>
      <c r="P77" s="454"/>
      <c r="Q77" s="454"/>
      <c r="R77" s="454"/>
      <c r="S77" s="454"/>
      <c r="T77" s="721"/>
      <c r="U77" s="721"/>
      <c r="V77" s="455"/>
      <c r="W77" s="429"/>
      <c r="X77" s="721"/>
      <c r="Y77" s="721"/>
      <c r="Z77" s="455"/>
      <c r="AA77" s="452"/>
      <c r="AB77" s="429"/>
      <c r="AC77" s="429"/>
      <c r="AD77" s="429"/>
      <c r="AE77" s="429"/>
      <c r="AF77" s="429"/>
      <c r="AG77" s="429"/>
      <c r="AH77" s="429"/>
      <c r="AI77" s="429"/>
      <c r="AJ77" s="429"/>
      <c r="AK77" s="429"/>
      <c r="AL77" s="429"/>
      <c r="AM77" s="429"/>
      <c r="AN77" s="429"/>
      <c r="AO77" s="431"/>
      <c r="AP77" s="429"/>
      <c r="AQ77" s="429"/>
      <c r="AR77" s="429"/>
      <c r="AS77" s="429"/>
      <c r="AT77" s="429"/>
      <c r="AU77" s="429"/>
      <c r="AV77" s="429"/>
      <c r="AW77" s="429"/>
      <c r="AX77" s="429"/>
      <c r="AY77" s="429"/>
      <c r="AZ77" s="429"/>
      <c r="BA77" s="429"/>
      <c r="BB77" s="429"/>
      <c r="BC77" s="429"/>
      <c r="BD77" s="429"/>
      <c r="BE77" s="429"/>
      <c r="BF77" s="429"/>
      <c r="BG77" s="429"/>
      <c r="BH77" s="429"/>
      <c r="BI77" s="429"/>
      <c r="BJ77" s="429"/>
      <c r="BK77" s="429"/>
      <c r="BL77" s="429"/>
      <c r="BM77" s="429"/>
      <c r="BN77" s="429"/>
      <c r="BO77" s="429"/>
      <c r="BP77" s="429"/>
      <c r="BQ77" s="429"/>
      <c r="BR77" s="429"/>
      <c r="BS77" s="429"/>
      <c r="BT77" s="429"/>
      <c r="BU77" s="429"/>
      <c r="BV77" s="429"/>
      <c r="BW77" s="429"/>
      <c r="BX77" s="429"/>
      <c r="BY77" s="429"/>
      <c r="BZ77" s="429"/>
      <c r="CA77" s="429"/>
      <c r="CB77" s="429"/>
      <c r="CC77" s="429"/>
      <c r="CD77" s="429"/>
      <c r="CE77" s="429"/>
      <c r="CF77" s="429"/>
      <c r="CG77" s="429"/>
      <c r="CH77" s="429"/>
      <c r="CI77" s="429"/>
      <c r="CJ77" s="429"/>
      <c r="CK77" s="429"/>
      <c r="CL77" s="429"/>
      <c r="CM77" s="429"/>
      <c r="CN77" s="429"/>
      <c r="CO77" s="429"/>
      <c r="CP77" s="429"/>
      <c r="CQ77" s="429"/>
      <c r="CR77" s="429"/>
      <c r="CS77" s="429"/>
      <c r="CT77" s="429"/>
      <c r="CU77" s="429"/>
      <c r="CV77" s="429"/>
      <c r="CW77" s="429"/>
      <c r="CX77" s="429"/>
      <c r="CY77" s="429"/>
      <c r="CZ77" s="429"/>
      <c r="DA77" s="429"/>
      <c r="DB77" s="429"/>
      <c r="DC77" s="429"/>
      <c r="DD77" s="429"/>
      <c r="DE77" s="429"/>
      <c r="DF77" s="429"/>
      <c r="DG77" s="429"/>
      <c r="DH77" s="429"/>
      <c r="DI77" s="429"/>
      <c r="DJ77" s="429"/>
      <c r="DK77" s="429"/>
      <c r="DL77" s="429"/>
      <c r="DM77" s="429"/>
      <c r="DN77" s="429"/>
      <c r="DO77" s="429"/>
      <c r="DP77" s="429"/>
      <c r="DQ77" s="429"/>
      <c r="DR77" s="429"/>
      <c r="DS77" s="429"/>
      <c r="DT77" s="429"/>
      <c r="DU77" s="429"/>
      <c r="DV77" s="429"/>
      <c r="DW77" s="429"/>
      <c r="DX77" s="429"/>
      <c r="DY77" s="429"/>
      <c r="DZ77" s="429"/>
      <c r="EA77" s="429"/>
      <c r="EB77" s="429"/>
      <c r="EC77" s="429"/>
      <c r="ED77" s="429"/>
      <c r="EE77" s="429"/>
      <c r="EF77" s="429"/>
      <c r="EG77" s="429"/>
      <c r="EH77" s="429"/>
      <c r="EI77" s="429"/>
      <c r="EJ77" s="429"/>
      <c r="EK77" s="429"/>
      <c r="EL77" s="429"/>
      <c r="EM77" s="429"/>
      <c r="EN77" s="429"/>
      <c r="EO77" s="429"/>
      <c r="EP77" s="429"/>
      <c r="EQ77" s="429"/>
      <c r="ER77" s="429"/>
      <c r="ES77" s="429"/>
      <c r="ET77" s="429"/>
      <c r="EU77" s="429"/>
      <c r="EV77" s="429"/>
      <c r="EW77" s="429"/>
      <c r="EX77" s="429"/>
      <c r="EY77" s="429"/>
      <c r="EZ77" s="429"/>
      <c r="FA77" s="429"/>
      <c r="FB77" s="429"/>
      <c r="FC77" s="429"/>
      <c r="FD77" s="429"/>
      <c r="FE77" s="429"/>
      <c r="FF77" s="429"/>
      <c r="FG77" s="429"/>
      <c r="FH77" s="429"/>
      <c r="FI77" s="429"/>
    </row>
    <row r="78" spans="1:165" s="460" customFormat="1" ht="16.5" customHeight="1">
      <c r="A78" s="716"/>
      <c r="B78" s="1424"/>
      <c r="C78" s="971" t="str">
        <f t="shared" si="16"/>
        <v xml:space="preserve">Naturally occuring pasture - green fodder </v>
      </c>
      <c r="D78" s="611" t="str">
        <f>VLOOKUP(C78,FEED_P[],9,FALSE)</f>
        <v>Natural pasture</v>
      </c>
      <c r="E78" s="722" t="s">
        <v>1096</v>
      </c>
      <c r="F78" s="369">
        <v>0</v>
      </c>
      <c r="G78" s="722">
        <v>0</v>
      </c>
      <c r="H78" s="1089"/>
      <c r="I78" s="723" t="s">
        <v>871</v>
      </c>
      <c r="J78" s="1318" t="s">
        <v>973</v>
      </c>
      <c r="K78" s="724">
        <v>30</v>
      </c>
      <c r="L78" s="1229" t="s">
        <v>738</v>
      </c>
      <c r="M78" s="454"/>
      <c r="N78" s="454"/>
      <c r="O78" s="454"/>
      <c r="P78" s="454"/>
      <c r="Q78" s="454"/>
      <c r="R78" s="454"/>
      <c r="S78" s="454"/>
      <c r="T78" s="721"/>
      <c r="U78" s="429"/>
      <c r="V78" s="456"/>
      <c r="W78" s="455"/>
      <c r="X78" s="429"/>
      <c r="Y78" s="721"/>
      <c r="Z78" s="456"/>
      <c r="AA78" s="452"/>
      <c r="AB78" s="429"/>
      <c r="AC78" s="429"/>
      <c r="AD78" s="429"/>
      <c r="AE78" s="429"/>
      <c r="AF78" s="429"/>
      <c r="AG78" s="429"/>
      <c r="AH78" s="429"/>
      <c r="AI78" s="429"/>
      <c r="AJ78" s="429"/>
      <c r="AK78" s="429"/>
      <c r="AL78" s="429"/>
      <c r="AM78" s="429"/>
      <c r="AN78" s="429"/>
      <c r="AO78" s="429"/>
      <c r="AP78" s="429"/>
      <c r="AQ78" s="429"/>
      <c r="AR78" s="429"/>
      <c r="AS78" s="429"/>
      <c r="AT78" s="429"/>
      <c r="AU78" s="429"/>
      <c r="AV78" s="429"/>
      <c r="AW78" s="429"/>
      <c r="AX78" s="429"/>
      <c r="AY78" s="429"/>
      <c r="AZ78" s="429"/>
      <c r="BA78" s="429"/>
      <c r="BB78" s="429"/>
      <c r="BC78" s="429"/>
      <c r="BD78" s="429"/>
      <c r="BE78" s="429"/>
      <c r="BF78" s="429"/>
      <c r="BG78" s="429"/>
      <c r="BH78" s="429"/>
      <c r="BI78" s="429"/>
      <c r="BJ78" s="429"/>
      <c r="BK78" s="429"/>
      <c r="BL78" s="429"/>
      <c r="BM78" s="429"/>
      <c r="BN78" s="429"/>
      <c r="BO78" s="429"/>
      <c r="BP78" s="429"/>
      <c r="BQ78" s="429"/>
      <c r="BR78" s="429"/>
      <c r="BS78" s="429"/>
      <c r="BT78" s="429"/>
      <c r="BU78" s="429"/>
      <c r="BV78" s="429"/>
      <c r="BW78" s="429"/>
      <c r="BX78" s="429"/>
      <c r="BY78" s="429"/>
      <c r="BZ78" s="429"/>
      <c r="CA78" s="429"/>
      <c r="CB78" s="429"/>
      <c r="CC78" s="429"/>
      <c r="CD78" s="429"/>
      <c r="CE78" s="429"/>
      <c r="CF78" s="429"/>
      <c r="CG78" s="429"/>
      <c r="CH78" s="429"/>
      <c r="CI78" s="429"/>
      <c r="CJ78" s="429"/>
      <c r="CK78" s="429"/>
      <c r="CL78" s="429"/>
      <c r="CM78" s="429"/>
      <c r="CN78" s="429"/>
      <c r="CO78" s="429"/>
      <c r="CP78" s="429"/>
      <c r="CQ78" s="429"/>
      <c r="CR78" s="429"/>
      <c r="CS78" s="429"/>
      <c r="CT78" s="429"/>
      <c r="CU78" s="429"/>
      <c r="CV78" s="429"/>
      <c r="CW78" s="429"/>
      <c r="CX78" s="429"/>
      <c r="CY78" s="429"/>
      <c r="CZ78" s="429"/>
      <c r="DA78" s="429"/>
      <c r="DB78" s="429"/>
      <c r="DC78" s="429"/>
      <c r="DD78" s="429"/>
      <c r="DE78" s="429"/>
      <c r="DF78" s="429"/>
      <c r="DG78" s="429"/>
      <c r="DH78" s="429"/>
      <c r="DI78" s="429"/>
      <c r="DJ78" s="429"/>
      <c r="DK78" s="429"/>
      <c r="DL78" s="429"/>
      <c r="DM78" s="429"/>
      <c r="DN78" s="429"/>
      <c r="DO78" s="429"/>
      <c r="DP78" s="429"/>
      <c r="DQ78" s="429"/>
      <c r="DR78" s="429"/>
      <c r="DS78" s="429"/>
      <c r="DT78" s="429"/>
      <c r="DU78" s="429"/>
      <c r="DV78" s="429"/>
      <c r="DW78" s="429"/>
      <c r="DX78" s="429"/>
      <c r="DY78" s="429"/>
      <c r="DZ78" s="429"/>
      <c r="EA78" s="429"/>
      <c r="EB78" s="429"/>
      <c r="EC78" s="429"/>
      <c r="ED78" s="429"/>
      <c r="EE78" s="429"/>
      <c r="EF78" s="429"/>
      <c r="EG78" s="429"/>
      <c r="EH78" s="429"/>
      <c r="EI78" s="429"/>
      <c r="EJ78" s="429"/>
      <c r="EK78" s="429"/>
      <c r="EL78" s="429"/>
      <c r="EM78" s="429"/>
      <c r="EN78" s="429"/>
      <c r="EO78" s="429"/>
      <c r="EP78" s="429"/>
      <c r="EQ78" s="429"/>
      <c r="ER78" s="429"/>
      <c r="ES78" s="429"/>
      <c r="ET78" s="429"/>
      <c r="EU78" s="429"/>
      <c r="EV78" s="429"/>
      <c r="EW78" s="429"/>
      <c r="EX78" s="429"/>
      <c r="EY78" s="429"/>
      <c r="EZ78" s="429"/>
      <c r="FA78" s="429"/>
      <c r="FB78" s="429"/>
      <c r="FC78" s="429"/>
      <c r="FD78" s="429"/>
      <c r="FE78" s="429"/>
      <c r="FF78" s="429"/>
      <c r="FG78" s="429"/>
      <c r="FH78" s="429"/>
      <c r="FI78" s="429"/>
    </row>
    <row r="79" spans="1:165" ht="30.75" thickBot="1">
      <c r="A79" s="725"/>
      <c r="B79" s="1424"/>
      <c r="C79" s="972" t="str">
        <f t="shared" si="16"/>
        <v>N/A</v>
      </c>
      <c r="D79" s="245" t="str">
        <f>VLOOKUP(C79,FEED_P[],9,FALSE)</f>
        <v>N/A</v>
      </c>
      <c r="E79" s="973" t="s">
        <v>1096</v>
      </c>
      <c r="F79" s="974">
        <v>0</v>
      </c>
      <c r="G79" s="973">
        <v>0</v>
      </c>
      <c r="H79" s="1090"/>
      <c r="I79" s="975" t="s">
        <v>872</v>
      </c>
      <c r="J79" s="1319" t="s">
        <v>973</v>
      </c>
      <c r="K79" s="976">
        <v>30</v>
      </c>
      <c r="L79" s="1352" t="s">
        <v>738</v>
      </c>
      <c r="M79" s="454"/>
      <c r="N79" s="454"/>
      <c r="O79" s="454"/>
      <c r="P79" s="454"/>
      <c r="Q79" s="454"/>
      <c r="R79" s="454"/>
      <c r="S79" s="454"/>
      <c r="T79" s="721"/>
      <c r="U79" s="455"/>
      <c r="V79" s="456"/>
      <c r="W79" s="456"/>
      <c r="X79" s="455"/>
      <c r="Z79" s="456"/>
      <c r="AA79" s="452"/>
      <c r="AG79" s="431"/>
      <c r="AN79" s="431"/>
    </row>
    <row r="80" spans="1:165" s="460" customFormat="1" ht="15.75" hidden="1" customHeight="1">
      <c r="A80" s="951"/>
      <c r="B80" s="1424"/>
      <c r="C80" s="969"/>
      <c r="D80" s="970" t="s">
        <v>789</v>
      </c>
      <c r="E80" s="955"/>
      <c r="F80" s="955"/>
      <c r="G80" s="955"/>
      <c r="H80" s="956"/>
      <c r="I80" s="957"/>
      <c r="J80"/>
      <c r="K80" s="964" t="s">
        <v>789</v>
      </c>
      <c r="L80" s="962"/>
      <c r="M80" s="962"/>
      <c r="N80" s="963"/>
      <c r="O80" s="963"/>
      <c r="P80" s="429"/>
      <c r="Q80" s="429"/>
      <c r="R80" s="429"/>
      <c r="S80" s="429"/>
      <c r="T80" s="429"/>
      <c r="U80" s="429"/>
      <c r="V80" s="429"/>
      <c r="W80" s="429"/>
      <c r="X80" s="429"/>
      <c r="Y80" s="429"/>
      <c r="Z80" s="429"/>
      <c r="AA80" s="429"/>
      <c r="AB80" s="429"/>
      <c r="AC80" s="429"/>
      <c r="AD80" s="429"/>
      <c r="AE80" s="429"/>
      <c r="AF80" s="429"/>
      <c r="AG80" s="429"/>
      <c r="AH80" s="429"/>
      <c r="AI80" s="429"/>
      <c r="AJ80" s="429"/>
      <c r="AK80" s="429"/>
      <c r="AL80" s="429"/>
      <c r="AM80" s="429"/>
      <c r="AN80" s="429"/>
      <c r="AO80" s="429"/>
      <c r="AP80" s="429"/>
      <c r="AQ80" s="429"/>
      <c r="AR80" s="429"/>
      <c r="AS80" s="429"/>
      <c r="AT80" s="429"/>
      <c r="AU80" s="429"/>
      <c r="AV80" s="429"/>
      <c r="AW80" s="429"/>
      <c r="AX80" s="429"/>
      <c r="AY80" s="429"/>
      <c r="AZ80" s="429"/>
      <c r="BA80" s="429"/>
      <c r="BB80" s="429"/>
      <c r="BC80" s="429"/>
      <c r="BD80" s="429"/>
      <c r="BE80" s="429"/>
      <c r="BF80" s="429"/>
      <c r="BG80" s="429"/>
      <c r="BH80" s="429"/>
      <c r="BI80" s="429"/>
      <c r="BJ80" s="429"/>
      <c r="BK80" s="429"/>
      <c r="BL80" s="429"/>
      <c r="BM80" s="429"/>
      <c r="BN80" s="429"/>
      <c r="BO80" s="429"/>
      <c r="BP80" s="429"/>
      <c r="BQ80" s="429"/>
      <c r="BR80" s="429"/>
      <c r="BS80" s="429"/>
      <c r="BT80" s="429"/>
      <c r="BU80" s="429"/>
      <c r="BV80" s="429"/>
      <c r="BW80" s="429"/>
      <c r="BX80" s="429"/>
      <c r="BY80" s="429"/>
      <c r="BZ80" s="429"/>
      <c r="CA80" s="429"/>
      <c r="CB80" s="429"/>
      <c r="CC80" s="429"/>
      <c r="CD80" s="429"/>
      <c r="CE80" s="429"/>
      <c r="CF80" s="429"/>
      <c r="CG80" s="429"/>
      <c r="CH80" s="429"/>
      <c r="CI80" s="429"/>
      <c r="CJ80" s="429"/>
      <c r="CK80" s="429"/>
      <c r="CL80" s="429"/>
      <c r="CM80" s="429"/>
      <c r="CN80" s="429"/>
      <c r="CO80" s="429"/>
      <c r="CP80" s="429"/>
      <c r="CQ80" s="429"/>
      <c r="CR80" s="429"/>
      <c r="CS80" s="429"/>
      <c r="CT80" s="429"/>
      <c r="CU80" s="429"/>
      <c r="CV80" s="429"/>
      <c r="CW80" s="429"/>
      <c r="CX80" s="429"/>
      <c r="CY80" s="429"/>
      <c r="CZ80" s="429"/>
      <c r="DA80" s="429"/>
      <c r="DB80" s="429"/>
      <c r="DC80" s="429"/>
      <c r="DD80" s="429"/>
      <c r="DE80" s="429"/>
      <c r="DF80" s="429"/>
      <c r="DG80" s="429"/>
      <c r="DH80" s="429"/>
      <c r="DI80" s="429"/>
      <c r="DJ80" s="429"/>
      <c r="DK80" s="429"/>
      <c r="DL80" s="429"/>
      <c r="DM80" s="429"/>
      <c r="DN80" s="429"/>
      <c r="DO80" s="429"/>
      <c r="DP80" s="429"/>
      <c r="DQ80" s="429"/>
      <c r="DR80" s="429"/>
      <c r="DS80" s="429"/>
      <c r="DT80" s="429"/>
      <c r="DU80" s="429"/>
      <c r="DV80" s="429"/>
      <c r="DW80" s="429"/>
      <c r="DX80" s="429"/>
      <c r="DY80" s="429"/>
      <c r="DZ80" s="429"/>
      <c r="EA80" s="429"/>
      <c r="EB80" s="429"/>
      <c r="EC80" s="429"/>
      <c r="ED80" s="429"/>
      <c r="EE80" s="429"/>
      <c r="EF80" s="429"/>
      <c r="EG80" s="429"/>
      <c r="EH80" s="429"/>
      <c r="EI80" s="429"/>
      <c r="EJ80" s="429"/>
      <c r="EK80" s="429"/>
      <c r="EL80" s="429"/>
      <c r="EM80" s="429"/>
      <c r="EN80" s="429"/>
      <c r="EO80" s="429"/>
      <c r="EP80" s="429"/>
      <c r="EQ80" s="429"/>
      <c r="ER80" s="429"/>
      <c r="ES80" s="429"/>
      <c r="ET80" s="429"/>
      <c r="EU80" s="429"/>
      <c r="EV80" s="429"/>
      <c r="EW80" s="429"/>
      <c r="EX80" s="429"/>
      <c r="EY80" s="429"/>
      <c r="EZ80" s="429"/>
      <c r="FA80" s="429"/>
      <c r="FB80" s="429"/>
      <c r="FC80" s="429"/>
      <c r="FD80" s="429"/>
      <c r="FE80" s="429"/>
      <c r="FF80" s="429"/>
      <c r="FG80" s="429"/>
      <c r="FH80" s="429"/>
      <c r="FI80" s="429"/>
    </row>
    <row r="81" spans="1:165" s="460" customFormat="1" ht="15.75" hidden="1" customHeight="1">
      <c r="A81" s="951"/>
      <c r="B81" s="1424"/>
      <c r="C81" s="458"/>
      <c r="D81" s="459" t="s">
        <v>789</v>
      </c>
      <c r="E81" s="952"/>
      <c r="F81" s="952"/>
      <c r="G81" s="952"/>
      <c r="H81" s="953"/>
      <c r="I81" s="954"/>
      <c r="J81"/>
      <c r="K81" s="965" t="s">
        <v>789</v>
      </c>
      <c r="L81" s="962"/>
      <c r="M81" s="962"/>
      <c r="N81" s="963"/>
      <c r="O81" s="963"/>
      <c r="P81" s="429"/>
      <c r="Q81" s="429"/>
      <c r="R81" s="429"/>
      <c r="S81" s="429"/>
      <c r="T81" s="429"/>
      <c r="U81" s="429"/>
      <c r="V81" s="429"/>
      <c r="W81" s="429"/>
      <c r="X81" s="429"/>
      <c r="Y81" s="429"/>
      <c r="Z81" s="429"/>
      <c r="AA81" s="429"/>
      <c r="AB81" s="429"/>
      <c r="AC81" s="429"/>
      <c r="AD81" s="429"/>
      <c r="AE81" s="429"/>
      <c r="AF81" s="429"/>
      <c r="AG81" s="429"/>
      <c r="AH81" s="429"/>
      <c r="AI81" s="429"/>
      <c r="AJ81" s="429"/>
      <c r="AK81" s="429"/>
      <c r="AL81" s="429"/>
      <c r="AM81" s="429"/>
      <c r="AN81" s="429"/>
      <c r="AO81" s="429"/>
      <c r="AP81" s="429"/>
      <c r="AQ81" s="429"/>
      <c r="AR81" s="429"/>
      <c r="AS81" s="429"/>
      <c r="AT81" s="429"/>
      <c r="AU81" s="429"/>
      <c r="AV81" s="429"/>
      <c r="AW81" s="429"/>
      <c r="AX81" s="429"/>
      <c r="AY81" s="429"/>
      <c r="AZ81" s="429"/>
      <c r="BA81" s="429"/>
      <c r="BB81" s="429"/>
      <c r="BC81" s="429"/>
      <c r="BD81" s="429"/>
      <c r="BE81" s="429"/>
      <c r="BF81" s="429"/>
      <c r="BG81" s="429"/>
      <c r="BH81" s="429"/>
      <c r="BI81" s="429"/>
      <c r="BJ81" s="429"/>
      <c r="BK81" s="429"/>
      <c r="BL81" s="429"/>
      <c r="BM81" s="429"/>
      <c r="BN81" s="429"/>
      <c r="BO81" s="429"/>
      <c r="BP81" s="429"/>
      <c r="BQ81" s="429"/>
      <c r="BR81" s="429"/>
      <c r="BS81" s="429"/>
      <c r="BT81" s="429"/>
      <c r="BU81" s="429"/>
      <c r="BV81" s="429"/>
      <c r="BW81" s="429"/>
      <c r="BX81" s="429"/>
      <c r="BY81" s="429"/>
      <c r="BZ81" s="429"/>
      <c r="CA81" s="429"/>
      <c r="CB81" s="429"/>
      <c r="CC81" s="429"/>
      <c r="CD81" s="429"/>
      <c r="CE81" s="429"/>
      <c r="CF81" s="429"/>
      <c r="CG81" s="429"/>
      <c r="CH81" s="429"/>
      <c r="CI81" s="429"/>
      <c r="CJ81" s="429"/>
      <c r="CK81" s="429"/>
      <c r="CL81" s="429"/>
      <c r="CM81" s="429"/>
      <c r="CN81" s="429"/>
      <c r="CO81" s="429"/>
      <c r="CP81" s="429"/>
      <c r="CQ81" s="429"/>
      <c r="CR81" s="429"/>
      <c r="CS81" s="429"/>
      <c r="CT81" s="429"/>
      <c r="CU81" s="429"/>
      <c r="CV81" s="429"/>
      <c r="CW81" s="429"/>
      <c r="CX81" s="429"/>
      <c r="CY81" s="429"/>
      <c r="CZ81" s="429"/>
      <c r="DA81" s="429"/>
      <c r="DB81" s="429"/>
      <c r="DC81" s="429"/>
      <c r="DD81" s="429"/>
      <c r="DE81" s="429"/>
      <c r="DF81" s="429"/>
      <c r="DG81" s="429"/>
      <c r="DH81" s="429"/>
      <c r="DI81" s="429"/>
      <c r="DJ81" s="429"/>
      <c r="DK81" s="429"/>
      <c r="DL81" s="429"/>
      <c r="DM81" s="429"/>
      <c r="DN81" s="429"/>
      <c r="DO81" s="429"/>
      <c r="DP81" s="429"/>
      <c r="DQ81" s="429"/>
      <c r="DR81" s="429"/>
      <c r="DS81" s="429"/>
      <c r="DT81" s="429"/>
      <c r="DU81" s="429"/>
      <c r="DV81" s="429"/>
      <c r="DW81" s="429"/>
      <c r="DX81" s="429"/>
      <c r="DY81" s="429"/>
      <c r="DZ81" s="429"/>
      <c r="EA81" s="429"/>
      <c r="EB81" s="429"/>
      <c r="EC81" s="429"/>
      <c r="ED81" s="429"/>
      <c r="EE81" s="429"/>
      <c r="EF81" s="429"/>
      <c r="EG81" s="429"/>
      <c r="EH81" s="429"/>
      <c r="EI81" s="429"/>
      <c r="EJ81" s="429"/>
      <c r="EK81" s="429"/>
      <c r="EL81" s="429"/>
      <c r="EM81" s="429"/>
      <c r="EN81" s="429"/>
      <c r="EO81" s="429"/>
      <c r="EP81" s="429"/>
      <c r="EQ81" s="429"/>
      <c r="ER81" s="429"/>
      <c r="ES81" s="429"/>
      <c r="ET81" s="429"/>
      <c r="EU81" s="429"/>
      <c r="EV81" s="429"/>
      <c r="EW81" s="429"/>
      <c r="EX81" s="429"/>
      <c r="EY81" s="429"/>
      <c r="EZ81" s="429"/>
      <c r="FA81" s="429"/>
      <c r="FB81" s="429"/>
      <c r="FC81" s="429"/>
      <c r="FD81" s="429"/>
      <c r="FE81" s="429"/>
      <c r="FF81" s="429"/>
      <c r="FG81" s="429"/>
      <c r="FH81" s="429"/>
      <c r="FI81" s="429"/>
    </row>
    <row r="82" spans="1:165" s="460" customFormat="1" ht="15.75" hidden="1" customHeight="1">
      <c r="A82" s="951"/>
      <c r="B82" s="1424"/>
      <c r="C82" s="458"/>
      <c r="D82" s="459" t="s">
        <v>789</v>
      </c>
      <c r="E82" s="952"/>
      <c r="F82" s="952"/>
      <c r="G82" s="952"/>
      <c r="H82" s="953"/>
      <c r="I82" s="954"/>
      <c r="J82"/>
      <c r="K82" s="965" t="s">
        <v>789</v>
      </c>
      <c r="L82" s="962"/>
      <c r="M82" s="962"/>
      <c r="N82" s="963"/>
      <c r="O82" s="963"/>
      <c r="P82" s="429"/>
      <c r="Q82" s="429"/>
      <c r="R82" s="429"/>
      <c r="S82" s="429"/>
      <c r="T82" s="429"/>
      <c r="U82" s="429"/>
      <c r="V82" s="429"/>
      <c r="W82" s="429"/>
      <c r="X82" s="429"/>
      <c r="Y82" s="429"/>
      <c r="Z82" s="429"/>
      <c r="AA82" s="429"/>
      <c r="AB82" s="429"/>
      <c r="AC82" s="429"/>
      <c r="AD82" s="429"/>
      <c r="AE82" s="429"/>
      <c r="AF82" s="429"/>
      <c r="AG82" s="429"/>
      <c r="AH82" s="429"/>
      <c r="AI82" s="429"/>
      <c r="AJ82" s="429"/>
      <c r="AK82" s="429"/>
      <c r="AL82" s="429"/>
      <c r="AM82" s="429"/>
      <c r="AN82" s="429"/>
      <c r="AO82" s="429"/>
      <c r="AP82" s="429"/>
      <c r="AQ82" s="429"/>
      <c r="AR82" s="429"/>
      <c r="AS82" s="429"/>
      <c r="AT82" s="429"/>
      <c r="AU82" s="429"/>
      <c r="AV82" s="429"/>
      <c r="AW82" s="429"/>
      <c r="AX82" s="429"/>
      <c r="AY82" s="429"/>
      <c r="AZ82" s="429"/>
      <c r="BA82" s="429"/>
      <c r="BB82" s="429"/>
      <c r="BC82" s="429"/>
      <c r="BD82" s="429"/>
      <c r="BE82" s="429"/>
      <c r="BF82" s="429"/>
      <c r="BG82" s="429"/>
      <c r="BH82" s="429"/>
      <c r="BI82" s="429"/>
      <c r="BJ82" s="429"/>
      <c r="BK82" s="429"/>
      <c r="BL82" s="429"/>
      <c r="BM82" s="429"/>
      <c r="BN82" s="429"/>
      <c r="BO82" s="429"/>
      <c r="BP82" s="429"/>
      <c r="BQ82" s="429"/>
      <c r="BR82" s="429"/>
      <c r="BS82" s="429"/>
      <c r="BT82" s="429"/>
      <c r="BU82" s="429"/>
      <c r="BV82" s="429"/>
      <c r="BW82" s="429"/>
      <c r="BX82" s="429"/>
      <c r="BY82" s="429"/>
      <c r="BZ82" s="429"/>
      <c r="CA82" s="429"/>
      <c r="CB82" s="429"/>
      <c r="CC82" s="429"/>
      <c r="CD82" s="429"/>
      <c r="CE82" s="429"/>
      <c r="CF82" s="429"/>
      <c r="CG82" s="429"/>
      <c r="CH82" s="429"/>
      <c r="CI82" s="429"/>
      <c r="CJ82" s="429"/>
      <c r="CK82" s="429"/>
      <c r="CL82" s="429"/>
      <c r="CM82" s="429"/>
      <c r="CN82" s="429"/>
      <c r="CO82" s="429"/>
      <c r="CP82" s="429"/>
      <c r="CQ82" s="429"/>
      <c r="CR82" s="429"/>
      <c r="CS82" s="429"/>
      <c r="CT82" s="429"/>
      <c r="CU82" s="429"/>
      <c r="CV82" s="429"/>
      <c r="CW82" s="429"/>
      <c r="CX82" s="429"/>
      <c r="CY82" s="429"/>
      <c r="CZ82" s="429"/>
      <c r="DA82" s="429"/>
      <c r="DB82" s="429"/>
      <c r="DC82" s="429"/>
      <c r="DD82" s="429"/>
      <c r="DE82" s="429"/>
      <c r="DF82" s="429"/>
      <c r="DG82" s="429"/>
      <c r="DH82" s="429"/>
      <c r="DI82" s="429"/>
      <c r="DJ82" s="429"/>
      <c r="DK82" s="429"/>
      <c r="DL82" s="429"/>
      <c r="DM82" s="429"/>
      <c r="DN82" s="429"/>
      <c r="DO82" s="429"/>
      <c r="DP82" s="429"/>
      <c r="DQ82" s="429"/>
      <c r="DR82" s="429"/>
      <c r="DS82" s="429"/>
      <c r="DT82" s="429"/>
      <c r="DU82" s="429"/>
      <c r="DV82" s="429"/>
      <c r="DW82" s="429"/>
      <c r="DX82" s="429"/>
      <c r="DY82" s="429"/>
      <c r="DZ82" s="429"/>
      <c r="EA82" s="429"/>
      <c r="EB82" s="429"/>
      <c r="EC82" s="429"/>
      <c r="ED82" s="429"/>
      <c r="EE82" s="429"/>
      <c r="EF82" s="429"/>
      <c r="EG82" s="429"/>
      <c r="EH82" s="429"/>
      <c r="EI82" s="429"/>
      <c r="EJ82" s="429"/>
      <c r="EK82" s="429"/>
      <c r="EL82" s="429"/>
      <c r="EM82" s="429"/>
      <c r="EN82" s="429"/>
      <c r="EO82" s="429"/>
      <c r="EP82" s="429"/>
      <c r="EQ82" s="429"/>
      <c r="ER82" s="429"/>
      <c r="ES82" s="429"/>
      <c r="ET82" s="429"/>
      <c r="EU82" s="429"/>
      <c r="EV82" s="429"/>
      <c r="EW82" s="429"/>
      <c r="EX82" s="429"/>
      <c r="EY82" s="429"/>
      <c r="EZ82" s="429"/>
      <c r="FA82" s="429"/>
      <c r="FB82" s="429"/>
      <c r="FC82" s="429"/>
      <c r="FD82" s="429"/>
      <c r="FE82" s="429"/>
      <c r="FF82" s="429"/>
      <c r="FG82" s="429"/>
      <c r="FH82" s="429"/>
      <c r="FI82" s="429"/>
    </row>
    <row r="83" spans="1:165" s="460" customFormat="1" ht="15.75" hidden="1" customHeight="1">
      <c r="A83" s="951"/>
      <c r="B83" s="1424"/>
      <c r="C83" s="458"/>
      <c r="D83" s="459" t="s">
        <v>789</v>
      </c>
      <c r="E83" s="952"/>
      <c r="F83" s="952"/>
      <c r="G83" s="952"/>
      <c r="H83" s="953"/>
      <c r="I83" s="954"/>
      <c r="J83"/>
      <c r="K83" s="965" t="s">
        <v>789</v>
      </c>
      <c r="L83" s="962"/>
      <c r="M83" s="962"/>
      <c r="N83" s="963"/>
      <c r="O83" s="963"/>
      <c r="P83" s="429"/>
      <c r="Q83" s="429"/>
      <c r="R83" s="429"/>
      <c r="S83" s="429"/>
      <c r="T83" s="429"/>
      <c r="U83" s="429"/>
      <c r="V83" s="429"/>
      <c r="W83" s="429"/>
      <c r="X83" s="429"/>
      <c r="Y83" s="429"/>
      <c r="Z83" s="429"/>
      <c r="AA83" s="429"/>
      <c r="AB83" s="429"/>
      <c r="AC83" s="429"/>
      <c r="AD83" s="429"/>
      <c r="AE83" s="429"/>
      <c r="AF83" s="429"/>
      <c r="AG83" s="429"/>
      <c r="AH83" s="429"/>
      <c r="AI83" s="429"/>
      <c r="AJ83" s="429"/>
      <c r="AK83" s="429"/>
      <c r="AL83" s="429"/>
      <c r="AM83" s="429"/>
      <c r="AN83" s="429"/>
      <c r="AO83" s="429"/>
      <c r="AP83" s="429"/>
      <c r="AQ83" s="429"/>
      <c r="AR83" s="429"/>
      <c r="AS83" s="429"/>
      <c r="AT83" s="429"/>
      <c r="AU83" s="429"/>
      <c r="AV83" s="429"/>
      <c r="AW83" s="429"/>
      <c r="AX83" s="429"/>
      <c r="AY83" s="429"/>
      <c r="AZ83" s="429"/>
      <c r="BA83" s="429"/>
      <c r="BB83" s="429"/>
      <c r="BC83" s="429"/>
      <c r="BD83" s="429"/>
      <c r="BE83" s="429"/>
      <c r="BF83" s="429"/>
      <c r="BG83" s="429"/>
      <c r="BH83" s="429"/>
      <c r="BI83" s="429"/>
      <c r="BJ83" s="429"/>
      <c r="BK83" s="429"/>
      <c r="BL83" s="429"/>
      <c r="BM83" s="429"/>
      <c r="BN83" s="429"/>
      <c r="BO83" s="429"/>
      <c r="BP83" s="429"/>
      <c r="BQ83" s="429"/>
      <c r="BR83" s="429"/>
      <c r="BS83" s="429"/>
      <c r="BT83" s="429"/>
      <c r="BU83" s="429"/>
      <c r="BV83" s="429"/>
      <c r="BW83" s="429"/>
      <c r="BX83" s="429"/>
      <c r="BY83" s="429"/>
      <c r="BZ83" s="429"/>
      <c r="CA83" s="429"/>
      <c r="CB83" s="429"/>
      <c r="CC83" s="429"/>
      <c r="CD83" s="429"/>
      <c r="CE83" s="429"/>
      <c r="CF83" s="429"/>
      <c r="CG83" s="429"/>
      <c r="CH83" s="429"/>
      <c r="CI83" s="429"/>
      <c r="CJ83" s="429"/>
      <c r="CK83" s="429"/>
      <c r="CL83" s="429"/>
      <c r="CM83" s="429"/>
      <c r="CN83" s="429"/>
      <c r="CO83" s="429"/>
      <c r="CP83" s="429"/>
      <c r="CQ83" s="429"/>
      <c r="CR83" s="429"/>
      <c r="CS83" s="429"/>
      <c r="CT83" s="429"/>
      <c r="CU83" s="429"/>
      <c r="CV83" s="429"/>
      <c r="CW83" s="429"/>
      <c r="CX83" s="429"/>
      <c r="CY83" s="429"/>
      <c r="CZ83" s="429"/>
      <c r="DA83" s="429"/>
      <c r="DB83" s="429"/>
      <c r="DC83" s="429"/>
      <c r="DD83" s="429"/>
      <c r="DE83" s="429"/>
      <c r="DF83" s="429"/>
      <c r="DG83" s="429"/>
      <c r="DH83" s="429"/>
      <c r="DI83" s="429"/>
      <c r="DJ83" s="429"/>
      <c r="DK83" s="429"/>
      <c r="DL83" s="429"/>
      <c r="DM83" s="429"/>
      <c r="DN83" s="429"/>
      <c r="DO83" s="429"/>
      <c r="DP83" s="429"/>
      <c r="DQ83" s="429"/>
      <c r="DR83" s="429"/>
      <c r="DS83" s="429"/>
      <c r="DT83" s="429"/>
      <c r="DU83" s="429"/>
      <c r="DV83" s="429"/>
      <c r="DW83" s="429"/>
      <c r="DX83" s="429"/>
      <c r="DY83" s="429"/>
      <c r="DZ83" s="429"/>
      <c r="EA83" s="429"/>
      <c r="EB83" s="429"/>
      <c r="EC83" s="429"/>
      <c r="ED83" s="429"/>
      <c r="EE83" s="429"/>
      <c r="EF83" s="429"/>
      <c r="EG83" s="429"/>
      <c r="EH83" s="429"/>
      <c r="EI83" s="429"/>
      <c r="EJ83" s="429"/>
      <c r="EK83" s="429"/>
      <c r="EL83" s="429"/>
      <c r="EM83" s="429"/>
      <c r="EN83" s="429"/>
      <c r="EO83" s="429"/>
      <c r="EP83" s="429"/>
      <c r="EQ83" s="429"/>
      <c r="ER83" s="429"/>
      <c r="ES83" s="429"/>
      <c r="ET83" s="429"/>
      <c r="EU83" s="429"/>
      <c r="EV83" s="429"/>
      <c r="EW83" s="429"/>
      <c r="EX83" s="429"/>
      <c r="EY83" s="429"/>
      <c r="EZ83" s="429"/>
      <c r="FA83" s="429"/>
      <c r="FB83" s="429"/>
      <c r="FC83" s="429"/>
      <c r="FD83" s="429"/>
      <c r="FE83" s="429"/>
      <c r="FF83" s="429"/>
      <c r="FG83" s="429"/>
      <c r="FH83" s="429"/>
      <c r="FI83" s="429"/>
    </row>
    <row r="84" spans="1:165" s="460" customFormat="1" ht="15.75" hidden="1" customHeight="1">
      <c r="A84" s="951"/>
      <c r="B84" s="1424"/>
      <c r="C84" s="458"/>
      <c r="D84" s="459" t="s">
        <v>789</v>
      </c>
      <c r="E84" s="952"/>
      <c r="F84" s="952"/>
      <c r="G84" s="952"/>
      <c r="H84" s="953"/>
      <c r="I84" s="954"/>
      <c r="J84"/>
      <c r="K84" s="965" t="s">
        <v>789</v>
      </c>
      <c r="L84" s="962"/>
      <c r="M84" s="962"/>
      <c r="N84" s="963"/>
      <c r="O84" s="963"/>
      <c r="P84" s="429"/>
      <c r="Q84" s="429"/>
      <c r="R84" s="429"/>
      <c r="S84" s="429"/>
      <c r="T84" s="429"/>
      <c r="U84" s="429"/>
      <c r="V84" s="429"/>
      <c r="W84" s="429"/>
      <c r="X84" s="429"/>
      <c r="Y84" s="429"/>
      <c r="Z84" s="429"/>
      <c r="AA84" s="429"/>
      <c r="AB84" s="429"/>
      <c r="AC84" s="429"/>
      <c r="AD84" s="429"/>
      <c r="AE84" s="429"/>
      <c r="AF84" s="429"/>
      <c r="AG84" s="429"/>
      <c r="AH84" s="429"/>
      <c r="AI84" s="429"/>
      <c r="AJ84" s="429"/>
      <c r="AK84" s="429"/>
      <c r="AL84" s="429"/>
      <c r="AM84" s="429"/>
      <c r="AN84" s="429"/>
      <c r="AO84" s="429"/>
      <c r="AP84" s="429"/>
      <c r="AQ84" s="429"/>
      <c r="AR84" s="429"/>
      <c r="AS84" s="429"/>
      <c r="AT84" s="429"/>
      <c r="AU84" s="429"/>
      <c r="AV84" s="429"/>
      <c r="AW84" s="429"/>
      <c r="AX84" s="429"/>
      <c r="AY84" s="429"/>
      <c r="AZ84" s="429"/>
      <c r="BA84" s="429"/>
      <c r="BB84" s="429"/>
      <c r="BC84" s="429"/>
      <c r="BD84" s="429"/>
      <c r="BE84" s="429"/>
      <c r="BF84" s="429"/>
      <c r="BG84" s="429"/>
      <c r="BH84" s="429"/>
      <c r="BI84" s="429"/>
      <c r="BJ84" s="429"/>
      <c r="BK84" s="429"/>
      <c r="BL84" s="429"/>
      <c r="BM84" s="429"/>
      <c r="BN84" s="429"/>
      <c r="BO84" s="429"/>
      <c r="BP84" s="429"/>
      <c r="BQ84" s="429"/>
      <c r="BR84" s="429"/>
      <c r="BS84" s="429"/>
      <c r="BT84" s="429"/>
      <c r="BU84" s="429"/>
      <c r="BV84" s="429"/>
      <c r="BW84" s="429"/>
      <c r="BX84" s="429"/>
      <c r="BY84" s="429"/>
      <c r="BZ84" s="429"/>
      <c r="CA84" s="429"/>
      <c r="CB84" s="429"/>
      <c r="CC84" s="429"/>
      <c r="CD84" s="429"/>
      <c r="CE84" s="429"/>
      <c r="CF84" s="429"/>
      <c r="CG84" s="429"/>
      <c r="CH84" s="429"/>
      <c r="CI84" s="429"/>
      <c r="CJ84" s="429"/>
      <c r="CK84" s="429"/>
      <c r="CL84" s="429"/>
      <c r="CM84" s="429"/>
      <c r="CN84" s="429"/>
      <c r="CO84" s="429"/>
      <c r="CP84" s="429"/>
      <c r="CQ84" s="429"/>
      <c r="CR84" s="429"/>
      <c r="CS84" s="429"/>
      <c r="CT84" s="429"/>
      <c r="CU84" s="429"/>
      <c r="CV84" s="429"/>
      <c r="CW84" s="429"/>
      <c r="CX84" s="429"/>
      <c r="CY84" s="429"/>
      <c r="CZ84" s="429"/>
      <c r="DA84" s="429"/>
      <c r="DB84" s="429"/>
      <c r="DC84" s="429"/>
      <c r="DD84" s="429"/>
      <c r="DE84" s="429"/>
      <c r="DF84" s="429"/>
      <c r="DG84" s="429"/>
      <c r="DH84" s="429"/>
      <c r="DI84" s="429"/>
      <c r="DJ84" s="429"/>
      <c r="DK84" s="429"/>
      <c r="DL84" s="429"/>
      <c r="DM84" s="429"/>
      <c r="DN84" s="429"/>
      <c r="DO84" s="429"/>
      <c r="DP84" s="429"/>
      <c r="DQ84" s="429"/>
      <c r="DR84" s="429"/>
      <c r="DS84" s="429"/>
      <c r="DT84" s="429"/>
      <c r="DU84" s="429"/>
      <c r="DV84" s="429"/>
      <c r="DW84" s="429"/>
      <c r="DX84" s="429"/>
      <c r="DY84" s="429"/>
      <c r="DZ84" s="429"/>
      <c r="EA84" s="429"/>
      <c r="EB84" s="429"/>
      <c r="EC84" s="429"/>
      <c r="ED84" s="429"/>
      <c r="EE84" s="429"/>
      <c r="EF84" s="429"/>
      <c r="EG84" s="429"/>
      <c r="EH84" s="429"/>
      <c r="EI84" s="429"/>
      <c r="EJ84" s="429"/>
      <c r="EK84" s="429"/>
      <c r="EL84" s="429"/>
      <c r="EM84" s="429"/>
      <c r="EN84" s="429"/>
      <c r="EO84" s="429"/>
      <c r="EP84" s="429"/>
      <c r="EQ84" s="429"/>
      <c r="ER84" s="429"/>
      <c r="ES84" s="429"/>
      <c r="ET84" s="429"/>
      <c r="EU84" s="429"/>
      <c r="EV84" s="429"/>
      <c r="EW84" s="429"/>
      <c r="EX84" s="429"/>
      <c r="EY84" s="429"/>
      <c r="EZ84" s="429"/>
      <c r="FA84" s="429"/>
      <c r="FB84" s="429"/>
      <c r="FC84" s="429"/>
      <c r="FD84" s="429"/>
      <c r="FE84" s="429"/>
      <c r="FF84" s="429"/>
      <c r="FG84" s="429"/>
      <c r="FH84" s="429"/>
      <c r="FI84" s="429"/>
    </row>
    <row r="85" spans="1:165" s="460" customFormat="1" ht="16.5" hidden="1" customHeight="1" thickBot="1">
      <c r="A85" s="951"/>
      <c r="B85" s="1424"/>
      <c r="C85" s="461"/>
      <c r="D85" s="462" t="s">
        <v>789</v>
      </c>
      <c r="E85" s="958"/>
      <c r="F85" s="952"/>
      <c r="G85" s="959"/>
      <c r="H85" s="960"/>
      <c r="I85" s="961"/>
      <c r="J85"/>
      <c r="K85" s="966" t="s">
        <v>789</v>
      </c>
      <c r="L85" s="962"/>
      <c r="M85" s="962"/>
      <c r="N85" s="963"/>
      <c r="O85" s="963"/>
      <c r="P85" s="429"/>
      <c r="Q85" s="429"/>
      <c r="R85" s="429"/>
      <c r="S85" s="429"/>
      <c r="T85" s="429"/>
      <c r="U85" s="429"/>
      <c r="V85" s="429"/>
      <c r="W85" s="429"/>
      <c r="X85" s="429"/>
      <c r="Y85" s="429"/>
      <c r="Z85" s="429"/>
      <c r="AA85" s="429"/>
      <c r="AB85" s="429"/>
      <c r="AC85" s="429"/>
      <c r="AD85" s="429"/>
      <c r="AE85" s="429"/>
      <c r="AF85" s="429"/>
      <c r="AG85" s="429"/>
      <c r="AH85" s="429"/>
      <c r="AI85" s="429"/>
      <c r="AJ85" s="429"/>
      <c r="AK85" s="429"/>
      <c r="AL85" s="429"/>
      <c r="AM85" s="429"/>
      <c r="AN85" s="429"/>
      <c r="AO85" s="429"/>
      <c r="AP85" s="429"/>
      <c r="AQ85" s="429"/>
      <c r="AR85" s="429"/>
      <c r="AS85" s="429"/>
      <c r="AT85" s="429"/>
      <c r="AU85" s="429"/>
      <c r="AV85" s="429"/>
      <c r="AW85" s="429"/>
      <c r="AX85" s="429"/>
      <c r="AY85" s="429"/>
      <c r="AZ85" s="429"/>
      <c r="BA85" s="429"/>
      <c r="BB85" s="429"/>
      <c r="BC85" s="429"/>
      <c r="BD85" s="429"/>
      <c r="BE85" s="429"/>
      <c r="BF85" s="429"/>
      <c r="BG85" s="429"/>
      <c r="BH85" s="429"/>
      <c r="BI85" s="429"/>
      <c r="BJ85" s="429"/>
      <c r="BK85" s="429"/>
      <c r="BL85" s="429"/>
      <c r="BM85" s="429"/>
      <c r="BN85" s="429"/>
      <c r="BO85" s="429"/>
      <c r="BP85" s="429"/>
      <c r="BQ85" s="429"/>
      <c r="BR85" s="429"/>
      <c r="BS85" s="429"/>
      <c r="BT85" s="429"/>
      <c r="BU85" s="429"/>
      <c r="BV85" s="429"/>
      <c r="BW85" s="429"/>
      <c r="BX85" s="429"/>
      <c r="BY85" s="429"/>
      <c r="BZ85" s="429"/>
      <c r="CA85" s="429"/>
      <c r="CB85" s="429"/>
      <c r="CC85" s="429"/>
      <c r="CD85" s="429"/>
      <c r="CE85" s="429"/>
      <c r="CF85" s="429"/>
      <c r="CG85" s="429"/>
      <c r="CH85" s="429"/>
      <c r="CI85" s="429"/>
      <c r="CJ85" s="429"/>
      <c r="CK85" s="429"/>
      <c r="CL85" s="429"/>
      <c r="CM85" s="429"/>
      <c r="CN85" s="429"/>
      <c r="CO85" s="429"/>
      <c r="CP85" s="429"/>
      <c r="CQ85" s="429"/>
      <c r="CR85" s="429"/>
      <c r="CS85" s="429"/>
      <c r="CT85" s="429"/>
      <c r="CU85" s="429"/>
      <c r="CV85" s="429"/>
      <c r="CW85" s="429"/>
      <c r="CX85" s="429"/>
      <c r="CY85" s="429"/>
      <c r="CZ85" s="429"/>
      <c r="DA85" s="429"/>
      <c r="DB85" s="429"/>
      <c r="DC85" s="429"/>
      <c r="DD85" s="429"/>
      <c r="DE85" s="429"/>
      <c r="DF85" s="429"/>
      <c r="DG85" s="429"/>
      <c r="DH85" s="429"/>
      <c r="DI85" s="429"/>
      <c r="DJ85" s="429"/>
      <c r="DK85" s="429"/>
      <c r="DL85" s="429"/>
      <c r="DM85" s="429"/>
      <c r="DN85" s="429"/>
      <c r="DO85" s="429"/>
      <c r="DP85" s="429"/>
      <c r="DQ85" s="429"/>
      <c r="DR85" s="429"/>
      <c r="DS85" s="429"/>
      <c r="DT85" s="429"/>
      <c r="DU85" s="429"/>
      <c r="DV85" s="429"/>
      <c r="DW85" s="429"/>
      <c r="DX85" s="429"/>
      <c r="DY85" s="429"/>
      <c r="DZ85" s="429"/>
      <c r="EA85" s="429"/>
      <c r="EB85" s="429"/>
      <c r="EC85" s="429"/>
      <c r="ED85" s="429"/>
      <c r="EE85" s="429"/>
      <c r="EF85" s="429"/>
      <c r="EG85" s="429"/>
      <c r="EH85" s="429"/>
      <c r="EI85" s="429"/>
      <c r="EJ85" s="429"/>
      <c r="EK85" s="429"/>
      <c r="EL85" s="429"/>
      <c r="EM85" s="429"/>
      <c r="EN85" s="429"/>
      <c r="EO85" s="429"/>
      <c r="EP85" s="429"/>
      <c r="EQ85" s="429"/>
      <c r="ER85" s="429"/>
      <c r="ES85" s="429"/>
      <c r="ET85" s="429"/>
      <c r="EU85" s="429"/>
      <c r="EV85" s="429"/>
      <c r="EW85" s="429"/>
      <c r="EX85" s="429"/>
      <c r="EY85" s="429"/>
      <c r="EZ85" s="429"/>
      <c r="FA85" s="429"/>
      <c r="FB85" s="429"/>
      <c r="FC85" s="429"/>
      <c r="FD85" s="429"/>
      <c r="FE85" s="429"/>
      <c r="FF85" s="429"/>
      <c r="FG85" s="429"/>
      <c r="FH85" s="429"/>
      <c r="FI85" s="429"/>
    </row>
    <row r="86" spans="1:165" ht="16.5" thickBot="1">
      <c r="A86" s="716"/>
      <c r="B86" s="1424"/>
      <c r="C86" s="463"/>
      <c r="D86" s="716"/>
      <c r="E86" s="721"/>
      <c r="I86" s="343"/>
      <c r="M86" s="1103"/>
      <c r="N86" s="1103"/>
      <c r="T86" s="456"/>
      <c r="U86" s="456"/>
      <c r="V86" s="465"/>
      <c r="W86" s="452"/>
      <c r="X86" s="456"/>
      <c r="Y86" s="456"/>
      <c r="Z86" s="465"/>
      <c r="AM86" s="431"/>
      <c r="AW86" s="431"/>
    </row>
    <row r="87" spans="1:165" ht="31.5">
      <c r="A87" s="715"/>
      <c r="B87" s="1424"/>
      <c r="C87" s="439" t="str">
        <f t="shared" ref="C87:C94" si="17">C72</f>
        <v>Feed item</v>
      </c>
      <c r="D87" s="603"/>
      <c r="E87" s="603" t="s">
        <v>1287</v>
      </c>
      <c r="F87" s="603" t="s">
        <v>1135</v>
      </c>
      <c r="G87" s="604" t="s">
        <v>1136</v>
      </c>
      <c r="H87" s="1351"/>
      <c r="I87" s="1328"/>
      <c r="J87" s="1328"/>
      <c r="K87" s="1328"/>
      <c r="L87" s="1328"/>
      <c r="M87" s="1328"/>
      <c r="N87" s="1328"/>
      <c r="O87" s="455"/>
      <c r="P87" s="455"/>
      <c r="Q87" s="455"/>
      <c r="R87" s="455"/>
      <c r="S87" s="455"/>
      <c r="T87" s="456"/>
      <c r="U87" s="452"/>
      <c r="V87" s="465"/>
      <c r="W87" s="465"/>
      <c r="X87" s="452"/>
      <c r="Y87" s="456"/>
      <c r="Z87" s="465"/>
      <c r="AM87" s="431"/>
      <c r="AW87" s="431"/>
    </row>
    <row r="88" spans="1:165">
      <c r="A88" s="716"/>
      <c r="B88" s="1424"/>
      <c r="C88" s="971" t="str">
        <f t="shared" si="17"/>
        <v>Concentrate (commercial)</v>
      </c>
      <c r="D88" s="113" t="str">
        <f t="shared" ref="D88:D94" si="18">IF(E73="Residue", D73, "-")</f>
        <v>-</v>
      </c>
      <c r="E88" s="697">
        <v>1</v>
      </c>
      <c r="F88" s="697"/>
      <c r="G88" s="675">
        <v>0</v>
      </c>
      <c r="H88" s="1103"/>
      <c r="I88" s="1329"/>
      <c r="J88" s="1328"/>
      <c r="K88" s="1329"/>
      <c r="L88" s="1329"/>
      <c r="M88" s="1329"/>
      <c r="N88" s="1329"/>
      <c r="O88" s="456"/>
      <c r="P88" s="456"/>
      <c r="Q88" s="456"/>
      <c r="R88" s="456"/>
      <c r="S88" s="456"/>
      <c r="T88" s="456"/>
      <c r="U88" s="465"/>
      <c r="V88" s="465"/>
      <c r="W88" s="465"/>
      <c r="X88" s="465"/>
      <c r="Y88" s="452"/>
      <c r="Z88" s="465"/>
      <c r="AM88" s="431"/>
      <c r="AW88" s="431"/>
    </row>
    <row r="89" spans="1:165">
      <c r="A89" s="716"/>
      <c r="B89" s="1424"/>
      <c r="C89" s="977" t="str">
        <f t="shared" si="17"/>
        <v>Pennisetum purpureum - forage</v>
      </c>
      <c r="D89" s="113" t="str">
        <f t="shared" si="18"/>
        <v>-</v>
      </c>
      <c r="E89" s="697">
        <v>1</v>
      </c>
      <c r="F89" s="697"/>
      <c r="G89" s="675">
        <v>0</v>
      </c>
      <c r="H89" s="1103"/>
      <c r="I89" s="1329"/>
      <c r="J89" s="1328"/>
      <c r="K89" s="1329"/>
      <c r="L89" s="1329"/>
      <c r="M89" s="1329"/>
      <c r="N89" s="1329"/>
      <c r="O89" s="456"/>
      <c r="P89" s="456"/>
      <c r="Q89" s="456"/>
      <c r="R89" s="456"/>
      <c r="S89" s="456"/>
      <c r="T89" s="452"/>
      <c r="U89" s="465"/>
      <c r="V89" s="465"/>
      <c r="W89" s="465"/>
      <c r="X89" s="465"/>
      <c r="Y89" s="465"/>
      <c r="Z89" s="465"/>
      <c r="AM89" s="431"/>
      <c r="AW89" s="431"/>
    </row>
    <row r="90" spans="1:165" ht="17.25" customHeight="1">
      <c r="A90" s="716"/>
      <c r="B90" s="1424"/>
      <c r="C90" s="977" t="str">
        <f t="shared" si="17"/>
        <v>Rhodes grass (Chloris gayana) - forage</v>
      </c>
      <c r="D90" s="113" t="str">
        <f t="shared" si="18"/>
        <v>-</v>
      </c>
      <c r="E90" s="697">
        <v>1</v>
      </c>
      <c r="F90" s="697"/>
      <c r="G90" s="675">
        <v>0</v>
      </c>
      <c r="H90" s="1103"/>
      <c r="I90" s="1329"/>
      <c r="J90" s="1328"/>
      <c r="K90" s="1329"/>
      <c r="L90" s="1329"/>
      <c r="M90" s="1329"/>
      <c r="N90" s="1329"/>
      <c r="O90" s="456"/>
      <c r="P90" s="456"/>
      <c r="Q90" s="456"/>
      <c r="R90" s="456"/>
      <c r="S90" s="456"/>
      <c r="T90" s="465"/>
      <c r="U90" s="465"/>
      <c r="V90" s="465"/>
      <c r="W90" s="465"/>
      <c r="X90" s="465"/>
      <c r="Y90" s="465"/>
      <c r="Z90" s="465"/>
      <c r="AM90" s="431"/>
      <c r="AW90" s="431"/>
    </row>
    <row r="91" spans="1:165">
      <c r="A91" s="716"/>
      <c r="B91" s="1424"/>
      <c r="C91" s="977" t="str">
        <f t="shared" si="17"/>
        <v>Guatemala (Tripsacum andersonii) - forage</v>
      </c>
      <c r="D91" s="113" t="str">
        <f t="shared" si="18"/>
        <v>-</v>
      </c>
      <c r="E91" s="697">
        <v>1</v>
      </c>
      <c r="F91" s="697"/>
      <c r="G91" s="675">
        <v>0</v>
      </c>
      <c r="H91" s="1103"/>
      <c r="I91" s="1329"/>
      <c r="J91" s="1328"/>
      <c r="K91" s="1329"/>
      <c r="L91" s="1329"/>
      <c r="M91" s="1329"/>
      <c r="N91" s="1329"/>
      <c r="O91" s="456"/>
      <c r="P91" s="456"/>
      <c r="Q91" s="456"/>
      <c r="R91" s="456"/>
      <c r="S91" s="456"/>
      <c r="T91" s="465"/>
      <c r="U91" s="465"/>
      <c r="V91" s="465"/>
      <c r="W91" s="465"/>
      <c r="X91" s="465"/>
      <c r="Y91" s="465"/>
      <c r="Z91" s="465"/>
      <c r="AM91" s="431"/>
      <c r="AW91" s="431"/>
    </row>
    <row r="92" spans="1:165">
      <c r="A92" s="716"/>
      <c r="B92" s="1424"/>
      <c r="C92" s="977" t="str">
        <f t="shared" si="17"/>
        <v>Maize (Zea mays) - stover</v>
      </c>
      <c r="D92" s="113" t="str">
        <f t="shared" si="18"/>
        <v>Maize</v>
      </c>
      <c r="E92" s="697">
        <v>0.4</v>
      </c>
      <c r="F92" s="697">
        <v>0.6</v>
      </c>
      <c r="G92" s="675">
        <v>0</v>
      </c>
      <c r="H92" s="1103"/>
      <c r="I92" s="1329"/>
      <c r="J92" s="1328"/>
      <c r="K92" s="1329"/>
      <c r="L92" s="1329"/>
      <c r="M92" s="1329"/>
      <c r="N92" s="1329"/>
      <c r="O92" s="456"/>
      <c r="P92" s="456"/>
      <c r="Q92" s="456"/>
      <c r="R92" s="456"/>
      <c r="S92" s="456"/>
      <c r="T92" s="465"/>
      <c r="U92" s="465"/>
      <c r="V92" s="465"/>
      <c r="W92" s="465"/>
      <c r="X92" s="465"/>
      <c r="Y92" s="465"/>
      <c r="Z92" s="465"/>
      <c r="AM92" s="431"/>
      <c r="AW92" s="431"/>
      <c r="AY92" s="431"/>
    </row>
    <row r="93" spans="1:165">
      <c r="A93" s="716"/>
      <c r="B93" s="1424"/>
      <c r="C93" s="977" t="str">
        <f t="shared" si="17"/>
        <v xml:space="preserve">Naturally occuring pasture - green fodder </v>
      </c>
      <c r="D93" s="113" t="str">
        <f t="shared" si="18"/>
        <v>-</v>
      </c>
      <c r="E93" s="697">
        <v>1</v>
      </c>
      <c r="F93" s="697"/>
      <c r="G93" s="675">
        <v>0</v>
      </c>
      <c r="H93" s="1103"/>
      <c r="I93" s="1329"/>
      <c r="J93" s="1328"/>
      <c r="K93" s="1329"/>
      <c r="L93" s="1329"/>
      <c r="M93" s="1329"/>
      <c r="N93" s="1329"/>
      <c r="O93" s="456"/>
      <c r="P93" s="456"/>
      <c r="Q93" s="456"/>
      <c r="R93" s="456"/>
      <c r="S93" s="456"/>
      <c r="T93" s="465"/>
      <c r="U93" s="465"/>
      <c r="V93" s="465"/>
      <c r="W93" s="465"/>
      <c r="X93" s="465"/>
      <c r="Y93" s="465"/>
      <c r="Z93" s="465"/>
      <c r="AL93" s="431"/>
      <c r="AV93" s="431"/>
      <c r="AY93" s="431"/>
    </row>
    <row r="94" spans="1:165" ht="16.5" thickBot="1">
      <c r="A94" s="716"/>
      <c r="B94" s="1424"/>
      <c r="C94" s="698" t="str">
        <f t="shared" si="17"/>
        <v>N/A</v>
      </c>
      <c r="D94" s="642" t="str">
        <f t="shared" si="18"/>
        <v>-</v>
      </c>
      <c r="E94" s="705">
        <v>1</v>
      </c>
      <c r="F94" s="705"/>
      <c r="G94" s="706">
        <v>0</v>
      </c>
      <c r="H94" s="1103"/>
      <c r="I94" s="1329"/>
      <c r="J94" s="1329"/>
      <c r="K94" s="1329"/>
      <c r="L94" s="1329"/>
      <c r="M94" s="1329"/>
      <c r="N94" s="1329"/>
      <c r="O94" s="456"/>
      <c r="P94" s="465"/>
      <c r="Q94" s="465"/>
      <c r="R94" s="465"/>
      <c r="S94" s="465"/>
      <c r="T94" s="465"/>
      <c r="U94" s="465"/>
      <c r="V94" s="465"/>
      <c r="AH94" s="431"/>
      <c r="AR94" s="431"/>
      <c r="AU94" s="431"/>
    </row>
    <row r="95" spans="1:165" ht="16.5" thickBot="1">
      <c r="A95" s="716"/>
      <c r="B95" s="726"/>
      <c r="C95" s="715"/>
      <c r="D95" s="715"/>
      <c r="E95" s="716"/>
      <c r="F95" s="716"/>
      <c r="H95" s="456"/>
      <c r="I95" s="456"/>
      <c r="J95" s="463"/>
      <c r="K95" s="463"/>
      <c r="L95" s="452"/>
      <c r="M95" s="1330"/>
      <c r="N95" s="1330"/>
      <c r="O95" s="452"/>
      <c r="P95" s="465"/>
      <c r="Q95" s="465"/>
      <c r="R95" s="465"/>
      <c r="S95" s="465"/>
      <c r="T95" s="465"/>
      <c r="U95" s="465"/>
      <c r="V95" s="465"/>
      <c r="AH95" s="431"/>
      <c r="AR95" s="431"/>
      <c r="AU95" s="431"/>
    </row>
    <row r="96" spans="1:165" ht="31.5">
      <c r="A96" s="716"/>
      <c r="B96" s="1425" t="s">
        <v>828</v>
      </c>
      <c r="C96" s="439" t="str">
        <f t="shared" ref="C96:C103" si="19">C87</f>
        <v>Feed item</v>
      </c>
      <c r="D96" s="711"/>
      <c r="E96" s="603" t="s">
        <v>1727</v>
      </c>
      <c r="F96" s="604" t="s">
        <v>1641</v>
      </c>
      <c r="G96" s="1353"/>
      <c r="H96" s="1353"/>
      <c r="I96" s="1353"/>
      <c r="J96" s="1354"/>
      <c r="K96" s="1354"/>
      <c r="L96" s="1354"/>
      <c r="M96" s="1331"/>
      <c r="N96" s="1331"/>
      <c r="O96" s="465"/>
      <c r="P96" s="465"/>
      <c r="Q96" s="465"/>
      <c r="R96" s="465"/>
      <c r="S96" s="465"/>
      <c r="T96" s="465"/>
      <c r="U96" s="465"/>
      <c r="V96" s="465"/>
      <c r="AH96" s="431"/>
      <c r="AR96" s="431"/>
      <c r="AU96" s="431"/>
    </row>
    <row r="97" spans="1:161" s="460" customFormat="1" ht="15.75" customHeight="1">
      <c r="A97" s="716"/>
      <c r="B97" s="1426"/>
      <c r="C97" s="977" t="str">
        <f t="shared" si="19"/>
        <v>Concentrate (commercial)</v>
      </c>
      <c r="D97" s="1292" t="str">
        <f t="shared" ref="D97:D103" si="20">D73</f>
        <v>Purchased</v>
      </c>
      <c r="E97" s="369">
        <v>0</v>
      </c>
      <c r="F97" s="1358">
        <v>0</v>
      </c>
      <c r="G97" s="1355"/>
      <c r="H97" s="1353"/>
      <c r="I97" s="1353"/>
      <c r="J97" s="1356"/>
      <c r="K97" s="1356"/>
      <c r="L97" s="1356"/>
      <c r="M97" s="465"/>
      <c r="N97" s="465"/>
      <c r="O97" s="465"/>
      <c r="P97" s="465"/>
      <c r="Q97" s="465"/>
      <c r="R97" s="465"/>
      <c r="S97" s="465"/>
      <c r="T97" s="465"/>
      <c r="U97" s="465"/>
      <c r="V97" s="465"/>
      <c r="W97" s="429"/>
      <c r="X97" s="429"/>
      <c r="Y97" s="429"/>
      <c r="Z97" s="429"/>
      <c r="AA97" s="429"/>
      <c r="AB97" s="429"/>
      <c r="AC97" s="429"/>
      <c r="AD97" s="429"/>
      <c r="AE97" s="429"/>
      <c r="AF97" s="429"/>
      <c r="AG97" s="429"/>
      <c r="AH97" s="431"/>
      <c r="AI97" s="429"/>
      <c r="AJ97" s="429"/>
      <c r="AK97" s="429"/>
      <c r="AL97" s="429"/>
      <c r="AM97" s="429"/>
      <c r="AN97" s="429"/>
      <c r="AO97" s="429"/>
      <c r="AP97" s="429"/>
      <c r="AQ97" s="429"/>
      <c r="AR97" s="431"/>
      <c r="AS97" s="429"/>
      <c r="AT97" s="429"/>
      <c r="AU97" s="431"/>
      <c r="AV97" s="429"/>
      <c r="AW97" s="429"/>
      <c r="AX97" s="429"/>
      <c r="AY97" s="429"/>
      <c r="AZ97" s="429"/>
      <c r="BA97" s="429"/>
      <c r="BB97" s="429"/>
      <c r="BC97" s="429"/>
      <c r="BD97" s="429"/>
      <c r="BE97" s="429"/>
      <c r="BF97" s="429"/>
      <c r="BG97" s="429"/>
      <c r="BH97" s="429"/>
      <c r="BI97" s="429"/>
      <c r="BJ97" s="429"/>
      <c r="BK97" s="429"/>
      <c r="BL97" s="429"/>
      <c r="BM97" s="429"/>
      <c r="BN97" s="429"/>
      <c r="BO97" s="429"/>
      <c r="BP97" s="429"/>
      <c r="BQ97" s="429"/>
      <c r="BR97" s="429"/>
      <c r="BS97" s="429"/>
      <c r="BT97" s="429"/>
      <c r="BU97" s="429"/>
      <c r="BV97" s="429"/>
      <c r="BW97" s="429"/>
      <c r="BX97" s="429"/>
      <c r="BY97" s="429"/>
      <c r="BZ97" s="429"/>
      <c r="CA97" s="429"/>
      <c r="CB97" s="429"/>
      <c r="CC97" s="429"/>
      <c r="CD97" s="429"/>
      <c r="CE97" s="429"/>
      <c r="CF97" s="429"/>
      <c r="CG97" s="429"/>
      <c r="CH97" s="429"/>
      <c r="CI97" s="429"/>
      <c r="CJ97" s="429"/>
      <c r="CK97" s="429"/>
      <c r="CL97" s="429"/>
      <c r="CM97" s="429"/>
      <c r="CN97" s="429"/>
      <c r="CO97" s="429"/>
      <c r="CP97" s="429"/>
      <c r="CQ97" s="429"/>
      <c r="CR97" s="429"/>
      <c r="CS97" s="429"/>
      <c r="CT97" s="429"/>
      <c r="CU97" s="429"/>
      <c r="CV97" s="429"/>
      <c r="CW97" s="429"/>
      <c r="CX97" s="429"/>
      <c r="CY97" s="429"/>
      <c r="CZ97" s="429"/>
      <c r="DA97" s="429"/>
      <c r="DB97" s="429"/>
      <c r="DC97" s="429"/>
      <c r="DD97" s="429"/>
      <c r="DE97" s="429"/>
      <c r="DF97" s="429"/>
      <c r="DG97" s="429"/>
      <c r="DH97" s="429"/>
      <c r="DI97" s="429"/>
      <c r="DJ97" s="429"/>
      <c r="DK97" s="429"/>
      <c r="DL97" s="429"/>
      <c r="DM97" s="429"/>
      <c r="DN97" s="429"/>
      <c r="DO97" s="429"/>
      <c r="DP97" s="429"/>
      <c r="DQ97" s="429"/>
      <c r="DR97" s="429"/>
      <c r="DS97" s="429"/>
      <c r="DT97" s="429"/>
      <c r="DU97" s="429"/>
      <c r="DV97" s="429"/>
      <c r="DW97" s="429"/>
      <c r="DX97" s="429"/>
      <c r="DY97" s="429"/>
      <c r="DZ97" s="429"/>
      <c r="EA97" s="429"/>
      <c r="EB97" s="429"/>
      <c r="EC97" s="429"/>
      <c r="ED97" s="429"/>
      <c r="EE97" s="429"/>
      <c r="EF97" s="429"/>
      <c r="EG97" s="429"/>
      <c r="EH97" s="429"/>
      <c r="EI97" s="429"/>
      <c r="EJ97" s="429"/>
      <c r="EK97" s="429"/>
      <c r="EL97" s="429"/>
      <c r="EM97" s="429"/>
      <c r="EN97" s="429"/>
      <c r="EO97" s="429"/>
      <c r="EP97" s="429"/>
      <c r="EQ97" s="429"/>
      <c r="ER97" s="429"/>
      <c r="ES97" s="429"/>
      <c r="ET97" s="429"/>
      <c r="EU97" s="429"/>
      <c r="EV97" s="429"/>
      <c r="EW97" s="429"/>
      <c r="EX97" s="429"/>
      <c r="EY97" s="429"/>
      <c r="EZ97" s="429"/>
      <c r="FA97" s="429"/>
      <c r="FB97" s="429"/>
      <c r="FC97" s="429"/>
      <c r="FD97" s="429"/>
      <c r="FE97" s="429"/>
    </row>
    <row r="98" spans="1:161" s="460" customFormat="1" ht="15.75" customHeight="1">
      <c r="A98" s="716"/>
      <c r="B98" s="1426"/>
      <c r="C98" s="977" t="str">
        <f t="shared" si="19"/>
        <v>Pennisetum purpureum - forage</v>
      </c>
      <c r="D98" s="1292" t="str">
        <f t="shared" si="20"/>
        <v>Pennisetum purpureum</v>
      </c>
      <c r="E98" s="369">
        <v>15</v>
      </c>
      <c r="F98" s="1358">
        <v>0.2</v>
      </c>
      <c r="G98" s="1355"/>
      <c r="H98" s="1353"/>
      <c r="I98" s="1353"/>
      <c r="J98" s="1356"/>
      <c r="K98" s="1356"/>
      <c r="L98" s="1356"/>
      <c r="M98" s="465"/>
      <c r="N98" s="465"/>
      <c r="O98" s="465"/>
      <c r="P98" s="465"/>
      <c r="Q98" s="465"/>
      <c r="R98" s="465"/>
      <c r="S98" s="465"/>
      <c r="T98" s="465"/>
      <c r="U98" s="465"/>
      <c r="V98" s="465"/>
      <c r="W98" s="429"/>
      <c r="X98" s="429"/>
      <c r="Y98" s="429"/>
      <c r="Z98" s="429"/>
      <c r="AA98" s="429"/>
      <c r="AB98" s="429"/>
      <c r="AC98" s="429"/>
      <c r="AD98" s="429"/>
      <c r="AE98" s="429"/>
      <c r="AF98" s="429"/>
      <c r="AG98" s="429"/>
      <c r="AH98" s="431"/>
      <c r="AI98" s="429"/>
      <c r="AJ98" s="429"/>
      <c r="AK98" s="429"/>
      <c r="AL98" s="429"/>
      <c r="AM98" s="429"/>
      <c r="AN98" s="429"/>
      <c r="AO98" s="429"/>
      <c r="AP98" s="429"/>
      <c r="AQ98" s="429"/>
      <c r="AR98" s="431"/>
      <c r="AS98" s="429"/>
      <c r="AT98" s="429"/>
      <c r="AU98" s="431"/>
      <c r="AV98" s="429"/>
      <c r="AW98" s="429"/>
      <c r="AX98" s="429"/>
      <c r="AY98" s="429"/>
      <c r="AZ98" s="429"/>
      <c r="BA98" s="429"/>
      <c r="BB98" s="429"/>
      <c r="BC98" s="429"/>
      <c r="BD98" s="429"/>
      <c r="BE98" s="429"/>
      <c r="BF98" s="429"/>
      <c r="BG98" s="429"/>
      <c r="BH98" s="429"/>
      <c r="BI98" s="429"/>
      <c r="BJ98" s="429"/>
      <c r="BK98" s="429"/>
      <c r="BL98" s="429"/>
      <c r="BM98" s="429"/>
      <c r="BN98" s="429"/>
      <c r="BO98" s="429"/>
      <c r="BP98" s="429"/>
      <c r="BQ98" s="429"/>
      <c r="BR98" s="429"/>
      <c r="BS98" s="429"/>
      <c r="BT98" s="429"/>
      <c r="BU98" s="429"/>
      <c r="BV98" s="429"/>
      <c r="BW98" s="429"/>
      <c r="BX98" s="429"/>
      <c r="BY98" s="429"/>
      <c r="BZ98" s="429"/>
      <c r="CA98" s="429"/>
      <c r="CB98" s="429"/>
      <c r="CC98" s="429"/>
      <c r="CD98" s="429"/>
      <c r="CE98" s="429"/>
      <c r="CF98" s="429"/>
      <c r="CG98" s="429"/>
      <c r="CH98" s="429"/>
      <c r="CI98" s="429"/>
      <c r="CJ98" s="429"/>
      <c r="CK98" s="429"/>
      <c r="CL98" s="429"/>
      <c r="CM98" s="429"/>
      <c r="CN98" s="429"/>
      <c r="CO98" s="429"/>
      <c r="CP98" s="429"/>
      <c r="CQ98" s="429"/>
      <c r="CR98" s="429"/>
      <c r="CS98" s="429"/>
      <c r="CT98" s="429"/>
      <c r="CU98" s="429"/>
      <c r="CV98" s="429"/>
      <c r="CW98" s="429"/>
      <c r="CX98" s="429"/>
      <c r="CY98" s="429"/>
      <c r="CZ98" s="429"/>
      <c r="DA98" s="429"/>
      <c r="DB98" s="429"/>
      <c r="DC98" s="429"/>
      <c r="DD98" s="429"/>
      <c r="DE98" s="429"/>
      <c r="DF98" s="429"/>
      <c r="DG98" s="429"/>
      <c r="DH98" s="429"/>
      <c r="DI98" s="429"/>
      <c r="DJ98" s="429"/>
      <c r="DK98" s="429"/>
      <c r="DL98" s="429"/>
      <c r="DM98" s="429"/>
      <c r="DN98" s="429"/>
      <c r="DO98" s="429"/>
      <c r="DP98" s="429"/>
      <c r="DQ98" s="429"/>
      <c r="DR98" s="429"/>
      <c r="DS98" s="429"/>
      <c r="DT98" s="429"/>
      <c r="DU98" s="429"/>
      <c r="DV98" s="429"/>
      <c r="DW98" s="429"/>
      <c r="DX98" s="429"/>
      <c r="DY98" s="429"/>
      <c r="DZ98" s="429"/>
      <c r="EA98" s="429"/>
      <c r="EB98" s="429"/>
      <c r="EC98" s="429"/>
      <c r="ED98" s="429"/>
      <c r="EE98" s="429"/>
      <c r="EF98" s="429"/>
      <c r="EG98" s="429"/>
      <c r="EH98" s="429"/>
      <c r="EI98" s="429"/>
      <c r="EJ98" s="429"/>
      <c r="EK98" s="429"/>
      <c r="EL98" s="429"/>
      <c r="EM98" s="429"/>
      <c r="EN98" s="429"/>
      <c r="EO98" s="429"/>
      <c r="EP98" s="429"/>
      <c r="EQ98" s="429"/>
      <c r="ER98" s="429"/>
      <c r="ES98" s="429"/>
      <c r="ET98" s="429"/>
      <c r="EU98" s="429"/>
      <c r="EV98" s="429"/>
      <c r="EW98" s="429"/>
      <c r="EX98" s="429"/>
      <c r="EY98" s="429"/>
      <c r="EZ98" s="429"/>
      <c r="FA98" s="429"/>
      <c r="FB98" s="429"/>
      <c r="FC98" s="429"/>
      <c r="FD98" s="429"/>
      <c r="FE98" s="429"/>
    </row>
    <row r="99" spans="1:161" s="460" customFormat="1" ht="15.75" customHeight="1">
      <c r="A99" s="716"/>
      <c r="B99" s="1426"/>
      <c r="C99" s="977" t="str">
        <f t="shared" si="19"/>
        <v>Rhodes grass (Chloris gayana) - forage</v>
      </c>
      <c r="D99" s="1292" t="str">
        <f t="shared" si="20"/>
        <v>Rhodes</v>
      </c>
      <c r="E99" s="369">
        <v>15</v>
      </c>
      <c r="F99" s="1358">
        <v>0.2</v>
      </c>
      <c r="G99" s="1355"/>
      <c r="H99" s="1353"/>
      <c r="I99" s="1353"/>
      <c r="J99" s="1356"/>
      <c r="K99" s="1356"/>
      <c r="L99" s="1356"/>
      <c r="M99" s="465"/>
      <c r="N99" s="465"/>
      <c r="O99" s="465"/>
      <c r="P99" s="465"/>
      <c r="Q99" s="465"/>
      <c r="R99" s="465"/>
      <c r="S99" s="465"/>
      <c r="T99" s="465"/>
      <c r="U99" s="465"/>
      <c r="V99" s="465"/>
      <c r="W99" s="429"/>
      <c r="X99" s="429"/>
      <c r="Y99" s="429"/>
      <c r="Z99" s="429"/>
      <c r="AA99" s="431"/>
      <c r="AB99" s="431"/>
      <c r="AC99" s="429"/>
      <c r="AD99" s="429"/>
      <c r="AE99" s="429"/>
      <c r="AF99" s="429"/>
      <c r="AG99" s="429"/>
      <c r="AH99" s="431"/>
      <c r="AI99" s="429"/>
      <c r="AJ99" s="429"/>
      <c r="AK99" s="429"/>
      <c r="AL99" s="429"/>
      <c r="AM99" s="429"/>
      <c r="AN99" s="429"/>
      <c r="AO99" s="429"/>
      <c r="AP99" s="429"/>
      <c r="AQ99" s="429"/>
      <c r="AR99" s="431"/>
      <c r="AS99" s="429"/>
      <c r="AT99" s="429"/>
      <c r="AU99" s="429"/>
      <c r="AV99" s="429"/>
      <c r="AW99" s="429"/>
      <c r="AX99" s="429"/>
      <c r="AY99" s="429"/>
      <c r="AZ99" s="429"/>
      <c r="BA99" s="429"/>
      <c r="BB99" s="429"/>
      <c r="BC99" s="429"/>
      <c r="BD99" s="429"/>
      <c r="BE99" s="429"/>
      <c r="BF99" s="429"/>
      <c r="BG99" s="429"/>
      <c r="BH99" s="429"/>
      <c r="BI99" s="429"/>
      <c r="BJ99" s="429"/>
      <c r="BK99" s="429"/>
      <c r="BL99" s="429"/>
      <c r="BM99" s="429"/>
      <c r="BN99" s="429"/>
      <c r="BO99" s="429"/>
      <c r="BP99" s="429"/>
      <c r="BQ99" s="429"/>
      <c r="BR99" s="429"/>
      <c r="BS99" s="429"/>
      <c r="BT99" s="429"/>
      <c r="BU99" s="429"/>
      <c r="BV99" s="429"/>
      <c r="BW99" s="429"/>
      <c r="BX99" s="429"/>
      <c r="BY99" s="429"/>
      <c r="BZ99" s="429"/>
      <c r="CA99" s="429"/>
      <c r="CB99" s="429"/>
      <c r="CC99" s="429"/>
      <c r="CD99" s="429"/>
      <c r="CE99" s="429"/>
      <c r="CF99" s="429"/>
      <c r="CG99" s="429"/>
      <c r="CH99" s="429"/>
      <c r="CI99" s="429"/>
      <c r="CJ99" s="429"/>
      <c r="CK99" s="429"/>
      <c r="CL99" s="429"/>
      <c r="CM99" s="429"/>
      <c r="CN99" s="429"/>
      <c r="CO99" s="429"/>
      <c r="CP99" s="429"/>
      <c r="CQ99" s="429"/>
      <c r="CR99" s="429"/>
      <c r="CS99" s="429"/>
      <c r="CT99" s="429"/>
      <c r="CU99" s="429"/>
      <c r="CV99" s="429"/>
      <c r="CW99" s="429"/>
      <c r="CX99" s="429"/>
      <c r="CY99" s="429"/>
      <c r="CZ99" s="429"/>
      <c r="DA99" s="429"/>
      <c r="DB99" s="429"/>
      <c r="DC99" s="429"/>
      <c r="DD99" s="429"/>
      <c r="DE99" s="429"/>
      <c r="DF99" s="429"/>
      <c r="DG99" s="429"/>
      <c r="DH99" s="429"/>
      <c r="DI99" s="429"/>
      <c r="DJ99" s="429"/>
      <c r="DK99" s="429"/>
      <c r="DL99" s="429"/>
      <c r="DM99" s="429"/>
      <c r="DN99" s="429"/>
      <c r="DO99" s="429"/>
      <c r="DP99" s="429"/>
      <c r="DQ99" s="429"/>
      <c r="DR99" s="429"/>
      <c r="DS99" s="429"/>
      <c r="DT99" s="429"/>
      <c r="DU99" s="429"/>
      <c r="DV99" s="429"/>
      <c r="DW99" s="429"/>
      <c r="DX99" s="429"/>
      <c r="DY99" s="429"/>
      <c r="DZ99" s="429"/>
      <c r="EA99" s="429"/>
      <c r="EB99" s="429"/>
      <c r="EC99" s="429"/>
      <c r="ED99" s="429"/>
      <c r="EE99" s="429"/>
      <c r="EF99" s="429"/>
      <c r="EG99" s="429"/>
      <c r="EH99" s="429"/>
      <c r="EI99" s="429"/>
      <c r="EJ99" s="429"/>
      <c r="EK99" s="429"/>
      <c r="EL99" s="429"/>
      <c r="EM99" s="429"/>
      <c r="EN99" s="429"/>
      <c r="EO99" s="429"/>
      <c r="EP99" s="429"/>
      <c r="EQ99" s="429"/>
      <c r="ER99" s="429"/>
      <c r="ES99" s="429"/>
      <c r="ET99" s="429"/>
      <c r="EU99" s="429"/>
      <c r="EV99" s="429"/>
      <c r="EW99" s="429"/>
      <c r="EX99" s="429"/>
      <c r="EY99" s="429"/>
      <c r="EZ99" s="429"/>
      <c r="FA99" s="429"/>
      <c r="FB99" s="429"/>
      <c r="FC99" s="429"/>
      <c r="FD99" s="429"/>
      <c r="FE99" s="429"/>
    </row>
    <row r="100" spans="1:161" s="460" customFormat="1" ht="15.75" customHeight="1">
      <c r="A100" s="716"/>
      <c r="B100" s="1426"/>
      <c r="C100" s="977" t="str">
        <f t="shared" si="19"/>
        <v>Guatemala (Tripsacum andersonii) - forage</v>
      </c>
      <c r="D100" s="1292" t="str">
        <f t="shared" si="20"/>
        <v>Guatemala</v>
      </c>
      <c r="E100" s="369">
        <v>15</v>
      </c>
      <c r="F100" s="1358">
        <v>0.2</v>
      </c>
      <c r="G100" s="1355"/>
      <c r="H100" s="1353"/>
      <c r="I100" s="1353"/>
      <c r="J100" s="1356"/>
      <c r="K100" s="1356"/>
      <c r="L100" s="1356"/>
      <c r="M100" s="465"/>
      <c r="N100" s="465"/>
      <c r="O100" s="465"/>
      <c r="P100" s="465"/>
      <c r="Q100" s="465"/>
      <c r="R100" s="452"/>
      <c r="S100" s="465"/>
      <c r="T100" s="465"/>
      <c r="U100" s="465"/>
      <c r="V100" s="452"/>
      <c r="W100" s="429"/>
      <c r="X100" s="429"/>
      <c r="Y100" s="429"/>
      <c r="Z100" s="429"/>
      <c r="AA100" s="429"/>
      <c r="AB100" s="429"/>
      <c r="AC100" s="429"/>
      <c r="AD100" s="429"/>
      <c r="AE100" s="429"/>
      <c r="AF100" s="429"/>
      <c r="AG100" s="429"/>
      <c r="AH100" s="429"/>
      <c r="AI100" s="429"/>
      <c r="AJ100" s="429"/>
      <c r="AK100" s="429"/>
      <c r="AL100" s="429"/>
      <c r="AM100" s="429"/>
      <c r="AN100" s="429"/>
      <c r="AO100" s="429"/>
      <c r="AP100" s="429"/>
      <c r="AQ100" s="431"/>
      <c r="AR100" s="429"/>
      <c r="AS100" s="429"/>
      <c r="AT100" s="431"/>
      <c r="AU100" s="429"/>
      <c r="AV100" s="429"/>
      <c r="AW100" s="429"/>
      <c r="AX100" s="429"/>
      <c r="AY100" s="429"/>
      <c r="AZ100" s="429"/>
      <c r="BA100" s="429"/>
      <c r="BB100" s="429"/>
      <c r="BC100" s="429"/>
      <c r="BD100" s="429"/>
      <c r="BE100" s="429"/>
      <c r="BF100" s="429"/>
      <c r="BG100" s="429"/>
      <c r="BH100" s="429"/>
      <c r="BI100" s="429"/>
      <c r="BJ100" s="429"/>
      <c r="BK100" s="429"/>
      <c r="BL100" s="429"/>
      <c r="BM100" s="429"/>
      <c r="BN100" s="429"/>
      <c r="BO100" s="429"/>
      <c r="BP100" s="429"/>
      <c r="BQ100" s="429"/>
      <c r="BR100" s="429"/>
      <c r="BS100" s="429"/>
      <c r="BT100" s="429"/>
      <c r="BU100" s="429"/>
      <c r="BV100" s="429"/>
      <c r="BW100" s="429"/>
      <c r="BX100" s="429"/>
      <c r="BY100" s="429"/>
      <c r="BZ100" s="429"/>
      <c r="CA100" s="429"/>
      <c r="CB100" s="429"/>
      <c r="CC100" s="429"/>
      <c r="CD100" s="429"/>
      <c r="CE100" s="429"/>
      <c r="CF100" s="429"/>
      <c r="CG100" s="429"/>
      <c r="CH100" s="429"/>
      <c r="CI100" s="429"/>
      <c r="CJ100" s="429"/>
      <c r="CK100" s="429"/>
      <c r="CL100" s="429"/>
      <c r="CM100" s="429"/>
      <c r="CN100" s="429"/>
      <c r="CO100" s="429"/>
      <c r="CP100" s="429"/>
      <c r="CQ100" s="429"/>
      <c r="CR100" s="429"/>
      <c r="CS100" s="429"/>
      <c r="CT100" s="429"/>
      <c r="CU100" s="429"/>
      <c r="CV100" s="429"/>
      <c r="CW100" s="429"/>
      <c r="CX100" s="429"/>
      <c r="CY100" s="429"/>
      <c r="CZ100" s="429"/>
      <c r="DA100" s="429"/>
      <c r="DB100" s="429"/>
      <c r="DC100" s="429"/>
      <c r="DD100" s="429"/>
      <c r="DE100" s="429"/>
      <c r="DF100" s="429"/>
      <c r="DG100" s="429"/>
      <c r="DH100" s="429"/>
      <c r="DI100" s="429"/>
      <c r="DJ100" s="429"/>
      <c r="DK100" s="429"/>
      <c r="DL100" s="429"/>
      <c r="DM100" s="429"/>
      <c r="DN100" s="429"/>
      <c r="DO100" s="429"/>
      <c r="DP100" s="429"/>
      <c r="DQ100" s="429"/>
      <c r="DR100" s="429"/>
      <c r="DS100" s="429"/>
      <c r="DT100" s="429"/>
      <c r="DU100" s="429"/>
      <c r="DV100" s="429"/>
      <c r="DW100" s="429"/>
      <c r="DX100" s="429"/>
      <c r="DY100" s="429"/>
      <c r="DZ100" s="429"/>
      <c r="EA100" s="429"/>
      <c r="EB100" s="429"/>
      <c r="EC100" s="429"/>
      <c r="ED100" s="429"/>
      <c r="EE100" s="429"/>
      <c r="EF100" s="429"/>
      <c r="EG100" s="429"/>
      <c r="EH100" s="429"/>
      <c r="EI100" s="429"/>
      <c r="EJ100" s="429"/>
      <c r="EK100" s="429"/>
      <c r="EL100" s="429"/>
      <c r="EM100" s="429"/>
      <c r="EN100" s="429"/>
      <c r="EO100" s="429"/>
      <c r="EP100" s="429"/>
      <c r="EQ100" s="429"/>
      <c r="ER100" s="429"/>
      <c r="ES100" s="429"/>
      <c r="ET100" s="429"/>
      <c r="EU100" s="429"/>
      <c r="EV100" s="429"/>
      <c r="EW100" s="429"/>
      <c r="EX100" s="429"/>
      <c r="EY100" s="429"/>
      <c r="EZ100" s="429"/>
      <c r="FA100" s="429"/>
      <c r="FB100" s="429"/>
      <c r="FC100" s="429"/>
      <c r="FD100" s="429"/>
      <c r="FE100" s="429"/>
    </row>
    <row r="101" spans="1:161" s="460" customFormat="1" ht="15.75" customHeight="1">
      <c r="A101" s="716"/>
      <c r="B101" s="1426"/>
      <c r="C101" s="977" t="str">
        <f t="shared" si="19"/>
        <v>Maize (Zea mays) - stover</v>
      </c>
      <c r="D101" s="1292" t="str">
        <f t="shared" si="20"/>
        <v>Maize</v>
      </c>
      <c r="E101" s="369">
        <v>15</v>
      </c>
      <c r="F101" s="1358">
        <v>0.3</v>
      </c>
      <c r="G101" s="1355"/>
      <c r="H101" s="1353"/>
      <c r="I101" s="1353"/>
      <c r="J101" s="1356"/>
      <c r="K101" s="1356"/>
      <c r="L101" s="1356"/>
      <c r="M101" s="465"/>
      <c r="N101" s="465"/>
      <c r="O101" s="465"/>
      <c r="P101" s="465"/>
      <c r="Q101" s="465"/>
      <c r="R101" s="429"/>
      <c r="S101" s="452"/>
      <c r="T101" s="465"/>
      <c r="U101" s="465"/>
      <c r="V101" s="429"/>
      <c r="W101" s="429"/>
      <c r="X101" s="429"/>
      <c r="Y101" s="429"/>
      <c r="Z101" s="429"/>
      <c r="AA101" s="429"/>
      <c r="AB101" s="429"/>
      <c r="AC101" s="429"/>
      <c r="AD101" s="429"/>
      <c r="AE101" s="429"/>
      <c r="AF101" s="429"/>
      <c r="AG101" s="429"/>
      <c r="AH101" s="429"/>
      <c r="AI101" s="429"/>
      <c r="AJ101" s="429"/>
      <c r="AK101" s="429"/>
      <c r="AL101" s="429"/>
      <c r="AM101" s="429"/>
      <c r="AN101" s="429"/>
      <c r="AO101" s="429"/>
      <c r="AP101" s="429"/>
      <c r="AQ101" s="431"/>
      <c r="AR101" s="429"/>
      <c r="AS101" s="429"/>
      <c r="AT101" s="431"/>
      <c r="AU101" s="429"/>
      <c r="AV101" s="429"/>
      <c r="AW101" s="429"/>
      <c r="AX101" s="429"/>
      <c r="AY101" s="429"/>
      <c r="AZ101" s="429"/>
      <c r="BA101" s="429"/>
      <c r="BB101" s="429"/>
      <c r="BC101" s="429"/>
      <c r="BD101" s="429"/>
      <c r="BE101" s="429"/>
      <c r="BF101" s="429"/>
      <c r="BG101" s="429"/>
      <c r="BH101" s="429"/>
      <c r="BI101" s="429"/>
      <c r="BJ101" s="429"/>
      <c r="BK101" s="429"/>
      <c r="BL101" s="429"/>
      <c r="BM101" s="429"/>
      <c r="BN101" s="429"/>
      <c r="BO101" s="429"/>
      <c r="BP101" s="429"/>
      <c r="BQ101" s="429"/>
      <c r="BR101" s="429"/>
      <c r="BS101" s="429"/>
      <c r="BT101" s="429"/>
      <c r="BU101" s="429"/>
      <c r="BV101" s="429"/>
      <c r="BW101" s="429"/>
      <c r="BX101" s="429"/>
      <c r="BY101" s="429"/>
      <c r="BZ101" s="429"/>
      <c r="CA101" s="429"/>
      <c r="CB101" s="429"/>
      <c r="CC101" s="429"/>
      <c r="CD101" s="429"/>
      <c r="CE101" s="429"/>
      <c r="CF101" s="429"/>
      <c r="CG101" s="429"/>
      <c r="CH101" s="429"/>
      <c r="CI101" s="429"/>
      <c r="CJ101" s="429"/>
      <c r="CK101" s="429"/>
      <c r="CL101" s="429"/>
      <c r="CM101" s="429"/>
      <c r="CN101" s="429"/>
      <c r="CO101" s="429"/>
      <c r="CP101" s="429"/>
      <c r="CQ101" s="429"/>
      <c r="CR101" s="429"/>
      <c r="CS101" s="429"/>
      <c r="CT101" s="429"/>
      <c r="CU101" s="429"/>
      <c r="CV101" s="429"/>
      <c r="CW101" s="429"/>
      <c r="CX101" s="429"/>
      <c r="CY101" s="429"/>
      <c r="CZ101" s="429"/>
      <c r="DA101" s="429"/>
      <c r="DB101" s="429"/>
      <c r="DC101" s="429"/>
      <c r="DD101" s="429"/>
      <c r="DE101" s="429"/>
      <c r="DF101" s="429"/>
      <c r="DG101" s="429"/>
      <c r="DH101" s="429"/>
      <c r="DI101" s="429"/>
      <c r="DJ101" s="429"/>
      <c r="DK101" s="429"/>
      <c r="DL101" s="429"/>
      <c r="DM101" s="429"/>
      <c r="DN101" s="429"/>
      <c r="DO101" s="429"/>
      <c r="DP101" s="429"/>
      <c r="DQ101" s="429"/>
      <c r="DR101" s="429"/>
      <c r="DS101" s="429"/>
      <c r="DT101" s="429"/>
      <c r="DU101" s="429"/>
      <c r="DV101" s="429"/>
      <c r="DW101" s="429"/>
      <c r="DX101" s="429"/>
      <c r="DY101" s="429"/>
      <c r="DZ101" s="429"/>
      <c r="EA101" s="429"/>
      <c r="EB101" s="429"/>
      <c r="EC101" s="429"/>
      <c r="ED101" s="429"/>
      <c r="EE101" s="429"/>
      <c r="EF101" s="429"/>
      <c r="EG101" s="429"/>
      <c r="EH101" s="429"/>
      <c r="EI101" s="429"/>
      <c r="EJ101" s="429"/>
      <c r="EK101" s="429"/>
      <c r="EL101" s="429"/>
      <c r="EM101" s="429"/>
      <c r="EN101" s="429"/>
      <c r="EO101" s="429"/>
      <c r="EP101" s="429"/>
      <c r="EQ101" s="429"/>
      <c r="ER101" s="429"/>
      <c r="ES101" s="429"/>
      <c r="ET101" s="429"/>
      <c r="EU101" s="429"/>
      <c r="EV101" s="429"/>
      <c r="EW101" s="429"/>
      <c r="EX101" s="429"/>
      <c r="EY101" s="429"/>
      <c r="EZ101" s="429"/>
      <c r="FA101" s="429"/>
      <c r="FB101" s="429"/>
      <c r="FC101" s="429"/>
      <c r="FD101" s="429"/>
      <c r="FE101" s="429"/>
    </row>
    <row r="102" spans="1:161" s="460" customFormat="1" ht="16.5" customHeight="1">
      <c r="A102" s="716"/>
      <c r="B102" s="1426"/>
      <c r="C102" s="977" t="str">
        <f t="shared" si="19"/>
        <v xml:space="preserve">Naturally occuring pasture - green fodder </v>
      </c>
      <c r="D102" s="1292" t="str">
        <f t="shared" si="20"/>
        <v>Natural pasture</v>
      </c>
      <c r="E102" s="369">
        <v>15</v>
      </c>
      <c r="F102" s="1358">
        <v>0</v>
      </c>
      <c r="G102" s="1355"/>
      <c r="H102" s="1353"/>
      <c r="I102" s="1353"/>
      <c r="J102" s="1356"/>
      <c r="K102" s="1356"/>
      <c r="L102" s="1356"/>
      <c r="M102" s="465"/>
      <c r="N102" s="465"/>
      <c r="O102" s="465"/>
      <c r="P102" s="465"/>
      <c r="Q102" s="452"/>
      <c r="R102" s="429"/>
      <c r="S102" s="429"/>
      <c r="T102" s="452"/>
      <c r="U102" s="465"/>
      <c r="V102" s="429"/>
      <c r="W102" s="429"/>
      <c r="X102" s="429"/>
      <c r="Y102" s="429"/>
      <c r="Z102" s="431"/>
      <c r="AA102" s="429"/>
      <c r="AB102" s="429"/>
      <c r="AC102" s="429"/>
      <c r="AD102" s="429"/>
      <c r="AE102" s="429"/>
      <c r="AF102" s="429"/>
      <c r="AG102" s="429"/>
      <c r="AH102" s="429"/>
      <c r="AI102" s="429"/>
      <c r="AJ102" s="429"/>
      <c r="AK102" s="429"/>
      <c r="AL102" s="429"/>
      <c r="AM102" s="429"/>
      <c r="AN102" s="431"/>
      <c r="AO102" s="431"/>
      <c r="AP102" s="429"/>
      <c r="AQ102" s="431"/>
      <c r="AR102" s="429"/>
      <c r="AS102" s="429"/>
      <c r="AT102" s="431"/>
      <c r="AU102" s="429"/>
      <c r="AV102" s="429"/>
      <c r="AW102" s="429"/>
      <c r="AX102" s="429"/>
      <c r="AY102" s="429"/>
      <c r="AZ102" s="429"/>
      <c r="BA102" s="429"/>
      <c r="BB102" s="429"/>
      <c r="BC102" s="429"/>
      <c r="BD102" s="429"/>
      <c r="BE102" s="429"/>
      <c r="BF102" s="429"/>
      <c r="BG102" s="429"/>
      <c r="BH102" s="429"/>
      <c r="BI102" s="429"/>
      <c r="BJ102" s="429"/>
      <c r="BK102" s="429"/>
      <c r="BL102" s="429"/>
      <c r="BM102" s="429"/>
      <c r="BN102" s="429"/>
      <c r="BO102" s="429"/>
      <c r="BP102" s="429"/>
      <c r="BQ102" s="429"/>
      <c r="BR102" s="429"/>
      <c r="BS102" s="429"/>
      <c r="BT102" s="429"/>
      <c r="BU102" s="429"/>
      <c r="BV102" s="429"/>
      <c r="BW102" s="429"/>
      <c r="BX102" s="429"/>
      <c r="BY102" s="429"/>
      <c r="BZ102" s="429"/>
      <c r="CA102" s="429"/>
      <c r="CB102" s="429"/>
      <c r="CC102" s="429"/>
      <c r="CD102" s="429"/>
      <c r="CE102" s="429"/>
      <c r="CF102" s="429"/>
      <c r="CG102" s="429"/>
      <c r="CH102" s="429"/>
      <c r="CI102" s="429"/>
      <c r="CJ102" s="429"/>
      <c r="CK102" s="429"/>
      <c r="CL102" s="429"/>
      <c r="CM102" s="429"/>
      <c r="CN102" s="429"/>
      <c r="CO102" s="429"/>
      <c r="CP102" s="429"/>
      <c r="CQ102" s="429"/>
      <c r="CR102" s="429"/>
      <c r="CS102" s="429"/>
      <c r="CT102" s="429"/>
      <c r="CU102" s="429"/>
      <c r="CV102" s="429"/>
      <c r="CW102" s="429"/>
      <c r="CX102" s="429"/>
      <c r="CY102" s="429"/>
      <c r="CZ102" s="429"/>
      <c r="DA102" s="429"/>
      <c r="DB102" s="429"/>
      <c r="DC102" s="429"/>
      <c r="DD102" s="429"/>
      <c r="DE102" s="429"/>
      <c r="DF102" s="429"/>
      <c r="DG102" s="429"/>
      <c r="DH102" s="429"/>
      <c r="DI102" s="429"/>
      <c r="DJ102" s="429"/>
      <c r="DK102" s="429"/>
      <c r="DL102" s="429"/>
      <c r="DM102" s="429"/>
      <c r="DN102" s="429"/>
      <c r="DO102" s="429"/>
      <c r="DP102" s="429"/>
      <c r="DQ102" s="429"/>
      <c r="DR102" s="429"/>
      <c r="DS102" s="429"/>
      <c r="DT102" s="429"/>
      <c r="DU102" s="429"/>
      <c r="DV102" s="429"/>
      <c r="DW102" s="429"/>
      <c r="DX102" s="429"/>
      <c r="DY102" s="429"/>
      <c r="DZ102" s="429"/>
      <c r="EA102" s="429"/>
      <c r="EB102" s="429"/>
      <c r="EC102" s="429"/>
      <c r="ED102" s="429"/>
      <c r="EE102" s="429"/>
      <c r="EF102" s="429"/>
      <c r="EG102" s="429"/>
      <c r="EH102" s="429"/>
      <c r="EI102" s="429"/>
      <c r="EJ102" s="429"/>
      <c r="EK102" s="429"/>
      <c r="EL102" s="429"/>
      <c r="EM102" s="429"/>
      <c r="EN102" s="429"/>
      <c r="EO102" s="429"/>
      <c r="EP102" s="429"/>
      <c r="EQ102" s="429"/>
      <c r="ER102" s="429"/>
      <c r="ES102" s="429"/>
      <c r="ET102" s="429"/>
      <c r="EU102" s="429"/>
      <c r="EV102" s="429"/>
      <c r="EW102" s="429"/>
      <c r="EX102" s="429"/>
      <c r="EY102" s="429"/>
      <c r="EZ102" s="429"/>
      <c r="FA102" s="429"/>
      <c r="FB102" s="429"/>
      <c r="FC102" s="429"/>
      <c r="FD102" s="429"/>
      <c r="FE102" s="429"/>
    </row>
    <row r="103" spans="1:161" ht="16.5" thickBot="1">
      <c r="A103" s="716"/>
      <c r="B103" s="1426"/>
      <c r="C103" s="698" t="str">
        <f t="shared" si="19"/>
        <v>N/A</v>
      </c>
      <c r="D103" s="642" t="str">
        <f t="shared" si="20"/>
        <v>N/A</v>
      </c>
      <c r="E103" s="974">
        <v>0</v>
      </c>
      <c r="F103" s="1359">
        <v>0</v>
      </c>
      <c r="G103" s="1355"/>
      <c r="H103" s="1353"/>
      <c r="I103" s="1353"/>
      <c r="J103" s="1356"/>
      <c r="K103" s="1356"/>
      <c r="L103" s="1356"/>
      <c r="M103" s="465"/>
      <c r="N103" s="465"/>
      <c r="O103" s="465"/>
      <c r="P103" s="465"/>
      <c r="U103" s="452"/>
      <c r="AN103" s="431"/>
      <c r="AO103" s="431"/>
      <c r="AQ103" s="431"/>
      <c r="AT103" s="431"/>
    </row>
    <row r="104" spans="1:161" ht="16.5" thickBot="1">
      <c r="A104" s="716"/>
      <c r="B104" s="466"/>
      <c r="C104" s="429"/>
      <c r="E104" s="1103"/>
      <c r="F104" s="1103"/>
      <c r="G104" s="1353"/>
      <c r="H104" s="1357"/>
      <c r="I104" s="1357"/>
      <c r="J104" s="1356"/>
      <c r="K104" s="1356"/>
      <c r="L104" s="1356"/>
      <c r="M104" s="452"/>
      <c r="N104" s="452"/>
      <c r="O104" s="452"/>
      <c r="AG104" s="431"/>
      <c r="AM104" s="431"/>
      <c r="AP104" s="431"/>
    </row>
    <row r="105" spans="1:161">
      <c r="A105" s="716"/>
      <c r="B105" s="466"/>
      <c r="C105" s="439" t="s">
        <v>1038</v>
      </c>
      <c r="D105" s="434" t="s">
        <v>1567</v>
      </c>
      <c r="E105" s="440" t="s">
        <v>1143</v>
      </c>
      <c r="J105" s="463"/>
      <c r="K105" s="463"/>
      <c r="W105" s="431"/>
      <c r="AG105" s="431"/>
      <c r="AM105" s="431"/>
      <c r="AP105" s="431"/>
    </row>
    <row r="106" spans="1:161">
      <c r="A106" s="716"/>
      <c r="B106" s="466"/>
      <c r="C106" s="979" t="s">
        <v>1033</v>
      </c>
      <c r="D106" s="993">
        <v>5</v>
      </c>
      <c r="E106" s="367">
        <v>1</v>
      </c>
      <c r="AF106" s="431"/>
      <c r="AM106" s="431"/>
      <c r="AP106" s="431"/>
    </row>
    <row r="107" spans="1:161">
      <c r="A107" s="716"/>
      <c r="B107" s="466"/>
      <c r="C107" s="979" t="s">
        <v>1034</v>
      </c>
      <c r="D107" s="993">
        <f>SUM(E$97:E$103)*E107</f>
        <v>0</v>
      </c>
      <c r="E107" s="367"/>
      <c r="AJ107" s="431"/>
      <c r="AQ107" s="431"/>
      <c r="AT107" s="431"/>
    </row>
    <row r="108" spans="1:161">
      <c r="A108" s="716"/>
      <c r="B108" s="466"/>
      <c r="C108" s="979" t="s">
        <v>1035</v>
      </c>
      <c r="D108" s="993">
        <v>0</v>
      </c>
      <c r="E108" s="367"/>
      <c r="V108" s="431"/>
      <c r="Z108" s="431"/>
      <c r="AJ108" s="431"/>
      <c r="AQ108" s="431"/>
    </row>
    <row r="109" spans="1:161">
      <c r="A109" s="716"/>
      <c r="B109" s="466"/>
      <c r="C109" s="979" t="s">
        <v>1036</v>
      </c>
      <c r="D109" s="993">
        <v>0</v>
      </c>
      <c r="E109" s="367">
        <v>0</v>
      </c>
      <c r="W109" s="431"/>
      <c r="AJ109" s="431"/>
      <c r="AQ109" s="431"/>
    </row>
    <row r="110" spans="1:161" ht="16.5" thickBot="1">
      <c r="A110" s="716"/>
      <c r="B110" s="602"/>
      <c r="C110" s="980" t="s">
        <v>1037</v>
      </c>
      <c r="D110" s="994">
        <f>SUM(E$97:E$103)*E110</f>
        <v>0</v>
      </c>
      <c r="E110" s="978"/>
      <c r="U110" s="431"/>
      <c r="X110" s="431"/>
      <c r="AG110" s="431"/>
      <c r="AJ110" s="431"/>
    </row>
    <row r="111" spans="1:161" ht="16.5" thickBot="1">
      <c r="A111" s="716"/>
      <c r="B111" s="442"/>
      <c r="C111" s="429"/>
      <c r="E111" s="612">
        <f>1-SUM(E106:E110)</f>
        <v>0</v>
      </c>
      <c r="Y111" s="431"/>
      <c r="AJ111" s="431"/>
    </row>
    <row r="112" spans="1:161">
      <c r="A112" s="716"/>
      <c r="B112" s="1420" t="s">
        <v>645</v>
      </c>
      <c r="C112" s="439"/>
      <c r="D112" s="596"/>
      <c r="E112" s="598" t="s">
        <v>1141</v>
      </c>
      <c r="F112" s="452" t="s">
        <v>648</v>
      </c>
      <c r="G112" s="452" t="s">
        <v>649</v>
      </c>
      <c r="H112" s="452" t="s">
        <v>669</v>
      </c>
      <c r="I112" s="452" t="s">
        <v>670</v>
      </c>
      <c r="T112" s="431"/>
      <c r="AJ112" s="431"/>
    </row>
    <row r="113" spans="1:57">
      <c r="A113" s="716"/>
      <c r="B113" s="1421"/>
      <c r="C113" s="944" t="s">
        <v>665</v>
      </c>
      <c r="D113" s="84" t="s">
        <v>126</v>
      </c>
      <c r="E113" s="599">
        <f>0 + IF(D73 = "Rice",F73,0) + IF(D74 = "Rice",F74,0)+ IF(D75 = "Rice",F75,0)+ IF(D76 = "Rice",F76,0)+ IF(D77 = "Rice",F77,0)+ IF(D78 = "Rice",F78,0)+ IF(D79= "Rice",F79,0)</f>
        <v>0</v>
      </c>
      <c r="F113" s="452"/>
      <c r="G113" s="452"/>
      <c r="H113" s="452"/>
      <c r="I113" s="452"/>
    </row>
    <row r="114" spans="1:57" ht="13.5" customHeight="1">
      <c r="A114" s="716"/>
      <c r="B114" s="1421"/>
      <c r="C114" s="944" t="s">
        <v>1067</v>
      </c>
      <c r="D114" s="84" t="s">
        <v>381</v>
      </c>
      <c r="E114" s="600"/>
      <c r="F114" s="452">
        <v>0</v>
      </c>
      <c r="G114" s="452">
        <v>0</v>
      </c>
      <c r="H114" s="452">
        <v>0</v>
      </c>
      <c r="I114" s="452">
        <v>0</v>
      </c>
    </row>
    <row r="115" spans="1:57">
      <c r="A115" s="716"/>
      <c r="B115" s="1421"/>
      <c r="C115" s="944" t="s">
        <v>666</v>
      </c>
      <c r="D115" s="84" t="s">
        <v>598</v>
      </c>
      <c r="E115" s="600" t="s">
        <v>790</v>
      </c>
      <c r="F115" s="452" t="s">
        <v>790</v>
      </c>
      <c r="G115" s="452" t="s">
        <v>790</v>
      </c>
      <c r="H115" s="452" t="s">
        <v>790</v>
      </c>
      <c r="I115" s="452" t="s">
        <v>790</v>
      </c>
    </row>
    <row r="116" spans="1:57" ht="47.25">
      <c r="A116" s="716"/>
      <c r="B116" s="1421"/>
      <c r="C116" s="944" t="s">
        <v>1066</v>
      </c>
      <c r="D116" s="84" t="s">
        <v>668</v>
      </c>
      <c r="E116" s="600" t="s">
        <v>190</v>
      </c>
      <c r="F116" s="452"/>
      <c r="G116" s="452"/>
      <c r="H116" s="452"/>
      <c r="I116" s="452"/>
    </row>
    <row r="117" spans="1:57">
      <c r="A117" s="716"/>
      <c r="B117" s="1421"/>
      <c r="C117" s="981" t="s">
        <v>745</v>
      </c>
      <c r="D117" s="84" t="s">
        <v>598</v>
      </c>
      <c r="E117" s="600" t="s">
        <v>199</v>
      </c>
      <c r="F117" s="452"/>
      <c r="G117" s="452"/>
      <c r="H117" s="452"/>
      <c r="I117" s="452"/>
    </row>
    <row r="118" spans="1:57" ht="16.5" thickBot="1">
      <c r="A118" s="716"/>
      <c r="B118" s="1422"/>
      <c r="C118" s="982" t="s">
        <v>746</v>
      </c>
      <c r="D118" s="597" t="s">
        <v>1057</v>
      </c>
      <c r="E118" s="601">
        <f>IF(SUM(F118:L118)=0, 0, AVERAGEIF(F118:L118, "&lt;&gt;0"))</f>
        <v>0</v>
      </c>
      <c r="F118" s="486">
        <f>IF(D97="Rice", E97, 0)</f>
        <v>0</v>
      </c>
      <c r="G118" s="486">
        <f>IF(D98="Rice", E98, 0)</f>
        <v>0</v>
      </c>
      <c r="H118" s="486">
        <f>IF(D99="Rice", E99, 0)</f>
        <v>0</v>
      </c>
      <c r="I118" s="486">
        <f>IF(D100="Rice", E100, 0)</f>
        <v>0</v>
      </c>
      <c r="J118" s="486">
        <f>IF(D101="Rice", E101, 0)</f>
        <v>0</v>
      </c>
      <c r="K118" s="486">
        <f>IF(D102="Rice", E102, 0)</f>
        <v>0</v>
      </c>
      <c r="L118" s="486">
        <f>IF(D103="Rice", E103, 0)</f>
        <v>0</v>
      </c>
      <c r="BD118" s="431"/>
    </row>
    <row r="119" spans="1:57">
      <c r="A119" s="716"/>
      <c r="C119" s="468"/>
      <c r="D119" s="431"/>
      <c r="E119" s="491"/>
      <c r="F119" s="486"/>
      <c r="G119" s="486"/>
      <c r="H119" s="486"/>
      <c r="I119" s="486"/>
      <c r="J119" s="486"/>
      <c r="K119" s="486"/>
      <c r="L119" s="486"/>
      <c r="BD119" s="431"/>
    </row>
    <row r="120" spans="1:57">
      <c r="A120" s="716"/>
      <c r="C120" s="468"/>
      <c r="D120" s="431"/>
      <c r="E120" s="491"/>
      <c r="F120" s="486"/>
      <c r="G120" s="486"/>
      <c r="H120" s="486"/>
      <c r="I120" s="486"/>
      <c r="J120" s="486"/>
      <c r="K120" s="486"/>
      <c r="L120" s="486"/>
      <c r="BD120" s="431"/>
    </row>
    <row r="121" spans="1:57">
      <c r="A121" s="445"/>
      <c r="C121" s="468"/>
      <c r="D121" s="431"/>
      <c r="E121" s="491"/>
      <c r="F121" s="486"/>
      <c r="G121" s="486"/>
      <c r="H121" s="486"/>
      <c r="I121" s="486"/>
      <c r="J121" s="486"/>
      <c r="K121" s="486"/>
      <c r="L121" s="486"/>
      <c r="BD121" s="431"/>
    </row>
    <row r="122" spans="1:57" ht="31.5">
      <c r="B122" s="432" t="s">
        <v>1199</v>
      </c>
      <c r="C122" s="428"/>
      <c r="D122" s="428"/>
      <c r="E122" s="433"/>
      <c r="F122" s="428"/>
      <c r="G122" s="428"/>
      <c r="H122" s="428"/>
      <c r="I122" s="428"/>
      <c r="J122" s="428"/>
      <c r="K122" s="428"/>
      <c r="L122" s="428"/>
      <c r="M122" s="428"/>
      <c r="N122" s="428"/>
      <c r="O122" s="428"/>
      <c r="P122" s="428"/>
      <c r="Q122" s="428"/>
      <c r="R122" s="428"/>
      <c r="S122" s="428"/>
      <c r="T122" s="428"/>
      <c r="U122" s="428"/>
      <c r="V122" s="428"/>
      <c r="W122" s="428"/>
      <c r="X122" s="428"/>
      <c r="Y122" s="428"/>
      <c r="Z122" s="428"/>
      <c r="AA122" s="428"/>
      <c r="AB122" s="428"/>
      <c r="AC122" s="428"/>
      <c r="AD122" s="428"/>
      <c r="AE122" s="428"/>
      <c r="AF122" s="428"/>
      <c r="BD122" s="431"/>
      <c r="BE122" s="431"/>
    </row>
    <row r="123" spans="1:57" ht="16.5" thickBot="1">
      <c r="A123" s="445"/>
      <c r="C123" s="468"/>
      <c r="D123" s="431"/>
      <c r="E123" s="467"/>
      <c r="F123" s="467"/>
      <c r="G123" s="463"/>
      <c r="H123" s="463"/>
      <c r="I123" s="463"/>
      <c r="BD123" s="431"/>
      <c r="BE123" s="431"/>
    </row>
    <row r="124" spans="1:57" ht="16.5" thickBot="1">
      <c r="B124" s="1081" t="s">
        <v>1483</v>
      </c>
      <c r="C124" s="343"/>
      <c r="D124" s="343"/>
      <c r="E124" s="343"/>
      <c r="F124" s="344"/>
      <c r="J124" s="692"/>
      <c r="K124" s="692"/>
      <c r="L124" s="692"/>
      <c r="BD124" s="431"/>
      <c r="BE124" s="431"/>
    </row>
    <row r="125" spans="1:57" ht="31.5">
      <c r="B125" s="608"/>
      <c r="C125" s="750" t="s">
        <v>1181</v>
      </c>
      <c r="D125" s="703" t="s">
        <v>1486</v>
      </c>
      <c r="E125" s="704" t="s">
        <v>1197</v>
      </c>
      <c r="F125" s="704" t="s">
        <v>1184</v>
      </c>
      <c r="I125" s="676"/>
      <c r="J125" s="694"/>
      <c r="K125" s="695"/>
      <c r="L125" s="695"/>
      <c r="M125" s="696"/>
      <c r="BE125" s="431"/>
    </row>
    <row r="126" spans="1:57">
      <c r="B126" s="443" t="str">
        <f t="shared" ref="B126:B134" si="21">C21</f>
        <v>Cows (local)</v>
      </c>
      <c r="C126" s="750" t="e">
        <f t="shared" ref="C126:C134" ca="1" si="22">IF(INDIRECT(CONCATENATE("[", "Baseline.xlsm","]INPUTS","!D18"))&lt;=D21,INDIRECT(CONCATENATE("[", "Baseline.xlsm","]INPUTS","!D18")),D21)</f>
        <v>#REF!</v>
      </c>
      <c r="D126" s="1206" t="str">
        <f>VLOOKUP(B126,'Livestock parameters'!$A$20:AJ$34,32,FALSE)</f>
        <v>beef</v>
      </c>
      <c r="E126" s="1207">
        <f>VLOOKUP(B126,'Livestock parameters'!$A$20:AK$34,34,FALSE)</f>
        <v>8</v>
      </c>
      <c r="F126" s="675"/>
      <c r="J126" s="694"/>
      <c r="K126" s="749"/>
      <c r="L126" s="695"/>
      <c r="M126" s="696"/>
      <c r="BE126" s="431"/>
    </row>
    <row r="127" spans="1:57">
      <c r="B127" s="443" t="str">
        <f t="shared" si="21"/>
        <v>Cows (improved)</v>
      </c>
      <c r="C127" s="750" t="e">
        <f t="shared" ca="1" si="22"/>
        <v>#REF!</v>
      </c>
      <c r="D127" s="1206" t="str">
        <f>VLOOKUP(B127,'Livestock parameters'!$A$20:AJ$34,32,FALSE)</f>
        <v>beef</v>
      </c>
      <c r="E127" s="1207">
        <f>VLOOKUP(B127,'Livestock parameters'!$A$20:AK$34,34,FALSE)</f>
        <v>20</v>
      </c>
      <c r="F127" s="675"/>
      <c r="J127" s="694"/>
      <c r="K127" s="695"/>
      <c r="L127" s="695"/>
      <c r="M127" s="696"/>
      <c r="BE127" s="431"/>
    </row>
    <row r="128" spans="1:57">
      <c r="B128" s="443" t="str">
        <f t="shared" si="21"/>
        <v>Adult cattle - male</v>
      </c>
      <c r="C128" s="750" t="e">
        <f t="shared" ca="1" si="22"/>
        <v>#REF!</v>
      </c>
      <c r="D128" s="1206" t="str">
        <f>VLOOKUP(B128,'Livestock parameters'!$A$20:AJ$34,32,FALSE)</f>
        <v>beef</v>
      </c>
      <c r="E128" s="1207">
        <f>VLOOKUP(B128,'Livestock parameters'!$A$20:AK$34,34,FALSE)</f>
        <v>8</v>
      </c>
      <c r="F128" s="675"/>
      <c r="J128" s="694"/>
      <c r="K128" s="695"/>
      <c r="L128" s="695"/>
      <c r="M128" s="696"/>
      <c r="BE128" s="431"/>
    </row>
    <row r="129" spans="2:55">
      <c r="B129" s="443" t="str">
        <f t="shared" si="21"/>
        <v>Calves</v>
      </c>
      <c r="C129" s="750" t="e">
        <f t="shared" ca="1" si="22"/>
        <v>#REF!</v>
      </c>
      <c r="D129" s="1206" t="str">
        <f>VLOOKUP(B129,'Livestock parameters'!$A$20:AJ$34,32,FALSE)</f>
        <v>beef</v>
      </c>
      <c r="E129" s="1207">
        <f>VLOOKUP(B129,'Livestock parameters'!$A$20:AK$34,34,FALSE)</f>
        <v>5</v>
      </c>
      <c r="F129" s="675"/>
      <c r="J129" s="693"/>
      <c r="K129" s="693"/>
      <c r="L129" s="693"/>
      <c r="M129" s="442"/>
    </row>
    <row r="130" spans="2:55">
      <c r="B130" s="443" t="str">
        <f t="shared" si="21"/>
        <v>Steers/heifers</v>
      </c>
      <c r="C130" s="750" t="e">
        <f t="shared" ca="1" si="22"/>
        <v>#REF!</v>
      </c>
      <c r="D130" s="1206" t="str">
        <f>VLOOKUP(B130,'Livestock parameters'!$A$20:AJ$34,32,FALSE)</f>
        <v>beef</v>
      </c>
      <c r="E130" s="1207">
        <f>VLOOKUP(B130,'Livestock parameters'!$A$20:AK$34,34,FALSE)</f>
        <v>5</v>
      </c>
      <c r="F130" s="675"/>
      <c r="J130" s="968"/>
    </row>
    <row r="131" spans="2:55">
      <c r="B131" s="443" t="str">
        <f t="shared" si="21"/>
        <v>Sheep/Goats - Ewes/Does</v>
      </c>
      <c r="C131" s="750" t="e">
        <f t="shared" ca="1" si="22"/>
        <v>#REF!</v>
      </c>
      <c r="D131" s="1206" t="str">
        <f>VLOOKUP(B131,'Livestock parameters'!$A$20:AJ$34,32,FALSE)</f>
        <v>lamb</v>
      </c>
      <c r="E131" s="1207">
        <f>VLOOKUP(B131,'Livestock parameters'!$A$20:AK$34,34,FALSE)</f>
        <v>0</v>
      </c>
      <c r="F131" s="675"/>
      <c r="J131" s="968"/>
    </row>
    <row r="132" spans="2:55">
      <c r="B132" s="443" t="str">
        <f t="shared" si="21"/>
        <v>Pigs - lactating/pregnant sows</v>
      </c>
      <c r="C132" s="750" t="e">
        <f t="shared" ca="1" si="22"/>
        <v>#REF!</v>
      </c>
      <c r="D132" s="1206" t="str">
        <f>VLOOKUP(B132,'Livestock parameters'!$A$20:AJ$34,32,FALSE)</f>
        <v>pork</v>
      </c>
      <c r="E132" s="1207">
        <f>VLOOKUP(B132,'Livestock parameters'!$A$20:AK$34,34,FALSE)</f>
        <v>0</v>
      </c>
      <c r="F132" s="675"/>
      <c r="J132" s="968"/>
    </row>
    <row r="133" spans="2:55">
      <c r="B133" s="443" t="str">
        <f t="shared" si="21"/>
        <v>Calves</v>
      </c>
      <c r="C133" s="750" t="e">
        <f t="shared" ca="1" si="22"/>
        <v>#REF!</v>
      </c>
      <c r="D133" s="1206" t="str">
        <f>VLOOKUP(B133,'Livestock parameters'!$A$20:AJ$34,32,FALSE)</f>
        <v>beef</v>
      </c>
      <c r="E133" s="1207">
        <f>VLOOKUP(B133,'Livestock parameters'!$A$20:AK$34,34,FALSE)</f>
        <v>5</v>
      </c>
      <c r="F133" s="675"/>
      <c r="J133" s="968"/>
    </row>
    <row r="134" spans="2:55">
      <c r="B134" s="443">
        <f t="shared" si="21"/>
        <v>0</v>
      </c>
      <c r="C134" s="750" t="e">
        <f t="shared" ca="1" si="22"/>
        <v>#REF!</v>
      </c>
      <c r="D134" s="1206" t="e">
        <f>VLOOKUP(B134,'Livestock parameters'!$A$20:AJ$34,32,FALSE)</f>
        <v>#N/A</v>
      </c>
      <c r="E134" s="1207" t="e">
        <f>VLOOKUP(B134,'Livestock parameters'!$A$20:AK$34,34,FALSE)</f>
        <v>#N/A</v>
      </c>
      <c r="F134" s="675"/>
      <c r="J134" s="968"/>
    </row>
    <row r="135" spans="2:55">
      <c r="B135" s="443" t="e">
        <f>#REF!</f>
        <v>#REF!</v>
      </c>
      <c r="C135" s="750" t="e">
        <f ca="1">IF(INDIRECT(CONCATENATE("[", "Baseline.xlsm","]INPUTS","!D18"))&lt;=#REF!,INDIRECT(CONCATENATE("[", "Baseline.xlsm","]INPUTS","!D18")),#REF!)</f>
        <v>#REF!</v>
      </c>
      <c r="D135" s="1206" t="e">
        <f>VLOOKUP(B135,'Livestock parameters'!$A$20:AJ$34,32,FALSE)</f>
        <v>#REF!</v>
      </c>
      <c r="E135" s="1207" t="e">
        <f>VLOOKUP(B135,'Livestock parameters'!$A$20:AK$34,34,FALSE)</f>
        <v>#REF!</v>
      </c>
      <c r="F135" s="675"/>
    </row>
    <row r="136" spans="2:55">
      <c r="B136" s="443" t="e">
        <f>#REF!</f>
        <v>#REF!</v>
      </c>
      <c r="C136" s="750" t="e">
        <f ca="1">IF(INDIRECT(CONCATENATE("[", "Baseline.xlsm","]INPUTS","!D18"))&lt;=#REF!,INDIRECT(CONCATENATE("[", "Baseline.xlsm","]INPUTS","!D18")),#REF!)</f>
        <v>#REF!</v>
      </c>
      <c r="D136" s="1206" t="e">
        <f>VLOOKUP(B136,'Livestock parameters'!$A$20:AJ$34,32,FALSE)</f>
        <v>#REF!</v>
      </c>
      <c r="E136" s="1207" t="e">
        <f>VLOOKUP(B136,'Livestock parameters'!$A$20:AK$34,34,FALSE)</f>
        <v>#REF!</v>
      </c>
      <c r="F136" s="675"/>
    </row>
    <row r="137" spans="2:55">
      <c r="B137" s="443" t="e">
        <f>#REF!</f>
        <v>#REF!</v>
      </c>
      <c r="C137" s="750" t="e">
        <f ca="1">IF(INDIRECT(CONCATENATE("[", "Baseline.xlsm","]INPUTS","!D18"))&lt;=#REF!,INDIRECT(CONCATENATE("[", "Baseline.xlsm","]INPUTS","!D18")),#REF!)</f>
        <v>#REF!</v>
      </c>
      <c r="D137" s="1206" t="e">
        <f>VLOOKUP(B137,'Livestock parameters'!$A$20:AJ$34,32,FALSE)</f>
        <v>#REF!</v>
      </c>
      <c r="E137" s="1207" t="e">
        <f>VLOOKUP(B137,'Livestock parameters'!$A$20:AK$34,34,FALSE)</f>
        <v>#REF!</v>
      </c>
      <c r="F137" s="675"/>
    </row>
    <row r="138" spans="2:55">
      <c r="B138" s="443" t="e">
        <f>#REF!</f>
        <v>#REF!</v>
      </c>
      <c r="C138" s="750" t="e">
        <f ca="1">IF(INDIRECT(CONCATENATE("[", "Baseline.xlsm","]INPUTS","!D18"))&lt;=#REF!,INDIRECT(CONCATENATE("[", "Baseline.xlsm","]INPUTS","!D18")),#REF!)</f>
        <v>#REF!</v>
      </c>
      <c r="D138" s="1206" t="e">
        <f>VLOOKUP(B138,'Livestock parameters'!$A$20:AJ$34,32,FALSE)</f>
        <v>#REF!</v>
      </c>
      <c r="E138" s="1207" t="e">
        <f>VLOOKUP(B138,'Livestock parameters'!$A$20:AK$34,34,FALSE)</f>
        <v>#REF!</v>
      </c>
      <c r="F138" s="675"/>
    </row>
    <row r="139" spans="2:55" ht="16.5" thickBot="1">
      <c r="B139" s="443" t="e">
        <f>#REF!</f>
        <v>#REF!</v>
      </c>
      <c r="C139" s="750" t="e">
        <f ca="1">IF(INDIRECT(CONCATENATE("[", "Baseline.xlsm","]INPUTS","!D18"))&lt;=#REF!,INDIRECT(CONCATENATE("[", "Baseline.xlsm","]INPUTS","!D18")),#REF!)</f>
        <v>#REF!</v>
      </c>
      <c r="D139" s="1206" t="e">
        <f>VLOOKUP(B139,'Livestock parameters'!$A$20:AJ$34,32,FALSE)</f>
        <v>#REF!</v>
      </c>
      <c r="E139" s="1207" t="e">
        <f>VLOOKUP(B139,'Livestock parameters'!$A$20:AK$34,34,FALSE)</f>
        <v>#REF!</v>
      </c>
      <c r="F139" s="706"/>
    </row>
    <row r="140" spans="2:55">
      <c r="B140" s="441"/>
      <c r="C140" s="619"/>
      <c r="D140" s="343"/>
      <c r="E140" s="343"/>
      <c r="F140" s="343"/>
      <c r="BC140" s="431"/>
    </row>
    <row r="141" spans="2:55" ht="16.5" thickBot="1">
      <c r="B141" s="607"/>
      <c r="C141" s="320"/>
      <c r="D141" s="320"/>
      <c r="E141" s="320"/>
      <c r="F141" s="320"/>
      <c r="G141" s="320"/>
      <c r="BC141" s="431"/>
    </row>
    <row r="142" spans="2:55" ht="26.25" customHeight="1" thickBot="1">
      <c r="B142" s="665" t="s">
        <v>1484</v>
      </c>
      <c r="C142" s="343"/>
      <c r="D142" s="343"/>
      <c r="E142" s="343"/>
      <c r="F142" s="343"/>
      <c r="G142" s="620"/>
      <c r="H142" s="437"/>
      <c r="BC142" s="431"/>
    </row>
    <row r="143" spans="2:55" ht="31.5">
      <c r="B143" s="590"/>
      <c r="C143" s="603" t="s">
        <v>1181</v>
      </c>
      <c r="D143" s="703" t="s">
        <v>1485</v>
      </c>
      <c r="E143" s="703" t="s">
        <v>1486</v>
      </c>
      <c r="F143" s="876" t="s">
        <v>1198</v>
      </c>
      <c r="G143" s="604" t="s">
        <v>1197</v>
      </c>
      <c r="H143" s="604" t="s">
        <v>1184</v>
      </c>
      <c r="I143" s="593"/>
      <c r="BC143" s="431"/>
    </row>
    <row r="144" spans="2:55">
      <c r="B144" s="443" t="str">
        <f>B126</f>
        <v>Cows (local)</v>
      </c>
      <c r="C144" s="750" t="e">
        <f t="shared" ref="C144:C152" ca="1" si="23">D21-INDIRECT(CONCATENATE("[", "Baseline.xlsm","]INPUTS","!D18"))</f>
        <v>#REF!</v>
      </c>
      <c r="D144" s="1206">
        <f>VLOOKUP(B144,'Livestock parameters'!$A$20:$AJ$34,31,FALSE)</f>
        <v>0</v>
      </c>
      <c r="E144" s="1206" t="str">
        <f>VLOOKUP(B144,'Livestock parameters'!$A$20:AJ$34,32,FALSE)</f>
        <v>beef</v>
      </c>
      <c r="F144" s="1206">
        <f>VLOOKUP(B144,'Livestock parameters'!$A$20:AK$34,33,FALSE)</f>
        <v>500</v>
      </c>
      <c r="G144" s="1206">
        <f>VLOOKUP(B144,'Livestock parameters'!$A$20:AK$34,34,FALSE)</f>
        <v>8</v>
      </c>
      <c r="H144" s="675"/>
      <c r="K144" s="429" t="e">
        <f ca="1">C144*E144+C144*G144*Economics_Parameters!$C$12</f>
        <v>#REF!</v>
      </c>
      <c r="BC144" s="431"/>
    </row>
    <row r="145" spans="1:59">
      <c r="B145" s="443" t="str">
        <f t="shared" ref="B145:B157" si="24">B127</f>
        <v>Cows (improved)</v>
      </c>
      <c r="C145" s="750" t="e">
        <f t="shared" ca="1" si="23"/>
        <v>#REF!</v>
      </c>
      <c r="D145" s="1206">
        <f>VLOOKUP(B145,'Livestock parameters'!$A$20:$AJ$34,31,FALSE)</f>
        <v>0</v>
      </c>
      <c r="E145" s="1206" t="str">
        <f>VLOOKUP(B145,'Livestock parameters'!$A$20:AJ$34,32,FALSE)</f>
        <v>beef</v>
      </c>
      <c r="F145" s="1206">
        <f>VLOOKUP(B145,'Livestock parameters'!$A$20:AK$34,33,FALSE)</f>
        <v>1500</v>
      </c>
      <c r="G145" s="1206">
        <f>VLOOKUP(B145,'Livestock parameters'!$A$20:AK$34,34,FALSE)</f>
        <v>20</v>
      </c>
      <c r="H145" s="675" t="s">
        <v>1644</v>
      </c>
      <c r="K145" s="429" t="e">
        <f ca="1">C145*E145+C145*G145*Economics_Parameters!$C$12</f>
        <v>#REF!</v>
      </c>
      <c r="BC145" s="431"/>
    </row>
    <row r="146" spans="1:59">
      <c r="B146" s="443" t="str">
        <f t="shared" si="24"/>
        <v>Adult cattle - male</v>
      </c>
      <c r="C146" s="750" t="e">
        <f t="shared" ca="1" si="23"/>
        <v>#REF!</v>
      </c>
      <c r="D146" s="1206">
        <f>VLOOKUP(B146,'Livestock parameters'!$A$20:$AJ$34,31,FALSE)</f>
        <v>0</v>
      </c>
      <c r="E146" s="1206" t="str">
        <f>VLOOKUP(B146,'Livestock parameters'!$A$20:AJ$34,32,FALSE)</f>
        <v>beef</v>
      </c>
      <c r="F146" s="1206">
        <f>VLOOKUP(B146,'Livestock parameters'!$A$20:AK$34,33,FALSE)</f>
        <v>1500</v>
      </c>
      <c r="G146" s="1206">
        <f>VLOOKUP(B146,'Livestock parameters'!$A$20:AK$34,34,FALSE)</f>
        <v>8</v>
      </c>
      <c r="H146" s="675"/>
      <c r="K146" s="429" t="e">
        <f ca="1">C146*E146+C146*G146*Economics_Parameters!$C$12</f>
        <v>#REF!</v>
      </c>
      <c r="BC146" s="431"/>
    </row>
    <row r="147" spans="1:59">
      <c r="B147" s="443" t="str">
        <f t="shared" si="24"/>
        <v>Calves</v>
      </c>
      <c r="C147" s="750" t="e">
        <f t="shared" ca="1" si="23"/>
        <v>#REF!</v>
      </c>
      <c r="D147" s="1206">
        <f>VLOOKUP(B147,'Livestock parameters'!$A$20:$AJ$34,31,FALSE)</f>
        <v>0</v>
      </c>
      <c r="E147" s="1206" t="str">
        <f>VLOOKUP(B147,'Livestock parameters'!$A$20:AJ$34,32,FALSE)</f>
        <v>beef</v>
      </c>
      <c r="F147" s="1206">
        <f>VLOOKUP(B147,'Livestock parameters'!$A$20:AK$34,33,FALSE)</f>
        <v>200</v>
      </c>
      <c r="G147" s="1206">
        <f>VLOOKUP(B147,'Livestock parameters'!$A$20:AK$34,34,FALSE)</f>
        <v>5</v>
      </c>
      <c r="H147" s="675"/>
      <c r="K147" s="429" t="e">
        <f ca="1">C147*E147+C147*G147*Economics_Parameters!$C$12</f>
        <v>#REF!</v>
      </c>
      <c r="AI147" s="431"/>
    </row>
    <row r="148" spans="1:59">
      <c r="B148" s="443" t="str">
        <f t="shared" si="24"/>
        <v>Steers/heifers</v>
      </c>
      <c r="C148" s="750" t="e">
        <f t="shared" ca="1" si="23"/>
        <v>#REF!</v>
      </c>
      <c r="D148" s="1206">
        <f>VLOOKUP(B148,'Livestock parameters'!$A$20:$AJ$34,31,FALSE)</f>
        <v>0</v>
      </c>
      <c r="E148" s="1206" t="str">
        <f>VLOOKUP(B148,'Livestock parameters'!$A$20:AJ$34,32,FALSE)</f>
        <v>beef</v>
      </c>
      <c r="F148" s="1206">
        <f>VLOOKUP(B148,'Livestock parameters'!$A$20:AK$34,33,FALSE)</f>
        <v>500</v>
      </c>
      <c r="G148" s="1206">
        <f>VLOOKUP(B148,'Livestock parameters'!$A$20:AK$34,34,FALSE)</f>
        <v>5</v>
      </c>
      <c r="H148" s="675"/>
      <c r="K148" s="429" t="e">
        <f ca="1">C148*E148+C148*G148*Economics_Parameters!$C$12</f>
        <v>#REF!</v>
      </c>
      <c r="AI148" s="431"/>
    </row>
    <row r="149" spans="1:59">
      <c r="B149" s="443" t="str">
        <f t="shared" si="24"/>
        <v>Sheep/Goats - Ewes/Does</v>
      </c>
      <c r="C149" s="750" t="e">
        <f t="shared" ca="1" si="23"/>
        <v>#REF!</v>
      </c>
      <c r="D149" s="1206">
        <f>VLOOKUP(B149,'Livestock parameters'!$A$20:$AJ$34,31,FALSE)</f>
        <v>0</v>
      </c>
      <c r="E149" s="1206" t="str">
        <f>VLOOKUP(B149,'Livestock parameters'!$A$20:AJ$34,32,FALSE)</f>
        <v>lamb</v>
      </c>
      <c r="F149" s="1206">
        <f>VLOOKUP(B149,'Livestock parameters'!$A$20:AK$34,33,FALSE)</f>
        <v>0</v>
      </c>
      <c r="G149" s="1206">
        <f>VLOOKUP(B149,'Livestock parameters'!$A$20:AK$34,34,FALSE)</f>
        <v>0</v>
      </c>
      <c r="H149" s="675" t="s">
        <v>1645</v>
      </c>
      <c r="K149" s="429" t="e">
        <f ca="1">C149*E149+C149*G149*Economics_Parameters!$C$12</f>
        <v>#REF!</v>
      </c>
      <c r="AI149" s="431"/>
    </row>
    <row r="150" spans="1:59">
      <c r="B150" s="443" t="str">
        <f t="shared" si="24"/>
        <v>Pigs - lactating/pregnant sows</v>
      </c>
      <c r="C150" s="750" t="e">
        <f t="shared" ca="1" si="23"/>
        <v>#REF!</v>
      </c>
      <c r="D150" s="1206">
        <f>VLOOKUP(B150,'Livestock parameters'!$A$20:$AJ$34,31,FALSE)</f>
        <v>0</v>
      </c>
      <c r="E150" s="1206" t="str">
        <f>VLOOKUP(B150,'Livestock parameters'!$A$20:AJ$34,32,FALSE)</f>
        <v>pork</v>
      </c>
      <c r="F150" s="1206">
        <f>VLOOKUP(B150,'Livestock parameters'!$A$20:AK$34,33,FALSE)</f>
        <v>0</v>
      </c>
      <c r="G150" s="1206">
        <f>VLOOKUP(B150,'Livestock parameters'!$A$20:AK$34,34,FALSE)</f>
        <v>0</v>
      </c>
      <c r="H150" s="675" t="s">
        <v>1645</v>
      </c>
      <c r="K150" s="429" t="e">
        <f ca="1">C150*E150+C150*G150*Economics_Parameters!$C$12</f>
        <v>#REF!</v>
      </c>
      <c r="AI150" s="431"/>
    </row>
    <row r="151" spans="1:59">
      <c r="B151" s="443" t="str">
        <f t="shared" si="24"/>
        <v>Calves</v>
      </c>
      <c r="C151" s="750" t="e">
        <f t="shared" ca="1" si="23"/>
        <v>#REF!</v>
      </c>
      <c r="D151" s="1206">
        <f>VLOOKUP(B151,'Livestock parameters'!$A$20:$AJ$34,31,FALSE)</f>
        <v>0</v>
      </c>
      <c r="E151" s="1206" t="str">
        <f>VLOOKUP(B151,'Livestock parameters'!$A$20:AJ$34,32,FALSE)</f>
        <v>beef</v>
      </c>
      <c r="F151" s="1206">
        <f>VLOOKUP(B151,'Livestock parameters'!$A$20:AK$34,33,FALSE)</f>
        <v>200</v>
      </c>
      <c r="G151" s="1206">
        <f>VLOOKUP(B151,'Livestock parameters'!$A$20:AK$34,34,FALSE)</f>
        <v>5</v>
      </c>
      <c r="H151" s="675"/>
      <c r="AI151" s="431"/>
    </row>
    <row r="152" spans="1:59">
      <c r="B152" s="443">
        <f t="shared" si="24"/>
        <v>0</v>
      </c>
      <c r="C152" s="750" t="e">
        <f t="shared" ca="1" si="23"/>
        <v>#REF!</v>
      </c>
      <c r="D152" s="1206" t="e">
        <f>VLOOKUP(B152,'Livestock parameters'!$A$20:$AJ$34,31,FALSE)</f>
        <v>#N/A</v>
      </c>
      <c r="E152" s="1206" t="e">
        <f>VLOOKUP(B152,'Livestock parameters'!$A$20:AJ$34,32,FALSE)</f>
        <v>#N/A</v>
      </c>
      <c r="F152" s="1206" t="e">
        <f>VLOOKUP(B152,'Livestock parameters'!$A$20:AK$34,33,FALSE)</f>
        <v>#N/A</v>
      </c>
      <c r="G152" s="1206" t="e">
        <f>VLOOKUP(B152,'Livestock parameters'!$A$20:AK$34,34,FALSE)</f>
        <v>#N/A</v>
      </c>
      <c r="H152" s="675"/>
      <c r="AI152" s="431"/>
    </row>
    <row r="153" spans="1:59">
      <c r="B153" s="443" t="e">
        <f t="shared" si="24"/>
        <v>#REF!</v>
      </c>
      <c r="C153" s="750" t="e">
        <f ca="1">#REF!-INDIRECT(CONCATENATE("[", "Baseline.xlsm","]INPUTS","!D18"))</f>
        <v>#REF!</v>
      </c>
      <c r="D153" s="1206" t="e">
        <f>VLOOKUP(B153,'Livestock parameters'!$A$20:$AJ$34,31,FALSE)</f>
        <v>#REF!</v>
      </c>
      <c r="E153" s="1206" t="e">
        <f>VLOOKUP(B153,'Livestock parameters'!$A$20:AJ$34,32,FALSE)</f>
        <v>#REF!</v>
      </c>
      <c r="F153" s="1206" t="e">
        <f>VLOOKUP(B153,'Livestock parameters'!$A$20:AK$34,33,FALSE)</f>
        <v>#REF!</v>
      </c>
      <c r="G153" s="1206" t="e">
        <f>VLOOKUP(B153,'Livestock parameters'!$A$20:AK$34,34,FALSE)</f>
        <v>#REF!</v>
      </c>
      <c r="H153" s="675"/>
      <c r="K153" s="429" t="e">
        <f ca="1">C153*E153+C153*G153*Economics_Parameters!$C$12</f>
        <v>#REF!</v>
      </c>
      <c r="AI153" s="431"/>
    </row>
    <row r="154" spans="1:59" s="431" customFormat="1">
      <c r="A154" s="429"/>
      <c r="B154" s="443" t="e">
        <f t="shared" si="24"/>
        <v>#REF!</v>
      </c>
      <c r="C154" s="750" t="e">
        <f ca="1">#REF!-INDIRECT(CONCATENATE("[", "Baseline.xlsm","]INPUTS","!D18"))</f>
        <v>#REF!</v>
      </c>
      <c r="D154" s="1206" t="e">
        <f>VLOOKUP(B154,'Livestock parameters'!$A$20:$AJ$34,31,FALSE)</f>
        <v>#REF!</v>
      </c>
      <c r="E154" s="1206" t="e">
        <f>VLOOKUP(B154,'Livestock parameters'!$A$20:AJ$34,32,FALSE)</f>
        <v>#REF!</v>
      </c>
      <c r="F154" s="1206" t="e">
        <f>VLOOKUP(B154,'Livestock parameters'!$A$20:AK$34,33,FALSE)</f>
        <v>#REF!</v>
      </c>
      <c r="G154" s="1206" t="e">
        <f>VLOOKUP(B154,'Livestock parameters'!$A$20:AK$34,34,FALSE)</f>
        <v>#REF!</v>
      </c>
      <c r="H154" s="675"/>
      <c r="I154" s="429"/>
      <c r="J154" s="429"/>
      <c r="K154" s="429" t="e">
        <f ca="1">C154*E154+C154*G154*Economics_Parameters!$C$12</f>
        <v>#REF!</v>
      </c>
      <c r="L154" s="429"/>
      <c r="M154" s="429"/>
      <c r="N154" s="429"/>
      <c r="O154" s="429"/>
      <c r="P154" s="429"/>
      <c r="Q154" s="429"/>
      <c r="R154" s="429"/>
      <c r="S154" s="429"/>
      <c r="T154" s="429"/>
      <c r="U154" s="429"/>
      <c r="V154" s="429"/>
      <c r="W154" s="429"/>
      <c r="X154" s="429"/>
      <c r="Y154" s="429"/>
      <c r="Z154" s="429"/>
      <c r="AA154" s="429"/>
      <c r="AB154" s="429"/>
      <c r="AC154" s="429"/>
      <c r="AD154" s="429"/>
      <c r="AE154" s="429"/>
      <c r="AF154" s="429"/>
      <c r="AG154" s="429"/>
      <c r="AH154" s="429"/>
      <c r="AJ154" s="429"/>
      <c r="AK154" s="429"/>
      <c r="AL154" s="429"/>
      <c r="AM154" s="429"/>
      <c r="AN154" s="429"/>
      <c r="AO154" s="429"/>
      <c r="AP154" s="429"/>
      <c r="AQ154" s="429"/>
      <c r="AR154" s="429"/>
      <c r="AS154" s="429"/>
      <c r="AT154" s="429"/>
      <c r="AU154" s="429"/>
      <c r="AV154" s="429"/>
      <c r="AW154" s="429"/>
      <c r="AX154" s="429"/>
      <c r="AY154" s="429"/>
      <c r="BC154" s="429"/>
      <c r="BD154" s="429"/>
      <c r="BE154" s="429"/>
    </row>
    <row r="155" spans="1:59" s="431" customFormat="1">
      <c r="A155" s="429"/>
      <c r="B155" s="443" t="e">
        <f t="shared" si="24"/>
        <v>#REF!</v>
      </c>
      <c r="C155" s="750" t="e">
        <f ca="1">#REF!-INDIRECT(CONCATENATE("[", "Baseline.xlsm","]INPUTS","!D18"))</f>
        <v>#REF!</v>
      </c>
      <c r="D155" s="1206" t="e">
        <f>VLOOKUP(B155,'Livestock parameters'!$A$20:$AJ$34,31,FALSE)</f>
        <v>#REF!</v>
      </c>
      <c r="E155" s="1206" t="e">
        <f>VLOOKUP(B155,'Livestock parameters'!$A$20:AJ$34,32,FALSE)</f>
        <v>#REF!</v>
      </c>
      <c r="F155" s="1206" t="e">
        <f>VLOOKUP(B155,'Livestock parameters'!$A$20:AK$34,33,FALSE)</f>
        <v>#REF!</v>
      </c>
      <c r="G155" s="1206" t="e">
        <f>VLOOKUP(B155,'Livestock parameters'!$A$20:AK$34,34,FALSE)</f>
        <v>#REF!</v>
      </c>
      <c r="H155" s="675"/>
      <c r="I155" s="429"/>
      <c r="J155" s="429"/>
      <c r="K155" s="429" t="e">
        <f ca="1">C155*E155+C155*G155*Economics_Parameters!$C$12</f>
        <v>#REF!</v>
      </c>
      <c r="L155" s="429"/>
      <c r="M155" s="429"/>
      <c r="N155" s="429"/>
      <c r="O155" s="429"/>
      <c r="P155" s="429"/>
      <c r="Q155" s="429"/>
      <c r="R155" s="429"/>
      <c r="S155" s="429"/>
      <c r="T155" s="429"/>
      <c r="U155" s="429"/>
      <c r="V155" s="429"/>
      <c r="W155" s="429"/>
      <c r="X155" s="429"/>
      <c r="Y155" s="429"/>
      <c r="Z155" s="429"/>
      <c r="AA155" s="429"/>
      <c r="AB155" s="429"/>
      <c r="AC155" s="429"/>
      <c r="AD155" s="429"/>
      <c r="AE155" s="429"/>
      <c r="AF155" s="429"/>
      <c r="AG155" s="429"/>
      <c r="AH155" s="429"/>
      <c r="AJ155" s="429"/>
      <c r="AK155" s="429"/>
      <c r="AL155" s="429"/>
      <c r="AM155" s="429"/>
      <c r="AN155" s="429"/>
      <c r="AO155" s="429"/>
      <c r="AP155" s="429"/>
      <c r="AQ155" s="429"/>
      <c r="AR155" s="429"/>
      <c r="AS155" s="429"/>
      <c r="AT155" s="429"/>
      <c r="AU155" s="429"/>
      <c r="AV155" s="429"/>
      <c r="AW155" s="429"/>
      <c r="AX155" s="429"/>
      <c r="AY155" s="429"/>
      <c r="BC155" s="429"/>
      <c r="BD155" s="429"/>
      <c r="BE155" s="429"/>
    </row>
    <row r="156" spans="1:59" s="431" customFormat="1">
      <c r="A156" s="429"/>
      <c r="B156" s="443" t="e">
        <f t="shared" si="24"/>
        <v>#REF!</v>
      </c>
      <c r="C156" s="750" t="e">
        <f ca="1">#REF!-INDIRECT(CONCATENATE("[", "Baseline.xlsm","]INPUTS","!D18"))</f>
        <v>#REF!</v>
      </c>
      <c r="D156" s="1206" t="e">
        <f>VLOOKUP(B156,'Livestock parameters'!$A$20:$AJ$34,31,FALSE)</f>
        <v>#REF!</v>
      </c>
      <c r="E156" s="1206" t="e">
        <f>VLOOKUP(B156,'Livestock parameters'!$A$20:AJ$34,32,FALSE)</f>
        <v>#REF!</v>
      </c>
      <c r="F156" s="1206" t="e">
        <f>VLOOKUP(B156,'Livestock parameters'!$A$20:AK$34,33,FALSE)</f>
        <v>#REF!</v>
      </c>
      <c r="G156" s="1206" t="e">
        <f>VLOOKUP(B156,'Livestock parameters'!$A$20:AK$34,34,FALSE)</f>
        <v>#REF!</v>
      </c>
      <c r="H156" s="675"/>
      <c r="I156" s="429"/>
      <c r="J156" s="429"/>
      <c r="K156" s="429" t="e">
        <f ca="1">C156*E156+C156*G156*Economics_Parameters!$C$12</f>
        <v>#REF!</v>
      </c>
      <c r="L156" s="429"/>
      <c r="M156" s="429"/>
      <c r="N156" s="429"/>
      <c r="O156" s="429"/>
      <c r="P156" s="429"/>
      <c r="Q156" s="429"/>
      <c r="R156" s="429"/>
      <c r="S156" s="429"/>
      <c r="T156" s="429"/>
      <c r="U156" s="429"/>
      <c r="V156" s="429"/>
      <c r="W156" s="429"/>
      <c r="X156" s="429"/>
      <c r="Y156" s="429"/>
      <c r="Z156" s="429"/>
      <c r="AA156" s="429"/>
      <c r="AB156" s="429"/>
      <c r="AC156" s="429"/>
      <c r="AD156" s="429"/>
      <c r="AE156" s="429"/>
      <c r="AF156" s="429"/>
      <c r="AG156" s="429"/>
      <c r="AI156" s="429"/>
      <c r="AJ156" s="429"/>
      <c r="AK156" s="429"/>
      <c r="AL156" s="429"/>
      <c r="AM156" s="429"/>
      <c r="AN156" s="429"/>
      <c r="AO156" s="429"/>
      <c r="AP156" s="429"/>
      <c r="AQ156" s="429"/>
      <c r="AR156" s="429"/>
      <c r="AS156" s="429"/>
      <c r="AT156" s="429"/>
      <c r="AU156" s="429"/>
      <c r="AV156" s="429"/>
      <c r="AW156" s="429"/>
      <c r="AX156" s="429"/>
      <c r="AY156" s="429"/>
      <c r="BC156" s="429"/>
      <c r="BD156" s="429"/>
      <c r="BE156" s="429"/>
    </row>
    <row r="157" spans="1:59" s="431" customFormat="1" ht="16.5" thickBot="1">
      <c r="A157" s="429"/>
      <c r="B157" s="443" t="e">
        <f t="shared" si="24"/>
        <v>#REF!</v>
      </c>
      <c r="C157" s="750" t="e">
        <f ca="1">#REF!-INDIRECT(CONCATENATE("[", "Baseline.xlsm","]INPUTS","!D18"))</f>
        <v>#REF!</v>
      </c>
      <c r="D157" s="1206" t="e">
        <f>VLOOKUP(B157,'Livestock parameters'!$A$20:$AJ$34,31,FALSE)</f>
        <v>#REF!</v>
      </c>
      <c r="E157" s="1206" t="e">
        <f>VLOOKUP(B157,'Livestock parameters'!$A$20:AJ$34,32,FALSE)</f>
        <v>#REF!</v>
      </c>
      <c r="F157" s="1206" t="e">
        <f>VLOOKUP(B157,'Livestock parameters'!$A$20:AK$34,33,FALSE)</f>
        <v>#REF!</v>
      </c>
      <c r="G157" s="1206" t="e">
        <f>VLOOKUP(B157,'Livestock parameters'!$A$20:AK$34,34,FALSE)</f>
        <v>#REF!</v>
      </c>
      <c r="H157" s="706"/>
      <c r="I157" s="429"/>
      <c r="J157" s="429"/>
      <c r="K157" s="429" t="e">
        <f ca="1">C157*E157+C157*G157*Economics_Parameters!$C$12</f>
        <v>#REF!</v>
      </c>
      <c r="L157" s="429"/>
      <c r="M157" s="429"/>
      <c r="N157" s="429"/>
      <c r="O157" s="429"/>
      <c r="P157" s="429"/>
      <c r="Q157" s="429"/>
      <c r="R157" s="429"/>
      <c r="S157" s="429"/>
      <c r="T157" s="429"/>
      <c r="U157" s="429"/>
      <c r="V157" s="429"/>
      <c r="W157" s="429"/>
      <c r="X157" s="429"/>
      <c r="Y157" s="429"/>
      <c r="Z157" s="429"/>
      <c r="AA157" s="429"/>
      <c r="AB157" s="429"/>
      <c r="AC157" s="429"/>
      <c r="AD157" s="429"/>
      <c r="AE157" s="429"/>
      <c r="AF157" s="429"/>
      <c r="AG157" s="429"/>
      <c r="AI157" s="429"/>
      <c r="AJ157" s="429"/>
      <c r="AK157" s="429"/>
      <c r="AL157" s="429"/>
      <c r="AM157" s="429"/>
      <c r="AN157" s="429"/>
      <c r="AO157" s="429"/>
      <c r="AP157" s="429"/>
      <c r="AQ157" s="429"/>
      <c r="AR157" s="429"/>
      <c r="AS157" s="429"/>
      <c r="AT157" s="429"/>
      <c r="AU157" s="429"/>
      <c r="AV157" s="429"/>
      <c r="AW157" s="429"/>
      <c r="AX157" s="429"/>
      <c r="AY157" s="429"/>
      <c r="BC157" s="429"/>
      <c r="BD157" s="429"/>
      <c r="BE157" s="429"/>
    </row>
    <row r="158" spans="1:59" s="431" customFormat="1" ht="16.5" thickBot="1">
      <c r="A158" s="429"/>
      <c r="C158" s="429"/>
      <c r="D158" s="429"/>
      <c r="E158" s="429"/>
      <c r="F158" s="429"/>
      <c r="G158" s="429"/>
      <c r="H158" s="429"/>
      <c r="I158" s="429"/>
      <c r="J158" s="429"/>
      <c r="K158" s="429"/>
      <c r="L158" s="429"/>
      <c r="M158" s="429"/>
      <c r="N158" s="429"/>
      <c r="O158" s="429"/>
      <c r="P158" s="429"/>
      <c r="Q158" s="429"/>
      <c r="R158" s="429"/>
      <c r="S158" s="429"/>
      <c r="T158" s="429"/>
      <c r="U158" s="429"/>
      <c r="V158" s="429"/>
      <c r="W158" s="429"/>
      <c r="X158" s="429"/>
      <c r="Y158" s="429"/>
      <c r="Z158" s="429"/>
      <c r="AA158" s="429"/>
      <c r="AB158" s="429"/>
      <c r="AC158" s="429"/>
      <c r="AD158" s="429"/>
      <c r="AE158" s="429"/>
      <c r="AF158" s="429"/>
      <c r="AG158" s="429"/>
      <c r="AI158" s="429"/>
      <c r="AJ158" s="429"/>
      <c r="AK158" s="429"/>
      <c r="AL158" s="429"/>
      <c r="AM158" s="429"/>
      <c r="AN158" s="429"/>
      <c r="AO158" s="429"/>
      <c r="AP158" s="429"/>
      <c r="AQ158" s="429"/>
      <c r="AR158" s="429"/>
      <c r="AS158" s="429"/>
      <c r="AT158" s="429"/>
      <c r="AU158" s="429"/>
      <c r="AV158" s="429"/>
      <c r="AW158" s="429"/>
      <c r="AX158" s="429"/>
      <c r="AY158" s="429"/>
      <c r="BC158" s="429"/>
      <c r="BD158" s="429"/>
      <c r="BE158" s="429"/>
    </row>
    <row r="159" spans="1:59" s="431" customFormat="1" ht="16.5" thickBot="1">
      <c r="A159" s="429"/>
      <c r="C159" s="451"/>
      <c r="D159" s="620"/>
      <c r="E159" s="620"/>
      <c r="F159" s="620" t="s">
        <v>44</v>
      </c>
      <c r="G159" s="437"/>
      <c r="H159" s="429"/>
      <c r="I159" s="429"/>
      <c r="J159" s="429"/>
      <c r="K159" s="429"/>
      <c r="L159" s="429"/>
      <c r="M159" s="429"/>
      <c r="N159" s="429"/>
      <c r="O159" s="429"/>
      <c r="P159" s="429"/>
      <c r="Q159" s="429"/>
      <c r="R159" s="429"/>
      <c r="S159" s="429"/>
      <c r="T159" s="429"/>
      <c r="U159" s="429"/>
      <c r="V159" s="429"/>
      <c r="W159" s="429"/>
      <c r="X159" s="429"/>
      <c r="Y159" s="429"/>
      <c r="Z159" s="429"/>
      <c r="AA159" s="429"/>
      <c r="AB159" s="429"/>
      <c r="AC159" s="429"/>
      <c r="AD159" s="429"/>
      <c r="AE159" s="429"/>
      <c r="AF159" s="429"/>
      <c r="AG159" s="429"/>
      <c r="AI159" s="429"/>
      <c r="AJ159" s="429"/>
      <c r="AK159" s="429"/>
      <c r="AL159" s="429"/>
      <c r="AM159" s="429"/>
      <c r="AN159" s="429"/>
      <c r="AO159" s="429"/>
      <c r="AP159" s="429"/>
      <c r="AQ159" s="429"/>
      <c r="AR159" s="429"/>
      <c r="AS159" s="429"/>
      <c r="AT159" s="429"/>
      <c r="AU159" s="429"/>
      <c r="AV159" s="429"/>
      <c r="AW159" s="429"/>
      <c r="AX159" s="429"/>
      <c r="AY159" s="429"/>
      <c r="BC159" s="429"/>
      <c r="BD159" s="429"/>
      <c r="BE159" s="429"/>
    </row>
    <row r="160" spans="1:59" s="431" customFormat="1" ht="32.25" thickBot="1">
      <c r="A160" s="429"/>
      <c r="B160" s="520" t="s">
        <v>1646</v>
      </c>
      <c r="C160" s="880" t="s">
        <v>1709</v>
      </c>
      <c r="D160" s="880" t="s">
        <v>1344</v>
      </c>
      <c r="E160" s="703" t="s">
        <v>1490</v>
      </c>
      <c r="F160" s="1091" t="s">
        <v>1647</v>
      </c>
      <c r="G160" s="604" t="s">
        <v>1258</v>
      </c>
      <c r="H160" s="876" t="s">
        <v>1259</v>
      </c>
      <c r="I160" s="882" t="s">
        <v>1184</v>
      </c>
      <c r="K160" s="431" t="s">
        <v>1689</v>
      </c>
      <c r="L160" s="429"/>
      <c r="M160" s="429"/>
      <c r="N160" s="429"/>
      <c r="O160" s="429"/>
      <c r="P160" s="429"/>
      <c r="Q160" s="429"/>
      <c r="R160" s="429"/>
      <c r="S160" s="429"/>
      <c r="T160" s="429"/>
      <c r="U160" s="429"/>
      <c r="V160" s="429"/>
      <c r="W160" s="429"/>
      <c r="X160" s="429"/>
      <c r="Y160" s="429"/>
      <c r="Z160" s="429"/>
      <c r="AA160" s="429"/>
      <c r="AB160" s="429"/>
      <c r="AC160" s="429"/>
      <c r="AD160" s="429"/>
      <c r="AE160" s="429"/>
      <c r="AF160" s="429"/>
      <c r="AG160" s="429"/>
      <c r="AH160" s="429"/>
      <c r="AI160" s="429"/>
      <c r="AK160" s="429"/>
      <c r="AL160" s="429"/>
      <c r="AM160" s="429"/>
      <c r="AN160" s="429"/>
      <c r="AO160" s="429"/>
      <c r="AP160" s="429"/>
      <c r="AQ160" s="429"/>
      <c r="AR160" s="429"/>
      <c r="AS160" s="429"/>
      <c r="AT160" s="429"/>
      <c r="AU160" s="429"/>
      <c r="AV160" s="429"/>
      <c r="AW160" s="429"/>
      <c r="AX160" s="429"/>
      <c r="AY160" s="429"/>
      <c r="AZ160" s="429"/>
      <c r="BA160" s="429"/>
      <c r="BE160" s="429"/>
      <c r="BF160" s="429"/>
      <c r="BG160" s="429"/>
    </row>
    <row r="161" spans="1:36">
      <c r="A161" s="431"/>
      <c r="B161" s="1179" t="e">
        <f ca="1">IF(B60=INDIRECT(CONCATENATE("[", "Baseline.xlsm","]INPUTS","!B55")),B60,"")</f>
        <v>#REF!</v>
      </c>
      <c r="C161" s="878" t="e">
        <f ca="1">IF(B161&lt;&gt; "", 'Land requirements'!F4-INDIRECT(CONCATENATE("'[", "Baseline.xlsm","]Land requirements'","!E4")), 0)</f>
        <v>#REF!</v>
      </c>
      <c r="D161" s="878" t="e">
        <f ca="1">IF(C161&lt;&gt; 0, 'Land requirements'!F17-INDIRECT(CONCATENATE("'[", "Baseline.xlsm","]Land requirements'","!E17")), 0)</f>
        <v>#REF!</v>
      </c>
      <c r="E161" s="1206" t="e">
        <f ca="1">VLOOKUP(B161,'Feed parameters'!$A$2:$M$113,10,FALSE)</f>
        <v>#REF!</v>
      </c>
      <c r="F161" s="1206" t="e">
        <f ca="1">VLOOKUP(B161,'Feed parameters'!$A$2:$M$113,11,FALSE)</f>
        <v>#REF!</v>
      </c>
      <c r="G161" s="1211" t="e">
        <f ca="1">VLOOKUP(B161,'Feed parameters'!$A$2:$M$113,12,FALSE)</f>
        <v>#REF!</v>
      </c>
      <c r="H161" s="1206" t="e">
        <f ca="1">VLOOKUP(B161,'Feed parameters'!$A$2:$M$113,13,FALSE)</f>
        <v>#REF!</v>
      </c>
      <c r="I161" s="675"/>
      <c r="J161" s="877"/>
      <c r="K161" s="877" t="e">
        <f ca="1">C161*F161+C161*H161*Economics_Parameters!$C$12</f>
        <v>#REF!</v>
      </c>
      <c r="L161" s="431"/>
      <c r="M161" s="431"/>
      <c r="N161" s="431"/>
      <c r="O161" s="431"/>
      <c r="P161" s="431"/>
      <c r="Q161" s="431"/>
      <c r="R161" s="431"/>
      <c r="S161" s="431"/>
      <c r="T161" s="431"/>
      <c r="U161" s="431"/>
      <c r="AJ161" s="431"/>
    </row>
    <row r="162" spans="1:36">
      <c r="A162" s="431"/>
      <c r="B162" s="944" t="e">
        <f ca="1">IF(B61=INDIRECT(CONCATENATE("[", "Baseline.xlsm","]INPUTS","!B56")),B61,"")</f>
        <v>#REF!</v>
      </c>
      <c r="C162" s="878" t="e">
        <f ca="1">IF(B162&lt;&gt; "", 'Land requirements'!F5-INDIRECT(CONCATENATE("'[", "Baseline.xlsm","]Land requirements'","!E5")), 0)</f>
        <v>#REF!</v>
      </c>
      <c r="D162" s="878" t="e">
        <f ca="1">IF(C162&lt;&gt;0, 'Land requirements'!F18-INDIRECT(CONCATENATE("'[", "Baseline.xlsm","]Land requirements'","!E18")), 0)</f>
        <v>#REF!</v>
      </c>
      <c r="E162" s="1206" t="e">
        <f ca="1">VLOOKUP(B162,'Feed parameters'!$A$2:$M$113,10,FALSE)</f>
        <v>#REF!</v>
      </c>
      <c r="F162" s="1206" t="e">
        <f ca="1">VLOOKUP(B162,'Feed parameters'!$A$2:$M$113,11,FALSE)</f>
        <v>#REF!</v>
      </c>
      <c r="G162" s="1211" t="e">
        <f ca="1">VLOOKUP(B162,'Feed parameters'!$A$2:$M$113,12,FALSE)</f>
        <v>#REF!</v>
      </c>
      <c r="H162" s="1206" t="e">
        <f ca="1">VLOOKUP(B162,'Feed parameters'!$A$2:$M$113,13,FALSE)</f>
        <v>#REF!</v>
      </c>
      <c r="I162" s="675"/>
      <c r="J162" s="877"/>
      <c r="K162" s="877" t="e">
        <f ca="1">C162*F162+C162*H162*Economics_Parameters!$C$12</f>
        <v>#REF!</v>
      </c>
      <c r="L162" s="431"/>
      <c r="M162" s="431"/>
      <c r="N162" s="431"/>
      <c r="O162" s="431"/>
      <c r="P162" s="431"/>
      <c r="Q162" s="431"/>
      <c r="R162" s="431"/>
      <c r="S162" s="431"/>
      <c r="T162" s="431"/>
      <c r="U162" s="431"/>
      <c r="AJ162" s="431"/>
    </row>
    <row r="163" spans="1:36">
      <c r="A163" s="431"/>
      <c r="B163" s="944" t="e">
        <f ca="1">IF(B62=INDIRECT(CONCATENATE("[", "Baseline.xlsm","]INPUTS","!B57")),B62,"")</f>
        <v>#REF!</v>
      </c>
      <c r="C163" s="878" t="e">
        <f ca="1">IF(B163&lt;&gt; "", 'Land requirements'!F6-INDIRECT(CONCATENATE("'[", "Baseline.xlsm","]Land requirements'","!E6")), 0)</f>
        <v>#REF!</v>
      </c>
      <c r="D163" s="878" t="e">
        <f ca="1">IF(C163&lt;&gt;0, 'Land requirements'!F19-INDIRECT(CONCATENATE("'[", "Baseline.xlsm","]Land requirements'","!E19")), 0)</f>
        <v>#REF!</v>
      </c>
      <c r="E163" s="1206" t="e">
        <f ca="1">VLOOKUP(B163,'Feed parameters'!$A$2:$M$113,10,FALSE)</f>
        <v>#REF!</v>
      </c>
      <c r="F163" s="1206" t="e">
        <f ca="1">VLOOKUP(B163,'Feed parameters'!$A$2:$M$113,11,FALSE)</f>
        <v>#REF!</v>
      </c>
      <c r="G163" s="1211" t="e">
        <f ca="1">VLOOKUP(B163,'Feed parameters'!$A$2:$M$113,12,FALSE)</f>
        <v>#REF!</v>
      </c>
      <c r="H163" s="1206" t="e">
        <f ca="1">VLOOKUP(B163,'Feed parameters'!$A$2:$M$113,13,FALSE)</f>
        <v>#REF!</v>
      </c>
      <c r="I163" s="675"/>
      <c r="J163" s="877"/>
      <c r="K163" s="877" t="e">
        <f ca="1">C163*F163+C163*H163*Economics_Parameters!$C$12</f>
        <v>#REF!</v>
      </c>
      <c r="L163" s="431"/>
      <c r="M163" s="431"/>
      <c r="N163" s="431"/>
      <c r="O163" s="431"/>
      <c r="P163" s="431"/>
      <c r="Q163" s="431"/>
      <c r="R163" s="431"/>
      <c r="S163" s="431"/>
      <c r="T163" s="431"/>
      <c r="U163" s="431"/>
    </row>
    <row r="164" spans="1:36">
      <c r="A164" s="431"/>
      <c r="B164" s="944" t="e">
        <f ca="1">IF(B63=INDIRECT(CONCATENATE("[", "Baseline.xlsm","]INPUTS","!B58")),B63,"")</f>
        <v>#REF!</v>
      </c>
      <c r="C164" s="878" t="e">
        <f ca="1">IF(B164&lt;&gt; "", 'Land requirements'!F7-INDIRECT(CONCATENATE("'[", "Baseline.xlsm","]Land requirements'","!E7")), 0)</f>
        <v>#REF!</v>
      </c>
      <c r="D164" s="878" t="e">
        <f ca="1">IF(C164&lt;&gt;0, 'Land requirements'!F20-INDIRECT(CONCATENATE("'[", "Baseline.xlsm","]Land requirements'","!E20")), 0)</f>
        <v>#REF!</v>
      </c>
      <c r="E164" s="1206" t="e">
        <f ca="1">VLOOKUP(B164,'Feed parameters'!$A$2:$M$113,10,FALSE)</f>
        <v>#REF!</v>
      </c>
      <c r="F164" s="1206" t="e">
        <f ca="1">VLOOKUP(B164,'Feed parameters'!$A$2:$M$113,11,FALSE)</f>
        <v>#REF!</v>
      </c>
      <c r="G164" s="1211" t="e">
        <f ca="1">VLOOKUP(B164,'Feed parameters'!$A$2:$M$113,12,FALSE)</f>
        <v>#REF!</v>
      </c>
      <c r="H164" s="1206" t="e">
        <f ca="1">VLOOKUP(B164,'Feed parameters'!$A$2:$M$113,13,FALSE)</f>
        <v>#REF!</v>
      </c>
      <c r="I164" s="675"/>
      <c r="J164" s="877"/>
      <c r="K164" s="877" t="e">
        <f ca="1">C164*F164+C164*H164*Economics_Parameters!$C$12</f>
        <v>#REF!</v>
      </c>
      <c r="L164" s="431"/>
      <c r="M164" s="431"/>
      <c r="N164" s="431"/>
      <c r="O164" s="431"/>
      <c r="P164" s="431"/>
      <c r="Q164" s="431"/>
      <c r="R164" s="431"/>
      <c r="S164" s="431"/>
      <c r="T164" s="431"/>
      <c r="U164" s="431"/>
    </row>
    <row r="165" spans="1:36">
      <c r="A165" s="431"/>
      <c r="B165" s="944" t="e">
        <f ca="1">IF(B64=INDIRECT(CONCATENATE("[", "Baseline.xlsm","]INPUTS","!B59")),B64,"")</f>
        <v>#REF!</v>
      </c>
      <c r="C165" s="878" t="e">
        <f ca="1">IF(B165&lt;&gt; "", 'Land requirements'!F8-INDIRECT(CONCATENATE("'[", "Baseline.xlsm","]Land requirements'","!E8")), 0)</f>
        <v>#REF!</v>
      </c>
      <c r="D165" s="878" t="e">
        <f ca="1">IF(C165&lt;&gt;0, 'Land requirements'!F21-INDIRECT(CONCATENATE("'[", "Baseline.xlsm","]Land requirements'","!E21")), 0)</f>
        <v>#REF!</v>
      </c>
      <c r="E165" s="1206" t="e">
        <f ca="1">VLOOKUP(B165,'Feed parameters'!$A$2:$M$113,10,FALSE)</f>
        <v>#REF!</v>
      </c>
      <c r="F165" s="1206" t="e">
        <f ca="1">VLOOKUP(B165,'Feed parameters'!$A$2:$M$113,11,FALSE)</f>
        <v>#REF!</v>
      </c>
      <c r="G165" s="1211" t="e">
        <f ca="1">VLOOKUP(B165,'Feed parameters'!$A$2:$M$113,12,FALSE)</f>
        <v>#REF!</v>
      </c>
      <c r="H165" s="1206" t="e">
        <f ca="1">VLOOKUP(B165,'Feed parameters'!$A$2:$M$113,13,FALSE)</f>
        <v>#REF!</v>
      </c>
      <c r="I165" s="675"/>
      <c r="J165" s="877"/>
      <c r="K165" s="877" t="e">
        <f ca="1">C165*F165+C165*H165*Economics_Parameters!$C$12</f>
        <v>#REF!</v>
      </c>
      <c r="L165" s="431"/>
      <c r="M165" s="431"/>
      <c r="N165" s="431"/>
      <c r="O165" s="431"/>
      <c r="P165" s="431"/>
      <c r="Q165" s="431"/>
      <c r="R165" s="431"/>
      <c r="S165" s="431"/>
      <c r="T165" s="431"/>
      <c r="U165" s="431"/>
    </row>
    <row r="166" spans="1:36" ht="31.5" customHeight="1">
      <c r="A166" s="431"/>
      <c r="B166" s="944" t="e">
        <f ca="1">IF(B65=INDIRECT(CONCATENATE("[", "Baseline.xlsm","]INPUTS","!B60")),B65,"")</f>
        <v>#REF!</v>
      </c>
      <c r="C166" s="878" t="e">
        <f ca="1">IF(B166&lt;&gt; "", 'Land requirements'!F9-INDIRECT(CONCATENATE("'[", "Baseline.xlsm","]Land requirements'","!E9")), 0)</f>
        <v>#REF!</v>
      </c>
      <c r="D166" s="878" t="e">
        <f ca="1">IF(C166&lt;&gt;0, 'Land requirements'!F22-INDIRECT(CONCATENATE("'[", "Baseline.xlsm","]Land requirements'","!E22")), 0)</f>
        <v>#REF!</v>
      </c>
      <c r="E166" s="1206" t="e">
        <f ca="1">VLOOKUP(B166,'Feed parameters'!$A$2:$M$113,10,FALSE)</f>
        <v>#REF!</v>
      </c>
      <c r="F166" s="1206" t="e">
        <f ca="1">VLOOKUP(B166,'Feed parameters'!$A$2:$M$113,11,FALSE)</f>
        <v>#REF!</v>
      </c>
      <c r="G166" s="1211" t="e">
        <f ca="1">VLOOKUP(B166,'Feed parameters'!$A$2:$M$113,12,FALSE)</f>
        <v>#REF!</v>
      </c>
      <c r="H166" s="1206" t="e">
        <f ca="1">VLOOKUP(B166,'Feed parameters'!$A$2:$M$113,13,FALSE)</f>
        <v>#REF!</v>
      </c>
      <c r="I166" s="675"/>
      <c r="J166" s="877"/>
      <c r="K166" s="877" t="e">
        <f ca="1">C166*F166+C166*H166*Economics_Parameters!$C$12</f>
        <v>#REF!</v>
      </c>
      <c r="L166" s="431"/>
      <c r="M166" s="431"/>
      <c r="N166" s="431"/>
      <c r="O166" s="431"/>
      <c r="P166" s="431"/>
      <c r="Q166" s="431"/>
      <c r="R166" s="431"/>
      <c r="S166" s="431"/>
      <c r="T166" s="431"/>
      <c r="U166" s="431"/>
    </row>
    <row r="167" spans="1:36" ht="16.5" thickBot="1">
      <c r="A167" s="431"/>
      <c r="B167" s="641" t="e">
        <f ca="1">IF(B66=INDIRECT(CONCATENATE("[", "Baseline.xlsm","]INPUTS","!B61")),B66,"")</f>
        <v>#REF!</v>
      </c>
      <c r="C167" s="878" t="e">
        <f ca="1">IF(B167&lt;&gt; "", 'Land requirements'!F10-INDIRECT(CONCATENATE("'[", "Baseline.xlsm","]Land requirements'","!E10")), 0)</f>
        <v>#REF!</v>
      </c>
      <c r="D167" s="879" t="e">
        <f ca="1">IF(C167&lt;&gt;0, 'Land requirements'!F23-INDIRECT(CONCATENATE("'[", "Baseline.xlsm","]Land requirements'","!E23")), 0)</f>
        <v>#REF!</v>
      </c>
      <c r="E167" s="1208" t="e">
        <f ca="1">VLOOKUP(B167,'Feed parameters'!$A$2:$M$113,10,FALSE)</f>
        <v>#REF!</v>
      </c>
      <c r="F167" s="1208" t="e">
        <f ca="1">VLOOKUP(B167,'Feed parameters'!$A$2:$M$113,11,FALSE)</f>
        <v>#REF!</v>
      </c>
      <c r="G167" s="1212" t="e">
        <f ca="1">VLOOKUP(B167,'Feed parameters'!$A$2:$M$113,12,FALSE)</f>
        <v>#REF!</v>
      </c>
      <c r="H167" s="1208" t="e">
        <f ca="1">VLOOKUP(B167,'Feed parameters'!$A$2:$M$113,13,FALSE)</f>
        <v>#REF!</v>
      </c>
      <c r="I167" s="706"/>
      <c r="J167" s="877"/>
      <c r="K167" s="877" t="e">
        <f ca="1">C167*F167+C167*H167*Economics_Parameters!$C$12</f>
        <v>#REF!</v>
      </c>
      <c r="L167" s="431"/>
      <c r="M167" s="431"/>
      <c r="N167" s="431"/>
      <c r="O167" s="431"/>
      <c r="P167" s="431"/>
      <c r="Q167" s="431"/>
      <c r="R167" s="431"/>
      <c r="S167" s="431"/>
      <c r="T167" s="431"/>
      <c r="U167" s="431"/>
    </row>
    <row r="168" spans="1:36">
      <c r="C168" s="673"/>
    </row>
    <row r="169" spans="1:36" ht="16.5" thickBot="1">
      <c r="C169" s="672"/>
      <c r="K169" s="429" t="e">
        <f ca="1">SUM(K144:K167)</f>
        <v>#REF!</v>
      </c>
    </row>
    <row r="170" spans="1:36" ht="31.5">
      <c r="B170" s="665" t="s">
        <v>1205</v>
      </c>
      <c r="C170" s="885" t="s">
        <v>1231</v>
      </c>
      <c r="D170" s="881" t="s">
        <v>1344</v>
      </c>
      <c r="E170" s="703" t="s">
        <v>1490</v>
      </c>
      <c r="F170" s="703" t="s">
        <v>1200</v>
      </c>
      <c r="G170" s="604" t="s">
        <v>1258</v>
      </c>
      <c r="H170" s="604" t="s">
        <v>1259</v>
      </c>
      <c r="I170" s="604" t="s">
        <v>1184</v>
      </c>
    </row>
    <row r="171" spans="1:36">
      <c r="B171" s="1213" t="e">
        <f t="shared" ref="B171:B177" ca="1" si="25">IF(B161="", B60, "")</f>
        <v>#REF!</v>
      </c>
      <c r="C171" s="664" t="e">
        <f ca="1">IF(B171&lt;&gt; "", 'Land requirements'!F4, 0)</f>
        <v>#REF!</v>
      </c>
      <c r="D171" s="664" t="e">
        <f ca="1">IF(B171&lt;&gt; "", 'Land requirements'!F17, 0)</f>
        <v>#REF!</v>
      </c>
      <c r="E171" s="1206">
        <f ca="1">IFERROR(VLOOKUP(B171,'Feed parameters'!$A$2:$M$113,10,FALSE),0)</f>
        <v>0</v>
      </c>
      <c r="F171" s="1206">
        <f ca="1">IFERROR(VLOOKUP(B171,'Feed parameters'!$A$2:$M$113,11,FALSE),0)</f>
        <v>0</v>
      </c>
      <c r="G171" s="1206">
        <f ca="1">IFERROR(VLOOKUP(B171,'Feed parameters'!$A$2:$M$113,12,FALSE),0)</f>
        <v>0</v>
      </c>
      <c r="H171" s="1207">
        <f ca="1">IFERROR(VLOOKUP(B171,'Feed parameters'!$A$2:$M$113,13,FALSE),0)</f>
        <v>0</v>
      </c>
      <c r="I171" s="675"/>
    </row>
    <row r="172" spans="1:36">
      <c r="B172" s="443" t="e">
        <f t="shared" ca="1" si="25"/>
        <v>#REF!</v>
      </c>
      <c r="C172" s="664" t="e">
        <f ca="1">IF(B172&lt;&gt; "", 'Land requirements'!F5, 0)</f>
        <v>#REF!</v>
      </c>
      <c r="D172" s="664" t="e">
        <f ca="1">IF(B172&lt;&gt; "", 'Land requirements'!F18, 0)</f>
        <v>#REF!</v>
      </c>
      <c r="E172" s="1206">
        <f ca="1">IFERROR(VLOOKUP(B172,'Feed parameters'!$A$2:$M$113,10,FALSE),0)</f>
        <v>0</v>
      </c>
      <c r="F172" s="1206">
        <f ca="1">IFERROR(VLOOKUP(B172,'Feed parameters'!$A$2:$M$113,11,FALSE),0)</f>
        <v>0</v>
      </c>
      <c r="G172" s="1206">
        <f ca="1">IFERROR(VLOOKUP(B172,'Feed parameters'!$A$2:$M$113,12,FALSE),0)</f>
        <v>0</v>
      </c>
      <c r="H172" s="1207">
        <f ca="1">IFERROR(VLOOKUP(B172,'Feed parameters'!$A$2:$M$113,13,FALSE),0)</f>
        <v>0</v>
      </c>
      <c r="I172" s="675"/>
    </row>
    <row r="173" spans="1:36">
      <c r="B173" s="443" t="e">
        <f t="shared" ca="1" si="25"/>
        <v>#REF!</v>
      </c>
      <c r="C173" s="664" t="e">
        <f ca="1">IF(B173&lt;&gt; "", 'Land requirements'!F6, 0)</f>
        <v>#REF!</v>
      </c>
      <c r="D173" s="664" t="e">
        <f ca="1">IF(B173&lt;&gt; "", 'Land requirements'!F19, 0)</f>
        <v>#REF!</v>
      </c>
      <c r="E173" s="1206">
        <f ca="1">IFERROR(VLOOKUP(B173,'Feed parameters'!$A$2:$M$113,10,FALSE),0)</f>
        <v>0</v>
      </c>
      <c r="F173" s="1206">
        <f ca="1">IFERROR(VLOOKUP(B173,'Feed parameters'!$A$2:$M$113,11,FALSE),0)</f>
        <v>0</v>
      </c>
      <c r="G173" s="1206">
        <f ca="1">IFERROR(VLOOKUP(B173,'Feed parameters'!$A$2:$M$113,12,FALSE),0)</f>
        <v>0</v>
      </c>
      <c r="H173" s="1207">
        <f ca="1">IFERROR(VLOOKUP(B173,'Feed parameters'!$A$2:$M$113,13,FALSE),0)</f>
        <v>0</v>
      </c>
      <c r="I173" s="675"/>
      <c r="AE173" s="431"/>
      <c r="AF173" s="431"/>
    </row>
    <row r="174" spans="1:36">
      <c r="B174" s="443" t="e">
        <f t="shared" ca="1" si="25"/>
        <v>#REF!</v>
      </c>
      <c r="C174" s="664" t="e">
        <f ca="1">IF(B174&lt;&gt; "", 'Land requirements'!F7, 0)</f>
        <v>#REF!</v>
      </c>
      <c r="D174" s="664" t="e">
        <f ca="1">IF(B174&lt;&gt; "", 'Land requirements'!F20, 0)</f>
        <v>#REF!</v>
      </c>
      <c r="E174" s="1206">
        <f ca="1">IFERROR(VLOOKUP(B174,'Feed parameters'!$A$2:$M$113,10,FALSE),0)</f>
        <v>0</v>
      </c>
      <c r="F174" s="1206">
        <f ca="1">IFERROR(VLOOKUP(B174,'Feed parameters'!$A$2:$M$113,11,FALSE),0)</f>
        <v>0</v>
      </c>
      <c r="G174" s="1206">
        <f ca="1">IFERROR(VLOOKUP(B174,'Feed parameters'!$A$2:$M$113,12,FALSE),0)</f>
        <v>0</v>
      </c>
      <c r="H174" s="1207">
        <f ca="1">IFERROR(VLOOKUP(B174,'Feed parameters'!$A$2:$M$113,13,FALSE),0)</f>
        <v>0</v>
      </c>
      <c r="I174" s="675"/>
      <c r="AE174" s="431"/>
      <c r="AF174" s="431"/>
    </row>
    <row r="175" spans="1:36">
      <c r="B175" s="443" t="e">
        <f t="shared" ca="1" si="25"/>
        <v>#REF!</v>
      </c>
      <c r="C175" s="664" t="e">
        <f ca="1">IF(B175&lt;&gt; "", 'Land requirements'!F8, 0)</f>
        <v>#REF!</v>
      </c>
      <c r="D175" s="664" t="e">
        <f ca="1">IF(B175&lt;&gt; "", 'Land requirements'!F21, 0)</f>
        <v>#REF!</v>
      </c>
      <c r="E175" s="1206">
        <f ca="1">IFERROR(VLOOKUP(B175,'Feed parameters'!$A$2:$M$113,10,FALSE),0)</f>
        <v>0</v>
      </c>
      <c r="F175" s="1206">
        <f ca="1">IFERROR(VLOOKUP(B175,'Feed parameters'!$A$2:$M$113,11,FALSE),0)</f>
        <v>0</v>
      </c>
      <c r="G175" s="1206">
        <f ca="1">IFERROR(VLOOKUP(B175,'Feed parameters'!$A$2:$M$113,12,FALSE),0)</f>
        <v>0</v>
      </c>
      <c r="H175" s="1207">
        <f ca="1">IFERROR(VLOOKUP(B175,'Feed parameters'!$A$2:$M$113,13,FALSE),0)</f>
        <v>0</v>
      </c>
      <c r="I175" s="675"/>
      <c r="AE175" s="431"/>
      <c r="AF175" s="431"/>
    </row>
    <row r="176" spans="1:36">
      <c r="B176" s="443" t="e">
        <f t="shared" ca="1" si="25"/>
        <v>#REF!</v>
      </c>
      <c r="C176" s="664" t="e">
        <f ca="1">IF(B176&lt;&gt; "", 'Land requirements'!F9, 0)</f>
        <v>#REF!</v>
      </c>
      <c r="D176" s="664" t="e">
        <f ca="1">IF(B176&lt;&gt; "", 'Land requirements'!F22, 0)</f>
        <v>#REF!</v>
      </c>
      <c r="E176" s="1206">
        <f ca="1">IFERROR(VLOOKUP(B176,'Feed parameters'!$A$2:$M$113,10,FALSE),0)</f>
        <v>0</v>
      </c>
      <c r="F176" s="1206">
        <f ca="1">IFERROR(VLOOKUP(B176,'Feed parameters'!$A$2:$M$113,11,FALSE),0)</f>
        <v>0</v>
      </c>
      <c r="G176" s="1206">
        <f ca="1">IFERROR(VLOOKUP(B176,'Feed parameters'!$A$2:$M$113,12,FALSE),0)</f>
        <v>0</v>
      </c>
      <c r="H176" s="1207">
        <f ca="1">IFERROR(VLOOKUP(B176,'Feed parameters'!$A$2:$M$113,13,FALSE),0)</f>
        <v>0</v>
      </c>
      <c r="I176" s="675"/>
      <c r="AD176" s="431"/>
      <c r="AE176" s="431"/>
      <c r="AF176" s="431"/>
    </row>
    <row r="177" spans="2:33" ht="16.5" thickBot="1">
      <c r="B177" s="872" t="e">
        <f t="shared" ca="1" si="25"/>
        <v>#REF!</v>
      </c>
      <c r="C177" s="873" t="e">
        <f ca="1">IF(B177&lt;&gt; "", 'Land requirements'!F10, 0)</f>
        <v>#REF!</v>
      </c>
      <c r="D177" s="873" t="e">
        <f ca="1">IF(B177&lt;&gt; "", 'Land requirements'!F23, 0)</f>
        <v>#REF!</v>
      </c>
      <c r="E177" s="1208">
        <f ca="1">IFERROR(VLOOKUP(B177,'Feed parameters'!$A$2:$M$113,10,FALSE),0)</f>
        <v>0</v>
      </c>
      <c r="F177" s="1208">
        <f ca="1">IFERROR(VLOOKUP(B177,'Feed parameters'!$A$2:$M$113,11,FALSE),0)</f>
        <v>0</v>
      </c>
      <c r="G177" s="1208">
        <f ca="1">IFERROR(VLOOKUP(B177,'Feed parameters'!$A$2:$M$113,12,FALSE),0)</f>
        <v>0</v>
      </c>
      <c r="H177" s="1209">
        <f ca="1">IFERROR(VLOOKUP(B177,'Feed parameters'!$A$2:$M$113,13,FALSE),0)</f>
        <v>0</v>
      </c>
      <c r="I177" s="706"/>
      <c r="AD177" s="431"/>
      <c r="AE177" s="431"/>
      <c r="AF177" s="431"/>
    </row>
    <row r="178" spans="2:33" ht="16.5" thickBot="1">
      <c r="B178" s="871"/>
      <c r="C178" s="429"/>
      <c r="AD178" s="431"/>
      <c r="AE178" s="431"/>
      <c r="AF178" s="431"/>
    </row>
    <row r="179" spans="2:33" ht="16.5" thickBot="1">
      <c r="B179" s="665" t="s">
        <v>1201</v>
      </c>
      <c r="C179" s="343"/>
      <c r="D179" s="343"/>
      <c r="E179" s="343"/>
      <c r="F179" s="343"/>
      <c r="G179" s="620"/>
      <c r="H179" s="606"/>
      <c r="AC179" s="431"/>
      <c r="AD179" s="431"/>
      <c r="AE179" s="431"/>
      <c r="AF179" s="431"/>
    </row>
    <row r="180" spans="2:33" ht="31.5">
      <c r="B180" s="590" t="s">
        <v>1182</v>
      </c>
      <c r="C180" s="652" t="s">
        <v>1232</v>
      </c>
      <c r="D180" s="603" t="s">
        <v>1200</v>
      </c>
      <c r="E180" s="604" t="s">
        <v>1233</v>
      </c>
      <c r="F180" s="876" t="s">
        <v>1234</v>
      </c>
      <c r="G180" s="882" t="s">
        <v>1184</v>
      </c>
      <c r="AC180" s="431"/>
      <c r="AD180" s="431"/>
    </row>
    <row r="181" spans="2:33">
      <c r="B181" s="707" t="s">
        <v>1260</v>
      </c>
      <c r="C181" s="697">
        <v>250</v>
      </c>
      <c r="D181" s="697">
        <v>0</v>
      </c>
      <c r="E181" s="697">
        <v>5</v>
      </c>
      <c r="F181" s="874">
        <v>1</v>
      </c>
      <c r="G181" s="883"/>
      <c r="AC181" s="431"/>
      <c r="AD181" s="431"/>
    </row>
    <row r="182" spans="2:33">
      <c r="B182" s="707"/>
      <c r="C182" s="697"/>
      <c r="D182" s="697"/>
      <c r="E182" s="697"/>
      <c r="F182" s="874"/>
      <c r="G182" s="883"/>
      <c r="AB182" s="431"/>
      <c r="AC182" s="431"/>
      <c r="AD182" s="431"/>
    </row>
    <row r="183" spans="2:33" ht="16.5" thickBot="1">
      <c r="B183" s="708"/>
      <c r="C183" s="705"/>
      <c r="D183" s="705"/>
      <c r="E183" s="705"/>
      <c r="F183" s="875"/>
      <c r="G183" s="884"/>
      <c r="AB183" s="431"/>
      <c r="AC183" s="431"/>
    </row>
    <row r="184" spans="2:33">
      <c r="B184" s="441"/>
      <c r="AB184" s="431"/>
      <c r="AC184" s="431"/>
    </row>
    <row r="185" spans="2:33">
      <c r="H185" s="72"/>
      <c r="I185" s="72"/>
      <c r="J185" s="72"/>
      <c r="AA185" s="431"/>
      <c r="AB185" s="431"/>
      <c r="AC185" s="431"/>
    </row>
    <row r="186" spans="2:33">
      <c r="B186" s="863" t="s">
        <v>1454</v>
      </c>
      <c r="C186" s="864">
        <f>SUMMARY!$D$16</f>
        <v>8.0627391451716761</v>
      </c>
      <c r="H186" s="72"/>
      <c r="I186" s="72"/>
      <c r="J186" s="72"/>
      <c r="AA186" s="431"/>
      <c r="AB186" s="431"/>
    </row>
    <row r="187" spans="2:33">
      <c r="B187" s="72" t="s">
        <v>1455</v>
      </c>
      <c r="C187" s="773">
        <f>SUMMARY!$G$16</f>
        <v>4.7608857409240493</v>
      </c>
      <c r="AA187" s="431"/>
      <c r="AB187" s="431"/>
    </row>
    <row r="188" spans="2:33">
      <c r="B188" s="72" t="s">
        <v>1352</v>
      </c>
      <c r="C188" s="1170">
        <f>'Soil impacts'!$C$2</f>
        <v>0.4072630440484904</v>
      </c>
      <c r="V188" s="431"/>
      <c r="Z188" s="431"/>
      <c r="AA188" s="431"/>
      <c r="AB188" s="431"/>
    </row>
    <row r="189" spans="2:33">
      <c r="B189" s="72" t="s">
        <v>1353</v>
      </c>
      <c r="C189" s="1170">
        <f>'Soil impacts'!$D$2/100</f>
        <v>0</v>
      </c>
      <c r="V189" s="431"/>
      <c r="W189" s="431"/>
      <c r="Z189" s="431"/>
      <c r="AA189" s="431"/>
    </row>
    <row r="190" spans="2:33">
      <c r="B190" s="72" t="s">
        <v>1479</v>
      </c>
      <c r="C190" s="773">
        <f>SUMMARY!$D$21</f>
        <v>13.611134968312978</v>
      </c>
      <c r="U190" s="431"/>
      <c r="V190" s="431"/>
      <c r="W190" s="431"/>
      <c r="X190" s="431"/>
      <c r="Z190" s="431"/>
      <c r="AA190" s="431"/>
      <c r="AG190" s="431"/>
    </row>
    <row r="191" spans="2:33">
      <c r="B191" s="72" t="s">
        <v>1462</v>
      </c>
      <c r="C191" s="773">
        <f>SUMMARY!$D$6</f>
        <v>1.693537628064723</v>
      </c>
      <c r="U191" s="431"/>
      <c r="V191" s="431"/>
      <c r="W191" s="431"/>
      <c r="X191" s="431"/>
      <c r="Y191" s="431"/>
      <c r="Z191" s="431"/>
      <c r="AA191" s="431"/>
      <c r="AG191" s="431"/>
    </row>
    <row r="192" spans="2:33">
      <c r="B192" s="72" t="s">
        <v>1463</v>
      </c>
      <c r="C192" s="773">
        <f>SUMMARY!$D$9</f>
        <v>3226.2900000000004</v>
      </c>
      <c r="T192" s="431"/>
      <c r="U192" s="431"/>
      <c r="V192" s="431"/>
      <c r="W192" s="431"/>
      <c r="X192" s="431"/>
      <c r="Y192" s="431"/>
      <c r="Z192" s="431"/>
      <c r="AG192" s="431"/>
    </row>
    <row r="193" spans="2:33">
      <c r="B193" s="72" t="s">
        <v>1464</v>
      </c>
      <c r="C193" s="773">
        <f>SUMMARY!$D$11</f>
        <v>271.44</v>
      </c>
      <c r="T193" s="431"/>
      <c r="U193" s="431"/>
      <c r="V193" s="431"/>
      <c r="W193" s="431"/>
      <c r="X193" s="431"/>
      <c r="Y193" s="431"/>
      <c r="Z193" s="431"/>
      <c r="AG193" s="431"/>
    </row>
    <row r="194" spans="2:33">
      <c r="B194" s="72" t="s">
        <v>1465</v>
      </c>
      <c r="C194" s="773">
        <f>SUMMARY!$D$13</f>
        <v>189.94713000000002</v>
      </c>
      <c r="T194" s="431"/>
      <c r="U194" s="431"/>
      <c r="V194" s="431"/>
      <c r="W194" s="431"/>
      <c r="X194" s="431"/>
      <c r="Y194" s="431"/>
      <c r="Z194" s="431"/>
      <c r="AG194" s="431"/>
    </row>
    <row r="195" spans="2:33">
      <c r="B195" s="72" t="s">
        <v>1456</v>
      </c>
      <c r="C195" s="773">
        <f>SUMMARY!$D$24</f>
        <v>10.173140334893528</v>
      </c>
      <c r="T195" s="431"/>
      <c r="U195" s="431"/>
      <c r="W195" s="431"/>
      <c r="X195" s="431"/>
      <c r="Y195" s="431"/>
      <c r="AG195" s="431"/>
    </row>
    <row r="196" spans="2:33">
      <c r="B196" s="72" t="s">
        <v>1457</v>
      </c>
      <c r="C196" s="773">
        <f>SUMMARY!J24</f>
        <v>3.1532008390112258</v>
      </c>
      <c r="T196" s="431"/>
      <c r="U196" s="431"/>
      <c r="X196" s="431"/>
      <c r="Y196" s="431"/>
      <c r="AG196" s="431"/>
    </row>
    <row r="197" spans="2:33">
      <c r="B197" s="72" t="s">
        <v>1458</v>
      </c>
      <c r="C197" s="773">
        <f>SUMMARY!J25</f>
        <v>37.478412669074295</v>
      </c>
      <c r="T197" s="431"/>
      <c r="Y197" s="431"/>
    </row>
    <row r="198" spans="2:33">
      <c r="B198" s="72" t="s">
        <v>1459</v>
      </c>
      <c r="C198" s="773">
        <f>SUMMARY!J26</f>
        <v>53.557747015674977</v>
      </c>
      <c r="T198" s="431"/>
    </row>
    <row r="199" spans="2:33">
      <c r="B199" s="72" t="s">
        <v>1469</v>
      </c>
      <c r="C199" s="773">
        <f>SUMMARY!G24</f>
        <v>6.0070353125361651</v>
      </c>
    </row>
    <row r="200" spans="2:33">
      <c r="B200" s="72" t="s">
        <v>1770</v>
      </c>
      <c r="C200" s="773">
        <f>SUMMARY!$G$30</f>
        <v>-8.8256976154175035E-2</v>
      </c>
    </row>
    <row r="201" spans="2:33">
      <c r="B201" s="72" t="s">
        <v>1466</v>
      </c>
      <c r="C201" s="773">
        <f>SUMMARY!$J$29</f>
        <v>0.52231262667975353</v>
      </c>
    </row>
    <row r="202" spans="2:33">
      <c r="B202" s="72" t="s">
        <v>1467</v>
      </c>
      <c r="C202" s="773">
        <f>'Water Impacts'!B6</f>
        <v>6.2081196740739104</v>
      </c>
    </row>
    <row r="203" spans="2:33">
      <c r="B203" s="72" t="s">
        <v>1491</v>
      </c>
      <c r="C203" s="773">
        <f>'Water Impacts'!B7</f>
        <v>8.871584447370287</v>
      </c>
    </row>
    <row r="204" spans="2:33">
      <c r="B204" s="72" t="s">
        <v>1470</v>
      </c>
      <c r="C204" s="773">
        <f>SUMMARY!$G$27</f>
        <v>995.03664778697237</v>
      </c>
    </row>
    <row r="205" spans="2:33">
      <c r="B205" s="72" t="s">
        <v>1468</v>
      </c>
      <c r="C205" s="773">
        <f>Productivity!B10/SUMMARY!D6</f>
        <v>3.8546530598554352</v>
      </c>
    </row>
    <row r="206" spans="2:33">
      <c r="B206" s="351" t="s">
        <v>1686</v>
      </c>
      <c r="C206" s="773">
        <f>SUMMARY!D44</f>
        <v>1976.4014824988758</v>
      </c>
    </row>
    <row r="207" spans="2:33">
      <c r="B207" s="351" t="s">
        <v>1687</v>
      </c>
      <c r="C207" s="773" t="e">
        <f ca="1">SUMMARY!D45</f>
        <v>#REF!</v>
      </c>
    </row>
    <row r="208" spans="2:33">
      <c r="B208" s="351" t="s">
        <v>1688</v>
      </c>
      <c r="C208" s="773" t="e">
        <f ca="1">C206-C207</f>
        <v>#REF!</v>
      </c>
    </row>
    <row r="209" spans="2:3">
      <c r="B209" s="72" t="str">
        <f>'Land requirements'!A4</f>
        <v>Concentrate (commercial)</v>
      </c>
      <c r="C209" s="773">
        <f>'Land requirements'!F4</f>
        <v>0</v>
      </c>
    </row>
    <row r="210" spans="2:3">
      <c r="B210" s="72" t="str">
        <f>'Land requirements'!A5</f>
        <v>Pennisetum purpureum - forage</v>
      </c>
      <c r="C210" s="773">
        <f>'Land requirements'!F5</f>
        <v>2.9946669286461836E-2</v>
      </c>
    </row>
    <row r="211" spans="2:3">
      <c r="B211" s="72" t="str">
        <f>'Land requirements'!A6</f>
        <v>Rhodes grass (Chloris gayana) - forage</v>
      </c>
      <c r="C211" s="773">
        <f>'Land requirements'!F6</f>
        <v>0.19814299519254597</v>
      </c>
    </row>
    <row r="212" spans="2:3">
      <c r="B212" s="72" t="str">
        <f>'Land requirements'!A7</f>
        <v>Guatemala (Tripsacum andersonii) - forage</v>
      </c>
      <c r="C212" s="773">
        <f>'Land requirements'!F7</f>
        <v>6.4332183440858282E-2</v>
      </c>
    </row>
    <row r="213" spans="2:3">
      <c r="B213" s="72" t="str">
        <f>'Land requirements'!A8</f>
        <v>Maize (Zea mays) - stover</v>
      </c>
      <c r="C213" s="773">
        <f>'Land requirements'!F8</f>
        <v>0.90954348572110355</v>
      </c>
    </row>
    <row r="214" spans="2:3">
      <c r="B214" s="72" t="str">
        <f>'Land requirements'!A9</f>
        <v xml:space="preserve">Naturally occuring pasture - green fodder </v>
      </c>
      <c r="C214" s="773">
        <f>'Land requirements'!F9</f>
        <v>0.49157229442375316</v>
      </c>
    </row>
    <row r="215" spans="2:3">
      <c r="B215" s="72" t="str">
        <f>'Land requirements'!A10</f>
        <v>N/A</v>
      </c>
      <c r="C215" s="773">
        <f>'Land requirements'!F10</f>
        <v>0</v>
      </c>
    </row>
    <row r="216" spans="2:3">
      <c r="B216" s="72" t="str">
        <f>INPUTS!C21</f>
        <v>Cows (local)</v>
      </c>
      <c r="C216" s="773">
        <f>INPUTS!D21</f>
        <v>0</v>
      </c>
    </row>
    <row r="217" spans="2:3">
      <c r="B217" s="72" t="str">
        <f>INPUTS!C22</f>
        <v>Cows (improved)</v>
      </c>
      <c r="C217" s="773">
        <f>INPUTS!D22</f>
        <v>2</v>
      </c>
    </row>
  </sheetData>
  <sheetProtection selectLockedCells="1"/>
  <mergeCells count="9">
    <mergeCell ref="B5:B7"/>
    <mergeCell ref="B10:B11"/>
    <mergeCell ref="B20:B29"/>
    <mergeCell ref="B36:B39"/>
    <mergeCell ref="B112:B118"/>
    <mergeCell ref="B72:B94"/>
    <mergeCell ref="B96:B103"/>
    <mergeCell ref="B49:B53"/>
    <mergeCell ref="B41:B46"/>
  </mergeCells>
  <phoneticPr fontId="42" type="noConversion"/>
  <dataValidations count="13">
    <dataValidation allowBlank="1" showInputMessage="1" showErrorMessage="1" promptTitle="Crop" sqref="D73:D79"/>
    <dataValidation type="list" allowBlank="1" showInputMessage="1" showErrorMessage="1" sqref="I73:I79 M80:M85 G80:G85 AA68:AA72">
      <formula1>Land_cover_erosion</formula1>
    </dataValidation>
    <dataValidation type="list" allowBlank="1" showInputMessage="1" showErrorMessage="1" sqref="J73:J79 N80:N85 H80:H85 AB68:AB70">
      <formula1>Slope</formula1>
    </dataValidation>
    <dataValidation type="list" allowBlank="1" showInputMessage="1" showErrorMessage="1" sqref="K73:K79 O80:O85 I80:I85">
      <formula1>Slope_length</formula1>
    </dataValidation>
    <dataValidation type="whole" allowBlank="1" showInputMessage="1" showErrorMessage="1" sqref="F73:F79">
      <formula1>0</formula1>
      <formula2>1</formula2>
    </dataValidation>
    <dataValidation type="decimal" allowBlank="1" showInputMessage="1" showErrorMessage="1" sqref="G73:H79">
      <formula1>0</formula1>
      <formula2>1</formula2>
    </dataValidation>
    <dataValidation type="list" allowBlank="1" showInputMessage="1" showErrorMessage="1" sqref="E115">
      <formula1>RiceEcosystem</formula1>
    </dataValidation>
    <dataValidation type="list" allowBlank="1" showInputMessage="1" showErrorMessage="1" sqref="E116">
      <formula1>wateregime</formula1>
    </dataValidation>
    <dataValidation type="list" allowBlank="1" showInputMessage="1" showErrorMessage="1" sqref="E117">
      <formula1>OrganicAmendment</formula1>
    </dataValidation>
    <dataValidation type="list" allowBlank="1" showInputMessage="1" showErrorMessage="1" promptTitle="Crop" sqref="D80:D85">
      <formula1>$A$1:$A$67</formula1>
    </dataValidation>
    <dataValidation type="decimal" allowBlank="1" showInputMessage="1" showErrorMessage="1" errorTitle="Wrong value put in" error="Value should be between 0.0 - 1 e.g 0.4 to mean 40%" sqref="H21:J34">
      <formula1>0</formula1>
      <formula2>1</formula2>
    </dataValidation>
    <dataValidation type="decimal" allowBlank="1" showInputMessage="1" showErrorMessage="1" errorTitle="Wrong INPUT Value" error="Value should be between 0.0 - 1 e.g 0.4 to mean 40%" sqref="K21:O34">
      <formula1>0</formula1>
      <formula2>1</formula2>
    </dataValidation>
    <dataValidation type="whole" allowBlank="1" showInputMessage="1" showErrorMessage="1" errorTitle="Wrong INPUT value" error="Value should be between 0.0 - 1 e.g 0.4 to mean 40%" sqref="Q21:Q34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r:id="rId5">
            <anchor moveWithCells="1">
              <from>
                <xdr:col>5</xdr:col>
                <xdr:colOff>1076325</xdr:colOff>
                <xdr:row>107</xdr:row>
                <xdr:rowOff>95250</xdr:rowOff>
              </from>
              <to>
                <xdr:col>6</xdr:col>
                <xdr:colOff>800100</xdr:colOff>
                <xdr:row>111</xdr:row>
                <xdr:rowOff>152400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I73:I79 G80:G85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F115:I117</xm:sqref>
        </x14:dataValidation>
        <x14:dataValidation type="list" allowBlank="1" showInputMessage="1" showErrorMessage="1">
          <x14:formula1>
            <xm:f>'Crop parameters'!$A$45:$A$47</xm:f>
          </x14:formula1>
          <xm:sqref>E73:E79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K80:K85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>
          <x14:formula1>
            <xm:f>'GHG Parameters'!$A$166:$A$168</xm:f>
          </x14:formula1>
          <xm:sqref>D37:D39</xm:sqref>
        </x14:dataValidation>
        <x14:dataValidation type="list" allowBlank="1" showInputMessage="1" showErrorMessage="1">
          <x14:formula1>
            <xm:f>'Feed parameters'!$A$3:$A$114</xm:f>
          </x14:formula1>
          <xm:sqref>B60:B66</xm:sqref>
        </x14:dataValidation>
        <x14:dataValidation type="list" allowBlank="1" showInputMessage="1" showErrorMessage="1">
          <x14:formula1>
            <xm:f>'SOC parameters'!$D$45:$D$52</xm:f>
          </x14:formula1>
          <xm:sqref>L73:L79</xm:sqref>
        </x14:dataValidation>
        <x14:dataValidation type="list" allowBlank="1" showInputMessage="1" showErrorMessage="1">
          <x14:formula1>
            <xm:f>'Livestock parameters'!$A$20:$A$35</xm:f>
          </x14:formula1>
          <xm:sqref>C21:C34</xm:sqref>
        </x14:dataValidation>
        <x14:dataValidation type="list" allowBlank="1" showInputMessage="1" showErrorMessage="1">
          <x14:formula1>
            <xm:f>'GHG Parameters'!$A$3:$A$5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L52"/>
  <sheetViews>
    <sheetView workbookViewId="0">
      <selection activeCell="H26" sqref="H26"/>
    </sheetView>
  </sheetViews>
  <sheetFormatPr defaultColWidth="11" defaultRowHeight="15.75"/>
  <cols>
    <col min="1" max="1" width="44.625" bestFit="1" customWidth="1"/>
    <col min="2" max="2" width="35.625" customWidth="1"/>
    <col min="3" max="4" width="11.5" customWidth="1"/>
    <col min="5" max="5" width="11.5" style="1378" customWidth="1"/>
    <col min="6" max="6" width="9.5" customWidth="1"/>
  </cols>
  <sheetData>
    <row r="1" spans="1:12" s="572" customFormat="1" ht="16.5" thickBot="1"/>
    <row r="2" spans="1:12">
      <c r="A2" s="1433" t="s">
        <v>1129</v>
      </c>
      <c r="B2" s="1434"/>
      <c r="C2" s="1434"/>
      <c r="D2" s="1434"/>
      <c r="E2" s="1434"/>
      <c r="F2" s="1435"/>
      <c r="G2" s="145"/>
      <c r="H2" s="145"/>
      <c r="I2" s="145"/>
      <c r="J2" s="987"/>
      <c r="K2" s="987"/>
      <c r="L2" s="987"/>
    </row>
    <row r="3" spans="1:12">
      <c r="A3" s="404" t="s">
        <v>1089</v>
      </c>
      <c r="B3" s="405" t="s">
        <v>1106</v>
      </c>
      <c r="C3" s="1395" t="s">
        <v>1838</v>
      </c>
      <c r="D3" s="1395" t="s">
        <v>819</v>
      </c>
      <c r="E3" s="1396" t="s">
        <v>1840</v>
      </c>
      <c r="F3" s="1397" t="s">
        <v>127</v>
      </c>
      <c r="G3" s="145"/>
      <c r="H3" s="1226" t="s">
        <v>1390</v>
      </c>
      <c r="I3" s="1227" t="s">
        <v>1389</v>
      </c>
      <c r="J3" s="987"/>
      <c r="K3" s="988" t="s">
        <v>1391</v>
      </c>
      <c r="L3" s="988" t="s">
        <v>1345</v>
      </c>
    </row>
    <row r="4" spans="1:12">
      <c r="A4" s="406" t="str">
        <f>INPUTS!C73</f>
        <v>Concentrate (commercial)</v>
      </c>
      <c r="B4" s="407" t="str">
        <f>INPUTS!D73</f>
        <v>Purchased</v>
      </c>
      <c r="C4" s="643">
        <f>'Land Requirement '!O21</f>
        <v>0</v>
      </c>
      <c r="D4" s="643">
        <f>'Land Requirement '!P21</f>
        <v>0</v>
      </c>
      <c r="E4" s="643">
        <f>'Land Requirement '!Q21</f>
        <v>0</v>
      </c>
      <c r="F4" s="644">
        <f>C4+D4+E4</f>
        <v>0</v>
      </c>
      <c r="G4" s="145"/>
      <c r="H4" s="1225">
        <f>IF(VLOOKUP(B4,'Crop parameters'!$A$2:$Z$43,22)="grass",F4,0)</f>
        <v>0</v>
      </c>
      <c r="I4" s="1225">
        <f>IF(VLOOKUP(B4,'Crop parameters'!$A$2:$Z$43,22)="tree crop",F4,0)</f>
        <v>0</v>
      </c>
      <c r="J4" s="987"/>
      <c r="K4" s="987" t="str">
        <f t="shared" ref="K4:K10" si="0">IF(VLOOKUP(I4,$I$4:$I$10,1),B4,"")</f>
        <v/>
      </c>
      <c r="L4" s="987" t="str">
        <f t="shared" ref="L4:L10" si="1">IF(VLOOKUP(I4,$I$4:$I$10,1),I4,"")</f>
        <v/>
      </c>
    </row>
    <row r="5" spans="1:12">
      <c r="A5" s="406" t="str">
        <f>INPUTS!C74</f>
        <v>Pennisetum purpureum - forage</v>
      </c>
      <c r="B5" s="407" t="str">
        <f>INPUTS!D74</f>
        <v>Pennisetum purpureum</v>
      </c>
      <c r="C5" s="643">
        <f>'Land Requirement '!AE21</f>
        <v>2.1340378167217205E-2</v>
      </c>
      <c r="D5" s="643">
        <f>'Land Requirement '!AF21</f>
        <v>8.6062911192446283E-3</v>
      </c>
      <c r="E5" s="643">
        <f>'Land Requirement '!AG21</f>
        <v>0</v>
      </c>
      <c r="F5" s="644">
        <f t="shared" ref="F5:F10" si="2">C5+D5+E5</f>
        <v>2.9946669286461836E-2</v>
      </c>
      <c r="G5" s="145"/>
      <c r="H5" s="1225">
        <f>IF(VLOOKUP(B5,'Crop parameters'!$A$2:$Z$43,22)="grass",F5,0)</f>
        <v>2.9946669286461836E-2</v>
      </c>
      <c r="I5" s="1225">
        <f>IF(VLOOKUP(B5,'Crop parameters'!$A$2:$Z$43,22)="tree crop",F5,0)</f>
        <v>0</v>
      </c>
      <c r="J5" s="987"/>
      <c r="K5" s="987" t="str">
        <f t="shared" si="0"/>
        <v/>
      </c>
      <c r="L5" s="987" t="str">
        <f t="shared" si="1"/>
        <v/>
      </c>
    </row>
    <row r="6" spans="1:12">
      <c r="A6" s="406" t="str">
        <f>INPUTS!C75</f>
        <v>Rhodes grass (Chloris gayana) - forage</v>
      </c>
      <c r="B6" s="407" t="str">
        <f>INPUTS!D75</f>
        <v>Rhodes</v>
      </c>
      <c r="C6" s="643">
        <f>'Land Requirement '!AU21</f>
        <v>0.1427235007210968</v>
      </c>
      <c r="D6" s="643">
        <f>'Land Requirement '!AV21</f>
        <v>5.5419494471449178E-2</v>
      </c>
      <c r="E6" s="643">
        <f>'Land Requirement '!AW21</f>
        <v>0</v>
      </c>
      <c r="F6" s="644">
        <f t="shared" si="2"/>
        <v>0.19814299519254597</v>
      </c>
      <c r="G6" s="145"/>
      <c r="H6" s="1225">
        <f>IF(VLOOKUP(B6,'Crop parameters'!$A$2:$Z$43,22)="grass",F6,0)</f>
        <v>0</v>
      </c>
      <c r="I6" s="1225">
        <f>IF(VLOOKUP(B6,'Crop parameters'!$A$2:$Z$43,22)="tree crop",F6,0)</f>
        <v>0</v>
      </c>
      <c r="J6" s="987"/>
      <c r="K6" s="987" t="str">
        <f t="shared" si="0"/>
        <v/>
      </c>
      <c r="L6" s="987" t="str">
        <f t="shared" si="1"/>
        <v/>
      </c>
    </row>
    <row r="7" spans="1:12">
      <c r="A7" s="406" t="str">
        <f>INPUTS!C76</f>
        <v>Guatemala (Tripsacum andersonii) - forage</v>
      </c>
      <c r="B7" s="407" t="str">
        <f>INPUTS!D76</f>
        <v>Guatemala</v>
      </c>
      <c r="C7" s="643">
        <f>'Land Requirement '!BK21</f>
        <v>1.1618650335484922E-2</v>
      </c>
      <c r="D7" s="643">
        <f>'Land Requirement '!BL21</f>
        <v>5.2713533105373356E-2</v>
      </c>
      <c r="E7" s="643">
        <f>'Land Requirement '!BM21</f>
        <v>0</v>
      </c>
      <c r="F7" s="644">
        <f t="shared" si="2"/>
        <v>6.4332183440858282E-2</v>
      </c>
      <c r="G7" s="145"/>
      <c r="H7" s="1225">
        <f>IF(VLOOKUP(B7,'Crop parameters'!$A$2:$Z$43,22)="grass",F7,0)</f>
        <v>0</v>
      </c>
      <c r="I7" s="1225">
        <f>IF(VLOOKUP(B7,'Crop parameters'!$A$2:$Z$43,22)="tree crop",F7,0)</f>
        <v>0</v>
      </c>
      <c r="J7" s="987"/>
      <c r="K7" s="987" t="str">
        <f t="shared" si="0"/>
        <v/>
      </c>
      <c r="L7" s="987" t="str">
        <f t="shared" si="1"/>
        <v/>
      </c>
    </row>
    <row r="8" spans="1:12">
      <c r="A8" s="406" t="str">
        <f>INPUTS!C77</f>
        <v>Maize (Zea mays) - stover</v>
      </c>
      <c r="B8" s="407" t="str">
        <f>INPUTS!D77</f>
        <v>Maize</v>
      </c>
      <c r="C8" s="643">
        <f>'Land Requirement '!CA21</f>
        <v>0.13633841388449541</v>
      </c>
      <c r="D8" s="643">
        <f>'Land Requirement '!CB21</f>
        <v>0.77320507183660814</v>
      </c>
      <c r="E8" s="643">
        <f>'Land Requirement '!CC21</f>
        <v>0</v>
      </c>
      <c r="F8" s="644">
        <f t="shared" si="2"/>
        <v>0.90954348572110355</v>
      </c>
      <c r="G8" s="145"/>
      <c r="H8" s="1225">
        <f>IF(VLOOKUP(B8,'Crop parameters'!$A$2:$Z$43,22)="grass",F8,0)</f>
        <v>0.90954348572110355</v>
      </c>
      <c r="I8" s="1225">
        <f>IF(VLOOKUP(B8,'Crop parameters'!$A$2:$Z$43,22)="tree crop",F8,0)</f>
        <v>0</v>
      </c>
      <c r="J8" s="987"/>
      <c r="K8" s="987" t="str">
        <f t="shared" si="0"/>
        <v/>
      </c>
      <c r="L8" s="987" t="str">
        <f t="shared" si="1"/>
        <v/>
      </c>
    </row>
    <row r="9" spans="1:12">
      <c r="A9" s="406" t="str">
        <f>INPUTS!C78</f>
        <v xml:space="preserve">Naturally occuring pasture - green fodder </v>
      </c>
      <c r="B9" s="407" t="str">
        <f>INPUTS!D78</f>
        <v>Natural pasture</v>
      </c>
      <c r="C9" s="643">
        <f>'Land Requirement '!CQ21</f>
        <v>0.34615565137444737</v>
      </c>
      <c r="D9" s="643">
        <f>'Land Requirement '!CR21</f>
        <v>0.14541664304930582</v>
      </c>
      <c r="E9" s="643">
        <f>'Land Requirement '!CS21</f>
        <v>0</v>
      </c>
      <c r="F9" s="644">
        <f t="shared" si="2"/>
        <v>0.49157229442375316</v>
      </c>
      <c r="G9" s="145"/>
      <c r="H9" s="1225">
        <f>IF(VLOOKUP(B9,'Crop parameters'!$A$2:$Z$43,22)="grass",F9,0)</f>
        <v>0.49157229442375316</v>
      </c>
      <c r="I9" s="1225">
        <f>IF(VLOOKUP(B9,'Crop parameters'!$A$2:$Z$43,22)="tree crop",F9,0)</f>
        <v>0</v>
      </c>
      <c r="J9" s="987"/>
      <c r="K9" s="987" t="str">
        <f t="shared" si="0"/>
        <v/>
      </c>
      <c r="L9" s="987" t="str">
        <f t="shared" si="1"/>
        <v/>
      </c>
    </row>
    <row r="10" spans="1:12">
      <c r="A10" s="406" t="str">
        <f>INPUTS!C79</f>
        <v>N/A</v>
      </c>
      <c r="B10" s="407" t="str">
        <f>INPUTS!D79</f>
        <v>N/A</v>
      </c>
      <c r="C10" s="643">
        <f>'Land Requirement '!DG21</f>
        <v>0</v>
      </c>
      <c r="D10" s="643">
        <f>'Land Requirement '!DH21</f>
        <v>0</v>
      </c>
      <c r="E10" s="643">
        <f>'Land Requirement '!DI21</f>
        <v>0</v>
      </c>
      <c r="F10" s="644">
        <f t="shared" si="2"/>
        <v>0</v>
      </c>
      <c r="G10" s="145"/>
      <c r="H10" s="1225">
        <f>IF(VLOOKUP(B10,'Crop parameters'!$A$2:$Z$43,22)="grass",F10,0)</f>
        <v>0</v>
      </c>
      <c r="I10" s="1225">
        <f>IF(VLOOKUP(B10,'Crop parameters'!$A$2:$Z$43,22)="tree crop",F10,0)</f>
        <v>0</v>
      </c>
      <c r="J10" s="987"/>
      <c r="K10" s="987" t="str">
        <f t="shared" si="0"/>
        <v/>
      </c>
      <c r="L10" s="987" t="str">
        <f t="shared" si="1"/>
        <v/>
      </c>
    </row>
    <row r="11" spans="1:12">
      <c r="A11" s="406"/>
      <c r="B11" s="408" t="s">
        <v>1098</v>
      </c>
      <c r="C11" s="645">
        <f>SUM(C4:C10)</f>
        <v>0.65817659448274168</v>
      </c>
      <c r="D11" s="645">
        <f t="shared" ref="D11:E11" si="3">SUM(D4:D10)</f>
        <v>1.0353610335819812</v>
      </c>
      <c r="E11" s="645">
        <f t="shared" si="3"/>
        <v>0</v>
      </c>
      <c r="F11" s="646">
        <f>SUM(F4:F10)</f>
        <v>1.693537628064723</v>
      </c>
      <c r="G11" s="145"/>
      <c r="H11" s="1225">
        <f>SUM(H4:H10)</f>
        <v>1.4310624494313187</v>
      </c>
      <c r="I11" s="1225">
        <f>SUM(I4:I10)</f>
        <v>0</v>
      </c>
      <c r="J11" s="987"/>
      <c r="K11" s="987"/>
      <c r="L11" s="987"/>
    </row>
    <row r="12" spans="1:12" ht="16.5" thickBot="1">
      <c r="A12" s="409"/>
      <c r="B12" s="410" t="s">
        <v>1580</v>
      </c>
      <c r="C12" s="410"/>
      <c r="D12" s="410"/>
      <c r="E12" s="410"/>
      <c r="F12" s="411">
        <f>F11/Productivity!B14*1000</f>
        <v>0.52491797949493779</v>
      </c>
      <c r="G12" s="145"/>
      <c r="H12" s="145"/>
      <c r="I12" s="145"/>
    </row>
    <row r="13" spans="1:12">
      <c r="G13" s="145"/>
      <c r="H13" s="145"/>
      <c r="I13" s="145"/>
    </row>
    <row r="14" spans="1:12" ht="16.5" thickBot="1">
      <c r="G14" s="145"/>
      <c r="H14" s="145"/>
      <c r="I14" s="145"/>
    </row>
    <row r="15" spans="1:12">
      <c r="A15" s="1433" t="s">
        <v>1128</v>
      </c>
      <c r="B15" s="1434"/>
      <c r="C15" s="1434"/>
      <c r="D15" s="1434"/>
      <c r="E15" s="1434"/>
      <c r="F15" s="1435"/>
      <c r="G15" s="145"/>
      <c r="H15" s="145"/>
      <c r="I15" s="145"/>
    </row>
    <row r="16" spans="1:12">
      <c r="A16" s="404" t="s">
        <v>1089</v>
      </c>
      <c r="B16" s="405" t="s">
        <v>1106</v>
      </c>
      <c r="C16" s="1395" t="s">
        <v>1838</v>
      </c>
      <c r="D16" s="1395" t="s">
        <v>819</v>
      </c>
      <c r="E16" s="1396" t="s">
        <v>1840</v>
      </c>
      <c r="F16" s="1397" t="s">
        <v>127</v>
      </c>
      <c r="G16" s="145"/>
      <c r="H16" s="145"/>
      <c r="I16" s="1228"/>
    </row>
    <row r="17" spans="1:9">
      <c r="A17" s="406" t="str">
        <f>INPUTS!C73</f>
        <v>Concentrate (commercial)</v>
      </c>
      <c r="B17" s="407" t="str">
        <f>INPUTS!D73</f>
        <v>Purchased</v>
      </c>
      <c r="C17" s="420">
        <f xml:space="preserve"> 'Land Requirement '!B20</f>
        <v>941.11067717427863</v>
      </c>
      <c r="D17" s="420">
        <f xml:space="preserve"> 'Land Requirement '!C20</f>
        <v>1138.6123150760645</v>
      </c>
      <c r="E17" s="420">
        <f xml:space="preserve"> 'Land Requirement '!D20</f>
        <v>0</v>
      </c>
      <c r="F17" s="421">
        <f>SUM(C17:E17)</f>
        <v>2079.7229922503429</v>
      </c>
      <c r="G17" s="145"/>
      <c r="H17" s="145"/>
      <c r="I17" s="145"/>
    </row>
    <row r="18" spans="1:9">
      <c r="A18" s="406" t="str">
        <f>INPUTS!C74</f>
        <v>Pennisetum purpureum - forage</v>
      </c>
      <c r="B18" s="407" t="str">
        <f>INPUTS!D74</f>
        <v>Pennisetum purpureum</v>
      </c>
      <c r="C18" s="420">
        <f>'Land Requirement '!R20</f>
        <v>470.55533858713932</v>
      </c>
      <c r="D18" s="420">
        <f>'Land Requirement '!S20</f>
        <v>189.76871917934403</v>
      </c>
      <c r="E18" s="420">
        <f>'Land Requirement '!T20</f>
        <v>0</v>
      </c>
      <c r="F18" s="421">
        <f t="shared" ref="F18:F23" si="4">SUM(C18:E18)</f>
        <v>660.32405776648329</v>
      </c>
      <c r="G18" s="145"/>
      <c r="H18" s="145"/>
      <c r="I18" s="145"/>
    </row>
    <row r="19" spans="1:9">
      <c r="A19" s="406" t="str">
        <f>INPUTS!C75</f>
        <v>Rhodes grass (Chloris gayana) - forage</v>
      </c>
      <c r="B19" s="407" t="str">
        <f>INPUTS!D75</f>
        <v>Rhodes</v>
      </c>
      <c r="C19" s="420">
        <f>'Land Requirement '!AH20</f>
        <v>1926.7672597348064</v>
      </c>
      <c r="D19" s="420">
        <f>'Land Requirement '!AI20</f>
        <v>748.16317536456393</v>
      </c>
      <c r="E19" s="420">
        <f>'Land Requirement '!AJ20</f>
        <v>0</v>
      </c>
      <c r="F19" s="421">
        <f t="shared" si="4"/>
        <v>2674.9304350993702</v>
      </c>
      <c r="G19" s="145"/>
      <c r="H19" s="145"/>
      <c r="I19" s="145"/>
    </row>
    <row r="20" spans="1:9">
      <c r="A20" s="406" t="str">
        <f>INPUTS!C76</f>
        <v>Guatemala (Tripsacum andersonii) - forage</v>
      </c>
      <c r="B20" s="407" t="str">
        <f>INPUTS!D76</f>
        <v>Guatemala</v>
      </c>
      <c r="C20" s="420">
        <f>'Land Requirement '!AX20</f>
        <v>230.04927664260148</v>
      </c>
      <c r="D20" s="420">
        <f>'Land Requirement '!AY20</f>
        <v>1043.7279554863924</v>
      </c>
      <c r="E20" s="420">
        <f>'Land Requirement '!AZ20</f>
        <v>0</v>
      </c>
      <c r="F20" s="421">
        <f t="shared" si="4"/>
        <v>1273.7772321289938</v>
      </c>
      <c r="G20" s="145"/>
      <c r="H20" s="145"/>
      <c r="I20" s="145"/>
    </row>
    <row r="21" spans="1:9">
      <c r="A21" s="406" t="str">
        <f>INPUTS!C77</f>
        <v>Maize (Zea mays) - stover</v>
      </c>
      <c r="B21" s="407" t="str">
        <f>INPUTS!D77</f>
        <v>Maize</v>
      </c>
      <c r="C21" s="420">
        <f>'Land Requirement '!BN20</f>
        <v>363.8961285073878</v>
      </c>
      <c r="D21" s="420">
        <f>'Land Requirement '!BO20</f>
        <v>2063.7348210753662</v>
      </c>
      <c r="E21" s="420">
        <f>'Land Requirement '!BP20</f>
        <v>0</v>
      </c>
      <c r="F21" s="421">
        <f t="shared" si="4"/>
        <v>2427.6309495827541</v>
      </c>
      <c r="G21" s="145"/>
      <c r="H21" s="145"/>
      <c r="I21" s="145"/>
    </row>
    <row r="22" spans="1:9">
      <c r="A22" s="406" t="str">
        <f>INPUTS!C78</f>
        <v xml:space="preserve">Naturally occuring pasture - green fodder </v>
      </c>
      <c r="B22" s="407" t="str">
        <f>INPUTS!D78</f>
        <v>Natural pasture</v>
      </c>
      <c r="C22" s="420">
        <f>'Land Requirement '!CD20</f>
        <v>4517.3312504365376</v>
      </c>
      <c r="D22" s="420">
        <f>'Land Requirement '!CE20</f>
        <v>1897.6871917934407</v>
      </c>
      <c r="E22" s="420">
        <f>'Land Requirement '!CF20</f>
        <v>0</v>
      </c>
      <c r="F22" s="421">
        <f t="shared" si="4"/>
        <v>6415.0184422299781</v>
      </c>
      <c r="G22" s="145"/>
      <c r="H22" s="145"/>
      <c r="I22" s="145"/>
    </row>
    <row r="23" spans="1:9">
      <c r="A23" s="406" t="str">
        <f>INPUTS!C79</f>
        <v>N/A</v>
      </c>
      <c r="B23" s="407" t="str">
        <f>INPUTS!D79</f>
        <v>N/A</v>
      </c>
      <c r="C23" s="420">
        <f>'Land Requirement '!CT20</f>
        <v>0</v>
      </c>
      <c r="D23" s="420">
        <f>'Land Requirement '!CU20</f>
        <v>0</v>
      </c>
      <c r="E23" s="420">
        <f>'Land Requirement '!CV20</f>
        <v>0</v>
      </c>
      <c r="F23" s="421">
        <f t="shared" si="4"/>
        <v>0</v>
      </c>
      <c r="G23" s="145"/>
      <c r="H23" s="145"/>
      <c r="I23" s="145"/>
    </row>
    <row r="24" spans="1:9">
      <c r="A24" s="406"/>
      <c r="B24" s="408" t="s">
        <v>1130</v>
      </c>
      <c r="C24" s="422">
        <f>SUM(C17:C23)</f>
        <v>8449.7099310827507</v>
      </c>
      <c r="D24" s="422">
        <f t="shared" ref="D24:E24" si="5">SUM(D17:D23)</f>
        <v>7081.6941779751714</v>
      </c>
      <c r="E24" s="422">
        <f t="shared" si="5"/>
        <v>0</v>
      </c>
      <c r="F24" s="423">
        <f>SUM(F17:F23)</f>
        <v>15531.404109057923</v>
      </c>
      <c r="G24" s="145"/>
      <c r="H24" s="145"/>
      <c r="I24" s="145"/>
    </row>
    <row r="25" spans="1:9" ht="16.5" thickBot="1">
      <c r="A25" s="409"/>
      <c r="B25" s="410" t="s">
        <v>1579</v>
      </c>
      <c r="C25" s="424"/>
      <c r="D25" s="424"/>
      <c r="E25" s="424"/>
      <c r="F25" s="419">
        <f>F24/Productivity!B14</f>
        <v>4.8140136531613464</v>
      </c>
      <c r="G25" s="145"/>
      <c r="H25" s="145"/>
      <c r="I25" s="145"/>
    </row>
    <row r="29" spans="1:9">
      <c r="A29" s="1436"/>
      <c r="B29" s="1436"/>
      <c r="C29" s="1436"/>
      <c r="D29" s="1436"/>
      <c r="E29" s="1436"/>
      <c r="F29" s="1436"/>
    </row>
    <row r="30" spans="1:9">
      <c r="A30" s="540"/>
      <c r="B30" s="540"/>
      <c r="C30" s="540"/>
      <c r="D30" s="408"/>
      <c r="E30" s="408"/>
      <c r="F30" s="543"/>
    </row>
    <row r="31" spans="1:9">
      <c r="A31" s="407"/>
      <c r="B31" s="407"/>
      <c r="C31" s="541"/>
      <c r="D31" s="541"/>
      <c r="E31" s="541"/>
      <c r="F31" s="541"/>
    </row>
    <row r="32" spans="1:9">
      <c r="A32" s="407"/>
      <c r="B32" s="407"/>
      <c r="C32" s="541"/>
      <c r="D32" s="541"/>
      <c r="E32" s="541"/>
      <c r="F32" s="541"/>
    </row>
    <row r="33" spans="1:6">
      <c r="A33" s="407"/>
      <c r="B33" s="407"/>
      <c r="C33" s="541"/>
      <c r="D33" s="541"/>
      <c r="E33" s="541"/>
      <c r="F33" s="541"/>
    </row>
    <row r="34" spans="1:6">
      <c r="A34" s="407"/>
      <c r="B34" s="407"/>
      <c r="C34" s="541"/>
      <c r="D34" s="541"/>
      <c r="E34" s="541"/>
      <c r="F34" s="541"/>
    </row>
    <row r="35" spans="1:6">
      <c r="A35" s="407"/>
      <c r="B35" s="407"/>
      <c r="C35" s="541"/>
      <c r="D35" s="541"/>
      <c r="E35" s="541"/>
      <c r="F35" s="541"/>
    </row>
    <row r="36" spans="1:6">
      <c r="A36" s="407"/>
      <c r="B36" s="407"/>
      <c r="C36" s="541"/>
      <c r="D36" s="541"/>
      <c r="E36" s="541"/>
      <c r="F36" s="541"/>
    </row>
    <row r="37" spans="1:6">
      <c r="A37" s="407"/>
      <c r="B37" s="407"/>
      <c r="C37" s="541"/>
      <c r="D37" s="541"/>
      <c r="E37" s="541"/>
      <c r="F37" s="541"/>
    </row>
    <row r="38" spans="1:6">
      <c r="A38" s="407"/>
      <c r="B38" s="408"/>
      <c r="C38" s="542"/>
      <c r="D38" s="542"/>
      <c r="E38" s="542"/>
      <c r="F38" s="542"/>
    </row>
    <row r="39" spans="1:6">
      <c r="A39" s="407"/>
      <c r="B39" s="407"/>
      <c r="C39" s="407"/>
      <c r="D39" s="407"/>
      <c r="E39" s="407"/>
      <c r="F39" s="544"/>
    </row>
    <row r="42" spans="1:6">
      <c r="A42" s="1436"/>
      <c r="B42" s="1436"/>
      <c r="C42" s="1436"/>
      <c r="D42" s="1436"/>
      <c r="E42" s="1436"/>
      <c r="F42" s="1436"/>
    </row>
    <row r="43" spans="1:6">
      <c r="A43" s="540"/>
      <c r="B43" s="540"/>
      <c r="C43" s="408"/>
      <c r="D43" s="408"/>
      <c r="E43" s="408"/>
      <c r="F43" s="408"/>
    </row>
    <row r="44" spans="1:6">
      <c r="A44" s="407"/>
      <c r="B44" s="407"/>
      <c r="C44" s="420"/>
      <c r="D44" s="420"/>
      <c r="E44" s="420"/>
      <c r="F44" s="545"/>
    </row>
    <row r="45" spans="1:6">
      <c r="A45" s="407"/>
      <c r="B45" s="407"/>
      <c r="C45" s="420"/>
      <c r="D45" s="420"/>
      <c r="E45" s="420"/>
      <c r="F45" s="545"/>
    </row>
    <row r="46" spans="1:6">
      <c r="A46" s="407"/>
      <c r="B46" s="407"/>
      <c r="C46" s="420"/>
      <c r="D46" s="420"/>
      <c r="E46" s="420"/>
      <c r="F46" s="545"/>
    </row>
    <row r="47" spans="1:6">
      <c r="A47" s="407"/>
      <c r="B47" s="407"/>
      <c r="C47" s="420"/>
      <c r="D47" s="420"/>
      <c r="E47" s="420"/>
      <c r="F47" s="545"/>
    </row>
    <row r="48" spans="1:6">
      <c r="A48" s="407"/>
      <c r="B48" s="407"/>
      <c r="C48" s="420"/>
      <c r="D48" s="420"/>
      <c r="E48" s="420"/>
      <c r="F48" s="545"/>
    </row>
    <row r="49" spans="1:6">
      <c r="A49" s="407"/>
      <c r="B49" s="407"/>
      <c r="C49" s="420"/>
      <c r="D49" s="420"/>
      <c r="E49" s="420"/>
      <c r="F49" s="545"/>
    </row>
    <row r="50" spans="1:6">
      <c r="A50" s="407"/>
      <c r="B50" s="407"/>
      <c r="C50" s="420"/>
      <c r="D50" s="420"/>
      <c r="E50" s="420"/>
      <c r="F50" s="545"/>
    </row>
    <row r="51" spans="1:6">
      <c r="A51" s="407"/>
      <c r="B51" s="408"/>
      <c r="C51" s="422"/>
      <c r="D51" s="422"/>
      <c r="E51" s="422"/>
      <c r="F51" s="422"/>
    </row>
    <row r="52" spans="1:6">
      <c r="A52" s="407"/>
      <c r="B52" s="407"/>
      <c r="C52" s="546"/>
      <c r="D52" s="546"/>
      <c r="E52" s="546"/>
      <c r="F52" s="547"/>
    </row>
  </sheetData>
  <mergeCells count="4">
    <mergeCell ref="A2:F2"/>
    <mergeCell ref="A15:F15"/>
    <mergeCell ref="A29:F29"/>
    <mergeCell ref="A42:F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topLeftCell="A4" workbookViewId="0">
      <selection activeCell="A19" sqref="A19:A21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35"/>
      <c r="B2" s="336" t="s">
        <v>1074</v>
      </c>
      <c r="C2" s="337" t="s">
        <v>1073</v>
      </c>
      <c r="D2" s="322"/>
    </row>
    <row r="3" spans="1:19">
      <c r="A3" s="332" t="s">
        <v>1103</v>
      </c>
      <c r="B3" s="412">
        <f>C17</f>
        <v>3726669.3000000003</v>
      </c>
      <c r="C3" s="413">
        <f>B3/2500</f>
        <v>1490.6677200000001</v>
      </c>
      <c r="D3" s="321"/>
    </row>
    <row r="4" spans="1:19">
      <c r="A4" s="332"/>
      <c r="B4" s="412"/>
      <c r="C4" s="413"/>
      <c r="D4" s="321"/>
    </row>
    <row r="5" spans="1:19" ht="16.5" thickBot="1">
      <c r="A5" s="334"/>
      <c r="B5" s="414"/>
      <c r="C5" s="415"/>
      <c r="D5" s="322"/>
    </row>
    <row r="6" spans="1:19">
      <c r="A6" s="322" t="s">
        <v>1071</v>
      </c>
      <c r="B6" s="322"/>
      <c r="C6" s="322"/>
      <c r="D6" s="322"/>
    </row>
    <row r="7" spans="1:19">
      <c r="A7" s="322"/>
      <c r="B7" s="322"/>
      <c r="C7" s="322"/>
      <c r="D7" s="322"/>
    </row>
    <row r="8" spans="1:19" ht="16.5" thickBot="1">
      <c r="A8" s="322"/>
      <c r="B8" s="322"/>
      <c r="C8" s="322"/>
      <c r="D8" s="322"/>
    </row>
    <row r="9" spans="1:19">
      <c r="A9" s="323" t="s">
        <v>829</v>
      </c>
      <c r="B9" s="324"/>
      <c r="C9" s="324"/>
      <c r="D9" s="324"/>
      <c r="E9" s="324"/>
      <c r="F9" s="325"/>
    </row>
    <row r="10" spans="1:19">
      <c r="A10" s="782" t="s">
        <v>1347</v>
      </c>
      <c r="B10" s="783">
        <f>SUM('Meat &amp; Milk '!D3:D9)</f>
        <v>6.5280000000000005</v>
      </c>
      <c r="C10" s="783"/>
      <c r="D10" s="783"/>
      <c r="E10" s="783"/>
      <c r="F10" s="784"/>
    </row>
    <row r="11" spans="1:19">
      <c r="A11" s="326" t="s">
        <v>1070</v>
      </c>
      <c r="B11" s="327"/>
      <c r="C11" s="327"/>
      <c r="D11" s="327"/>
      <c r="E11" s="327"/>
      <c r="F11" s="333"/>
    </row>
    <row r="12" spans="1:19" ht="31.5">
      <c r="A12" s="330"/>
      <c r="B12" s="331" t="s">
        <v>1020</v>
      </c>
      <c r="C12" s="331" t="s">
        <v>1022</v>
      </c>
      <c r="D12" s="331" t="s">
        <v>1319</v>
      </c>
      <c r="E12" s="331"/>
      <c r="F12" s="329" t="s">
        <v>1072</v>
      </c>
      <c r="S12" s="220"/>
    </row>
    <row r="13" spans="1:19">
      <c r="A13" s="328"/>
      <c r="B13" s="322"/>
      <c r="C13" s="322"/>
      <c r="D13" s="322"/>
      <c r="E13" s="322"/>
      <c r="F13" s="329"/>
    </row>
    <row r="14" spans="1:19">
      <c r="A14" s="328" t="s">
        <v>1021</v>
      </c>
      <c r="B14" s="416">
        <f>'Meat &amp; Milk '!B33</f>
        <v>3226.2900000000004</v>
      </c>
      <c r="C14" s="416">
        <f>'Meat &amp; Milk '!B35</f>
        <v>3129501.3000000003</v>
      </c>
      <c r="D14" s="416">
        <f>'Meat &amp; Milk '!B36</f>
        <v>119.37273000000003</v>
      </c>
      <c r="E14" s="416"/>
      <c r="F14" s="1028">
        <f>C14/2500</f>
        <v>1251.80052</v>
      </c>
      <c r="G14" s="989"/>
    </row>
    <row r="15" spans="1:19">
      <c r="A15" s="328" t="s">
        <v>1023</v>
      </c>
      <c r="B15" s="416">
        <f>'Meat &amp; Milk '!B29</f>
        <v>271.44</v>
      </c>
      <c r="C15" s="416">
        <f>'Meat &amp; Milk '!B28</f>
        <v>597168</v>
      </c>
      <c r="D15" s="416">
        <f>'Meat &amp; Milk '!B30</f>
        <v>70.574399999999997</v>
      </c>
      <c r="E15" s="416"/>
      <c r="F15" s="1028">
        <f>C15/2500</f>
        <v>238.8672</v>
      </c>
      <c r="G15" s="989"/>
    </row>
    <row r="16" spans="1:19">
      <c r="A16" s="328"/>
      <c r="B16" s="418"/>
      <c r="C16" s="418"/>
      <c r="D16" s="418"/>
      <c r="E16" s="418"/>
      <c r="F16" s="417"/>
    </row>
    <row r="17" spans="1:6" ht="16.5" thickBot="1">
      <c r="A17" s="1025" t="s">
        <v>209</v>
      </c>
      <c r="B17" s="1026"/>
      <c r="C17" s="1026">
        <f>SUM(C14:C15)</f>
        <v>3726669.3000000003</v>
      </c>
      <c r="D17" s="1026">
        <f t="shared" ref="D17:F17" si="0">SUM(D14:D15)</f>
        <v>189.94713000000002</v>
      </c>
      <c r="E17" s="1026">
        <f t="shared" si="0"/>
        <v>0</v>
      </c>
      <c r="F17" s="1027">
        <f t="shared" si="0"/>
        <v>1490.6677199999999</v>
      </c>
    </row>
    <row r="18" spans="1:6" ht="16.5" thickBot="1">
      <c r="A18" s="473"/>
      <c r="C18" s="322"/>
      <c r="D18" s="322"/>
    </row>
    <row r="19" spans="1:6" ht="31.5">
      <c r="A19" s="1011"/>
      <c r="B19" s="1012" t="s">
        <v>1020</v>
      </c>
      <c r="C19" s="322"/>
      <c r="D19" s="322"/>
    </row>
    <row r="20" spans="1:6" ht="16.5" thickBot="1">
      <c r="A20" s="1013" t="s">
        <v>751</v>
      </c>
      <c r="B20" s="1014">
        <f>Feed!F175</f>
        <v>5668.9624998061408</v>
      </c>
      <c r="C20" s="322"/>
      <c r="D20" s="322"/>
    </row>
    <row r="21" spans="1:6">
      <c r="A21" s="473"/>
      <c r="B21" s="322"/>
      <c r="C21" s="322"/>
      <c r="D21" s="322"/>
    </row>
    <row r="22" spans="1:6">
      <c r="A22" s="473"/>
      <c r="B22" s="322"/>
      <c r="C22" s="322"/>
      <c r="D22" s="322"/>
    </row>
    <row r="23" spans="1:6">
      <c r="A23" s="473"/>
      <c r="B23" s="322"/>
      <c r="C23" s="322"/>
      <c r="D23" s="322"/>
    </row>
    <row r="24" spans="1:6">
      <c r="A24" s="473"/>
      <c r="B24" s="322"/>
      <c r="C24" s="322"/>
      <c r="D24" s="322"/>
    </row>
    <row r="25" spans="1:6">
      <c r="A25" s="473"/>
      <c r="B25" s="322"/>
      <c r="C25" s="322"/>
      <c r="D25" s="322"/>
    </row>
    <row r="26" spans="1:6">
      <c r="A26" s="473"/>
      <c r="B26" s="322"/>
      <c r="C26" s="322"/>
      <c r="D26" s="322"/>
    </row>
    <row r="27" spans="1:6">
      <c r="A27" s="473"/>
      <c r="B27" s="322"/>
      <c r="C27" s="322"/>
      <c r="D27" s="322"/>
    </row>
    <row r="28" spans="1:6">
      <c r="A28" s="473"/>
      <c r="B28" s="322"/>
      <c r="C28" s="322"/>
      <c r="D28" s="322"/>
    </row>
    <row r="29" spans="1:6">
      <c r="A29" s="473"/>
      <c r="B29" s="322"/>
      <c r="C29" s="322"/>
      <c r="D29" s="322"/>
    </row>
    <row r="30" spans="1:6">
      <c r="A30" s="473"/>
      <c r="B30" s="322"/>
      <c r="C30" s="322"/>
      <c r="D30" s="322"/>
    </row>
    <row r="31" spans="1:6">
      <c r="A31" s="473"/>
      <c r="B31" s="322"/>
      <c r="C31" s="322"/>
      <c r="D31" s="322"/>
      <c r="F31" s="39"/>
    </row>
    <row r="32" spans="1:6">
      <c r="A32" s="473"/>
      <c r="B32" s="322"/>
      <c r="C32" s="322"/>
      <c r="D32" s="322"/>
    </row>
    <row r="33" spans="1:4">
      <c r="A33" s="473"/>
      <c r="B33" s="322"/>
      <c r="C33" s="322"/>
      <c r="D33" s="322"/>
    </row>
    <row r="34" spans="1:4">
      <c r="A34" s="473"/>
      <c r="B34" s="322"/>
      <c r="C34" s="322"/>
      <c r="D34" s="322"/>
    </row>
    <row r="35" spans="1:4">
      <c r="A35" s="473"/>
      <c r="B35" s="322"/>
      <c r="C35" s="322"/>
      <c r="D35" s="322"/>
    </row>
    <row r="36" spans="1:4">
      <c r="A36" s="473"/>
      <c r="B36" s="322"/>
      <c r="C36" s="322"/>
      <c r="D36" s="322"/>
    </row>
    <row r="37" spans="1:4">
      <c r="A37" s="473"/>
      <c r="B37" s="322"/>
      <c r="C37" s="322"/>
      <c r="D37" s="322"/>
    </row>
    <row r="38" spans="1:4">
      <c r="A38" s="473"/>
      <c r="B38" s="322"/>
      <c r="C38" s="322"/>
      <c r="D38" s="322"/>
    </row>
    <row r="39" spans="1:4">
      <c r="A39" s="473"/>
      <c r="B39" s="322"/>
      <c r="C39" s="322"/>
      <c r="D39" s="322"/>
    </row>
    <row r="40" spans="1:4">
      <c r="A40" s="473"/>
      <c r="B40" s="322"/>
      <c r="C40" s="322"/>
      <c r="D40" s="322"/>
    </row>
    <row r="41" spans="1:4">
      <c r="A41" s="473"/>
      <c r="B41" s="322"/>
      <c r="C41" s="322"/>
      <c r="D41" s="322"/>
    </row>
    <row r="42" spans="1:4">
      <c r="A42" s="473"/>
      <c r="B42" s="322"/>
      <c r="C42" s="322"/>
      <c r="D42" s="322"/>
    </row>
    <row r="43" spans="1:4">
      <c r="A43" s="473"/>
      <c r="B43" s="322"/>
      <c r="C43" s="322"/>
      <c r="D43" s="322"/>
    </row>
    <row r="44" spans="1:4">
      <c r="A44" s="473"/>
      <c r="B44" s="322"/>
      <c r="C44" s="322"/>
      <c r="D44" s="322"/>
    </row>
    <row r="45" spans="1:4">
      <c r="A45" s="473"/>
      <c r="B45" s="322"/>
      <c r="C45" s="322"/>
      <c r="D45" s="322"/>
    </row>
    <row r="46" spans="1:4">
      <c r="A46" s="473"/>
      <c r="B46" s="322"/>
      <c r="C46" s="322"/>
      <c r="D46" s="322"/>
    </row>
    <row r="47" spans="1:4">
      <c r="A47" s="473"/>
      <c r="B47" s="322"/>
      <c r="C47" s="322"/>
      <c r="D47" s="322"/>
    </row>
    <row r="48" spans="1:4">
      <c r="A48" s="473"/>
      <c r="B48" s="322"/>
      <c r="C48" s="322"/>
      <c r="D48" s="322"/>
    </row>
    <row r="49" spans="1:9">
      <c r="A49" s="473"/>
      <c r="B49" s="322"/>
      <c r="C49" s="322"/>
      <c r="D49" s="322"/>
    </row>
    <row r="50" spans="1:9">
      <c r="A50" s="473"/>
      <c r="B50" s="322"/>
      <c r="C50" s="322"/>
      <c r="D50" s="322"/>
    </row>
    <row r="51" spans="1:9">
      <c r="A51" s="473"/>
      <c r="B51" s="322"/>
      <c r="C51" s="322"/>
      <c r="D51" s="322"/>
    </row>
    <row r="52" spans="1:9">
      <c r="A52" s="473"/>
      <c r="B52" s="322"/>
      <c r="C52" s="322"/>
      <c r="D52" s="322"/>
    </row>
    <row r="53" spans="1:9">
      <c r="A53" s="473"/>
      <c r="B53" s="322"/>
      <c r="C53" s="322"/>
      <c r="D53" s="322"/>
    </row>
    <row r="54" spans="1:9">
      <c r="A54" s="473"/>
      <c r="B54" s="322"/>
      <c r="C54" s="322"/>
      <c r="D54" s="322"/>
    </row>
    <row r="55" spans="1:9">
      <c r="A55" s="322"/>
      <c r="B55" s="322"/>
      <c r="C55" s="322"/>
      <c r="D55" s="322"/>
    </row>
    <row r="56" spans="1:9">
      <c r="A56" s="322"/>
      <c r="B56" s="322"/>
      <c r="C56" s="322"/>
      <c r="D56" s="322"/>
    </row>
    <row r="57" spans="1:9">
      <c r="F57" s="322"/>
      <c r="G57" s="322"/>
      <c r="H57" s="322"/>
      <c r="I57" s="322"/>
    </row>
    <row r="58" spans="1:9">
      <c r="F58" s="322"/>
      <c r="G58" s="322"/>
      <c r="H58" s="322"/>
      <c r="I58" s="322"/>
    </row>
    <row r="59" spans="1:9">
      <c r="F59" s="322"/>
      <c r="G59" s="322"/>
      <c r="H59" s="322"/>
      <c r="I59" s="322"/>
    </row>
    <row r="60" spans="1:9">
      <c r="F60" s="322"/>
      <c r="G60" s="322"/>
      <c r="H60" s="322"/>
      <c r="I60" s="322"/>
    </row>
    <row r="61" spans="1:9">
      <c r="F61" s="322"/>
      <c r="G61" s="322"/>
      <c r="H61" s="322"/>
      <c r="I61" s="32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6"/>
  <sheetViews>
    <sheetView workbookViewId="0">
      <selection activeCell="F20" sqref="F20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1591</v>
      </c>
    </row>
    <row r="2" spans="2:5">
      <c r="B2" s="37"/>
    </row>
    <row r="3" spans="2:5">
      <c r="B3" s="13" t="s">
        <v>1209</v>
      </c>
      <c r="C3" s="625">
        <f>'Economics_Payback '!E18</f>
        <v>1976.4014824988758</v>
      </c>
    </row>
    <row r="4" spans="2:5">
      <c r="B4" s="13" t="s">
        <v>1286</v>
      </c>
      <c r="C4" s="625">
        <f>'Economics_Payback '!E18/'Land requirements'!F11</f>
        <v>1167.0254322942876</v>
      </c>
    </row>
    <row r="5" spans="2:5">
      <c r="C5" s="669"/>
    </row>
    <row r="7" spans="2:5">
      <c r="B7" s="37" t="s">
        <v>1221</v>
      </c>
    </row>
    <row r="9" spans="2:5">
      <c r="B9" s="13" t="s">
        <v>1070</v>
      </c>
      <c r="C9" s="13" t="s">
        <v>1216</v>
      </c>
      <c r="D9" s="13" t="s">
        <v>1285</v>
      </c>
      <c r="E9" s="13" t="s">
        <v>1657</v>
      </c>
    </row>
    <row r="10" spans="2:5">
      <c r="B10" t="s">
        <v>1654</v>
      </c>
      <c r="C10" s="669" t="str">
        <f ca="1">IFERROR('Economics_Payback '!B$63, "")</f>
        <v/>
      </c>
      <c r="D10" s="609" t="str">
        <f ca="1">IFERROR('Economics_Payback '!B88,"")</f>
        <v/>
      </c>
      <c r="E10" s="610" t="str">
        <f ca="1">IFERROR(C10/'Land Requirement '!DK$21+'Land Requirement '!$DJ$21,"")</f>
        <v/>
      </c>
    </row>
    <row r="11" spans="2:5">
      <c r="B11" s="1093">
        <f>'Economics_Payback '!A71</f>
        <v>1</v>
      </c>
      <c r="C11" s="669" t="str">
        <f ca="1">IFERROR('Economics_Payback '!C$63, "")</f>
        <v/>
      </c>
      <c r="D11" s="609" t="str">
        <f ca="1">IFERROR('Economics_Payback '!B89,"")</f>
        <v/>
      </c>
      <c r="E11" s="610" t="str">
        <f ca="1">IFERROR(C11/'Land Requirement '!DK$21+'Land Requirement '!$DJ$21,"")</f>
        <v/>
      </c>
    </row>
    <row r="12" spans="2:5">
      <c r="B12" s="1093">
        <f>'Economics_Payback '!A72</f>
        <v>2</v>
      </c>
      <c r="C12" s="669" t="str">
        <f ca="1">IFERROR('Economics_Payback '!D$63, "")</f>
        <v/>
      </c>
      <c r="D12" s="609" t="str">
        <f ca="1">IFERROR('Economics_Payback '!B90,"")</f>
        <v/>
      </c>
      <c r="E12" s="610" t="str">
        <f ca="1">IFERROR(C12/'Land Requirement '!DK$21+'Land Requirement '!$DJ$21,"")</f>
        <v/>
      </c>
    </row>
    <row r="13" spans="2:5">
      <c r="B13" s="1093">
        <f>'Economics_Payback '!A73</f>
        <v>3</v>
      </c>
      <c r="C13" s="669" t="str">
        <f ca="1">IFERROR('Economics_Payback '!E$63, "")</f>
        <v/>
      </c>
      <c r="D13" s="609" t="str">
        <f ca="1">IFERROR('Economics_Payback '!B91,"")</f>
        <v/>
      </c>
      <c r="E13" s="610" t="str">
        <f ca="1">IFERROR(C13/'Land Requirement '!DK$21+'Land Requirement '!$DJ$21,"")</f>
        <v/>
      </c>
    </row>
    <row r="14" spans="2:5">
      <c r="B14" s="1093">
        <f>'Economics_Payback '!A74</f>
        <v>4</v>
      </c>
      <c r="C14" s="669" t="str">
        <f ca="1">IFERROR('Economics_Payback '!F$63, "")</f>
        <v/>
      </c>
      <c r="D14" s="609" t="str">
        <f ca="1">IFERROR('Economics_Payback '!B92,"")</f>
        <v/>
      </c>
      <c r="E14" s="610" t="str">
        <f ca="1">IFERROR(C14/'Land Requirement '!DK$21+'Land Requirement '!$DJ$21,"")</f>
        <v/>
      </c>
    </row>
    <row r="15" spans="2:5">
      <c r="B15" s="1093">
        <f>'Economics_Payback '!A75</f>
        <v>5</v>
      </c>
      <c r="C15" s="669" t="str">
        <f ca="1">IFERROR('Economics_Payback '!G$63, "")</f>
        <v/>
      </c>
      <c r="D15" s="609" t="str">
        <f ca="1">IFERROR('Economics_Payback '!B93,"")</f>
        <v/>
      </c>
      <c r="E15" s="610" t="str">
        <f ca="1">IFERROR(C15/'Land Requirement '!DK$21+'Land Requirement '!$DJ$21,"")</f>
        <v/>
      </c>
    </row>
    <row r="16" spans="2:5">
      <c r="B16" s="1093">
        <f>'Economics_Payback '!A76</f>
        <v>6</v>
      </c>
      <c r="C16" s="669" t="str">
        <f ca="1">IFERROR('Economics_Payback '!H$63, "")</f>
        <v/>
      </c>
      <c r="D16" s="609" t="str">
        <f ca="1">IFERROR('Economics_Payback '!B94,"")</f>
        <v/>
      </c>
      <c r="E16" s="610" t="str">
        <f ca="1">IFERROR(C16/'Land Requirement '!DK$21+'Land Requirement '!$DJ$21,"")</f>
        <v/>
      </c>
    </row>
    <row r="17" spans="2:5">
      <c r="B17" s="1093">
        <f>'Economics_Payback '!A77</f>
        <v>7</v>
      </c>
      <c r="C17" s="669" t="str">
        <f ca="1">IFERROR('Economics_Payback '!I$63, "")</f>
        <v/>
      </c>
      <c r="D17" s="609" t="str">
        <f ca="1">IFERROR('Economics_Payback '!B95,"")</f>
        <v/>
      </c>
      <c r="E17" s="610" t="str">
        <f ca="1">IFERROR(C17/'Land Requirement '!DK$21+'Land Requirement '!$DJ$21,"")</f>
        <v/>
      </c>
    </row>
    <row r="18" spans="2:5">
      <c r="B18" s="1093">
        <f>'Economics_Payback '!A78</f>
        <v>8</v>
      </c>
      <c r="C18" s="669" t="str">
        <f ca="1">IFERROR('Economics_Payback '!J$63, "")</f>
        <v/>
      </c>
      <c r="D18" s="609" t="str">
        <f ca="1">IFERROR('Economics_Payback '!B96,"")</f>
        <v/>
      </c>
      <c r="E18" s="610" t="str">
        <f ca="1">IFERROR(C18/'Land Requirement '!DK$21+'Land Requirement '!$DJ$21,"")</f>
        <v/>
      </c>
    </row>
    <row r="19" spans="2:5">
      <c r="B19" s="1093">
        <f>'Economics_Payback '!A79</f>
        <v>9</v>
      </c>
      <c r="C19" s="669" t="str">
        <f ca="1">IFERROR('Economics_Payback '!K$63, "")</f>
        <v/>
      </c>
      <c r="D19" s="609" t="str">
        <f ca="1">IFERROR('Economics_Payback '!B97,"")</f>
        <v/>
      </c>
      <c r="E19" s="610" t="str">
        <f ca="1">IFERROR(C19/'Land Requirement '!DK$21+'Land Requirement '!$DJ$21,"")</f>
        <v/>
      </c>
    </row>
    <row r="22" spans="2:5" ht="47.25">
      <c r="B22" s="10" t="s">
        <v>1222</v>
      </c>
      <c r="C22" s="1097" t="e">
        <f ca="1">'Economics_Payback '!D83</f>
        <v>#REF!</v>
      </c>
      <c r="D22" s="1096" t="s">
        <v>1653</v>
      </c>
    </row>
    <row r="23" spans="2:5" s="1093" customFormat="1">
      <c r="B23" s="10"/>
      <c r="C23" s="39"/>
      <c r="D23" s="1096"/>
    </row>
    <row r="24" spans="2:5">
      <c r="B24" s="10"/>
    </row>
    <row r="25" spans="2:5">
      <c r="B25" s="621" t="str">
        <f>'Economics_Payback '!A85</f>
        <v>NPV</v>
      </c>
      <c r="C25" s="621" t="str">
        <f ca="1">IFERROR('Economics_Payback '!B85,"")</f>
        <v/>
      </c>
    </row>
    <row r="26" spans="2:5">
      <c r="B26" s="62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workbookViewId="0">
      <selection activeCell="B3" sqref="B3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74" t="s">
        <v>794</v>
      </c>
      <c r="B1" s="337"/>
      <c r="C1" s="30" t="str">
        <f>'N balance'!BV8</f>
        <v>% area mining</v>
      </c>
      <c r="D1" s="30" t="str">
        <f>'N balance'!BW8</f>
        <v>% area leaching</v>
      </c>
    </row>
    <row r="2" spans="1:10">
      <c r="A2" s="330" t="s">
        <v>968</v>
      </c>
      <c r="B2" s="615">
        <f>'N balance'!BU6</f>
        <v>8.0627391451716761</v>
      </c>
      <c r="C2" s="1180">
        <f>'N balance'!BV9/100</f>
        <v>0.4072630440484904</v>
      </c>
      <c r="D2" s="1168">
        <f>'N balance'!BW9/100</f>
        <v>0</v>
      </c>
    </row>
    <row r="3" spans="1:10" ht="16.5" thickBot="1">
      <c r="A3" s="475" t="s">
        <v>969</v>
      </c>
      <c r="B3" s="482">
        <f>'Soil erosion'!Q3</f>
        <v>13.611134968312978</v>
      </c>
    </row>
    <row r="5" spans="1:10" ht="16.5" thickBot="1">
      <c r="F5" s="792"/>
      <c r="H5" s="792"/>
    </row>
    <row r="6" spans="1:10" s="37" customFormat="1">
      <c r="A6" s="474" t="s">
        <v>1138</v>
      </c>
      <c r="B6" s="477"/>
      <c r="C6" s="477"/>
      <c r="D6" s="477"/>
      <c r="E6" s="477"/>
      <c r="F6" s="791"/>
      <c r="G6" s="477"/>
      <c r="H6" s="477"/>
      <c r="I6" s="477"/>
      <c r="J6" s="613"/>
    </row>
    <row r="7" spans="1:10" ht="63">
      <c r="A7" s="404"/>
      <c r="B7" s="405"/>
      <c r="C7" s="575" t="s">
        <v>1139</v>
      </c>
      <c r="D7" s="575" t="s">
        <v>1140</v>
      </c>
      <c r="E7" s="574" t="s">
        <v>1178</v>
      </c>
      <c r="F7" s="574" t="s">
        <v>1179</v>
      </c>
      <c r="G7" s="574" t="s">
        <v>1364</v>
      </c>
      <c r="H7" s="574" t="s">
        <v>1365</v>
      </c>
      <c r="I7" s="574" t="s">
        <v>1366</v>
      </c>
      <c r="J7" s="614" t="s">
        <v>1367</v>
      </c>
    </row>
    <row r="8" spans="1:10">
      <c r="A8" s="483"/>
      <c r="B8" s="485"/>
      <c r="C8" s="322"/>
      <c r="D8" s="322"/>
      <c r="J8" s="484"/>
    </row>
    <row r="9" spans="1:10">
      <c r="A9" s="478" t="str">
        <f>INPUTS!C73</f>
        <v>Concentrate (commercial)</v>
      </c>
      <c r="B9" s="39" t="str">
        <f>'N balance'!A9</f>
        <v>Purchased</v>
      </c>
      <c r="C9" s="39">
        <f>'N balance'!BL9</f>
        <v>0</v>
      </c>
      <c r="D9" s="39">
        <f>'N balance'!BM9</f>
        <v>0</v>
      </c>
      <c r="E9" s="39">
        <f>'N balance'!BN9</f>
        <v>0</v>
      </c>
      <c r="F9" s="39" t="str">
        <f>'N balance'!BO9</f>
        <v/>
      </c>
      <c r="G9" s="39">
        <f>'N balance'!BP9</f>
        <v>0</v>
      </c>
      <c r="H9" s="39" t="str">
        <f>'N balance'!BQ9</f>
        <v/>
      </c>
      <c r="I9" s="39">
        <f>E9-G9</f>
        <v>0</v>
      </c>
      <c r="J9" s="319" t="str">
        <f>IFERROR(F9-H9,"")</f>
        <v/>
      </c>
    </row>
    <row r="10" spans="1:10">
      <c r="A10" s="478" t="str">
        <f>INPUTS!C74</f>
        <v>Pennisetum purpureum - forage</v>
      </c>
      <c r="B10" s="39" t="str">
        <f>'N balance'!A10</f>
        <v>Pennisetum purpureum</v>
      </c>
      <c r="C10" s="39">
        <f>'N balance'!BL10</f>
        <v>34.491508510767972</v>
      </c>
      <c r="D10" s="39">
        <f>'N balance'!BM10</f>
        <v>25.049422372984694</v>
      </c>
      <c r="E10" s="39">
        <f>'N balance'!BN10</f>
        <v>9.4420861377832779</v>
      </c>
      <c r="F10" s="39">
        <f>'N balance'!BO10</f>
        <v>315.29670453374314</v>
      </c>
      <c r="G10" s="39">
        <f>'N balance'!BP10</f>
        <v>9.4420861377832779</v>
      </c>
      <c r="H10" s="39">
        <f>'N balance'!BQ10</f>
        <v>315.29670453374314</v>
      </c>
      <c r="I10" s="39">
        <f t="shared" ref="I10:I15" si="0">E10-G10</f>
        <v>0</v>
      </c>
      <c r="J10" s="319">
        <f t="shared" ref="J10:J15" si="1">IFERROR(F10-H10,"")</f>
        <v>0</v>
      </c>
    </row>
    <row r="11" spans="1:10">
      <c r="A11" s="479" t="str">
        <f>INPUTS!C75</f>
        <v>Rhodes grass (Chloris gayana) - forage</v>
      </c>
      <c r="B11" s="476" t="str">
        <f>'N balance'!A11</f>
        <v>Rhodes</v>
      </c>
      <c r="C11" s="39">
        <f>'N balance'!BL11</f>
        <v>53.307386531014529</v>
      </c>
      <c r="D11" s="39">
        <f>'N balance'!BM11</f>
        <v>55.469924278571419</v>
      </c>
      <c r="E11" s="39">
        <f>'N balance'!BN11</f>
        <v>-2.1625377475568897</v>
      </c>
      <c r="F11" s="39">
        <f>'N balance'!BO11</f>
        <v>-10.9140257290218</v>
      </c>
      <c r="G11" s="39">
        <f>'N balance'!BP11</f>
        <v>-2.1625377475568897</v>
      </c>
      <c r="H11" s="39">
        <f>'N balance'!BQ11</f>
        <v>-10.9140257290218</v>
      </c>
      <c r="I11" s="39">
        <f t="shared" si="0"/>
        <v>0</v>
      </c>
      <c r="J11" s="319">
        <f t="shared" si="1"/>
        <v>0</v>
      </c>
    </row>
    <row r="12" spans="1:10">
      <c r="A12" s="478" t="str">
        <f>INPUTS!C76</f>
        <v>Guatemala (Tripsacum andersonii) - forage</v>
      </c>
      <c r="B12" s="39" t="str">
        <f>'N balance'!A12</f>
        <v>Guatemala</v>
      </c>
      <c r="C12" s="39">
        <f>'N balance'!BL12</f>
        <v>40.006098712661284</v>
      </c>
      <c r="D12" s="39">
        <f>'N balance'!BM12</f>
        <v>34.734584065247418</v>
      </c>
      <c r="E12" s="39">
        <f>'N balance'!BN12</f>
        <v>5.2715146474138663</v>
      </c>
      <c r="F12" s="39">
        <f>'N balance'!BO12</f>
        <v>81.94210681905524</v>
      </c>
      <c r="G12" s="39">
        <f>'N balance'!BP12</f>
        <v>5.2715146474138663</v>
      </c>
      <c r="H12" s="39">
        <f>'N balance'!BQ12</f>
        <v>81.94210681905524</v>
      </c>
      <c r="I12" s="39">
        <f t="shared" si="0"/>
        <v>0</v>
      </c>
      <c r="J12" s="319">
        <f t="shared" si="1"/>
        <v>0</v>
      </c>
    </row>
    <row r="13" spans="1:10">
      <c r="A13" s="478" t="str">
        <f>INPUTS!C77</f>
        <v>Maize (Zea mays) - stover</v>
      </c>
      <c r="B13" s="39" t="str">
        <f>'N balance'!A13</f>
        <v>Maize</v>
      </c>
      <c r="C13" s="39">
        <f>'N balance'!BL13</f>
        <v>82.048487662828975</v>
      </c>
      <c r="D13" s="39">
        <f>'N balance'!BM13</f>
        <v>45.884931049079661</v>
      </c>
      <c r="E13" s="39">
        <f>'N balance'!BN13</f>
        <v>36.163556613749314</v>
      </c>
      <c r="F13" s="39">
        <f>'N balance'!BO13</f>
        <v>39.760118324719954</v>
      </c>
      <c r="G13" s="39">
        <f>'N balance'!BP13</f>
        <v>23.750106000966991</v>
      </c>
      <c r="H13" s="39">
        <f>'N balance'!BQ13</f>
        <v>26.112117093706026</v>
      </c>
      <c r="I13" s="39">
        <f t="shared" si="0"/>
        <v>12.413450612782324</v>
      </c>
      <c r="J13" s="319">
        <f t="shared" si="1"/>
        <v>13.648001231013929</v>
      </c>
    </row>
    <row r="14" spans="1:10">
      <c r="A14" s="478" t="str">
        <f>INPUTS!C78</f>
        <v xml:space="preserve">Naturally occuring pasture - green fodder </v>
      </c>
      <c r="B14" s="39" t="str">
        <f>'N balance'!A14</f>
        <v>Natural pasture</v>
      </c>
      <c r="C14" s="39">
        <f>'N balance'!BL14</f>
        <v>43.129727439149306</v>
      </c>
      <c r="D14" s="39">
        <f>'N balance'!BM14</f>
        <v>71.368157332584872</v>
      </c>
      <c r="E14" s="39">
        <f>'N balance'!BN14</f>
        <v>-28.238429893435566</v>
      </c>
      <c r="F14" s="39">
        <f>'N balance'!BO14</f>
        <v>-57.44512091865986</v>
      </c>
      <c r="G14" s="39">
        <f>'N balance'!BP14</f>
        <v>-28.238429893435566</v>
      </c>
      <c r="H14" s="39">
        <f>'N balance'!BQ14</f>
        <v>-57.44512091865986</v>
      </c>
      <c r="I14" s="39">
        <f t="shared" si="0"/>
        <v>0</v>
      </c>
      <c r="J14" s="319">
        <f t="shared" si="1"/>
        <v>0</v>
      </c>
    </row>
    <row r="15" spans="1:10" ht="16.5" thickBot="1">
      <c r="A15" s="480" t="str">
        <f>INPUTS!C79</f>
        <v>N/A</v>
      </c>
      <c r="B15" s="481" t="str">
        <f>'N balance'!A15</f>
        <v>N/A</v>
      </c>
      <c r="C15" s="481">
        <f>'N balance'!BL15</f>
        <v>0</v>
      </c>
      <c r="D15" s="481">
        <f>'N balance'!BM15</f>
        <v>0</v>
      </c>
      <c r="E15" s="481">
        <f>'N balance'!BN15</f>
        <v>0</v>
      </c>
      <c r="F15" s="481" t="str">
        <f>'N balance'!BO15</f>
        <v/>
      </c>
      <c r="G15" s="481">
        <f>'N balance'!BP15</f>
        <v>0</v>
      </c>
      <c r="H15" s="481" t="str">
        <f>'N balance'!BQ15</f>
        <v/>
      </c>
      <c r="I15" s="481">
        <f t="shared" si="0"/>
        <v>0</v>
      </c>
      <c r="J15" s="482" t="str">
        <f t="shared" si="1"/>
        <v/>
      </c>
    </row>
    <row r="16" spans="1:10">
      <c r="A16" s="39" t="s">
        <v>132</v>
      </c>
      <c r="B16" s="39"/>
      <c r="C16" s="39">
        <f>SUM(C9:C15)</f>
        <v>252.98320885642204</v>
      </c>
      <c r="D16" s="39">
        <f t="shared" ref="D16:I16" si="2">SUM(D9:D15)</f>
        <v>232.50701909846805</v>
      </c>
      <c r="E16" s="39">
        <f t="shared" si="2"/>
        <v>20.476189757954003</v>
      </c>
      <c r="F16" s="39"/>
      <c r="G16" s="39">
        <f t="shared" si="2"/>
        <v>8.0627391451716761</v>
      </c>
      <c r="H16" s="39"/>
      <c r="I16" s="39">
        <f t="shared" si="2"/>
        <v>12.413450612782324</v>
      </c>
      <c r="J16" s="39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1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B2" sqref="B2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925" t="s">
        <v>132</v>
      </c>
    </row>
    <row r="2" spans="1:3">
      <c r="A2" s="568" t="str">
        <f>Water!A13</f>
        <v>ET (mm/year)</v>
      </c>
      <c r="B2" s="1032">
        <f>Water!B13</f>
        <v>995.03664778697237</v>
      </c>
      <c r="C2" s="569"/>
    </row>
    <row r="3" spans="1:3">
      <c r="A3" s="318" t="str">
        <f>Water!A14</f>
        <v>fraction of precipitation used for feed production</v>
      </c>
      <c r="B3" s="1033">
        <f>Water!B14</f>
        <v>0.71074046270498026</v>
      </c>
      <c r="C3" s="484"/>
    </row>
    <row r="4" spans="1:3">
      <c r="A4" s="318" t="str">
        <f>Water!A15</f>
        <v>Total water use (m3)</v>
      </c>
      <c r="B4" s="671">
        <f>Water!B15</f>
        <v>1685.1320043306223</v>
      </c>
      <c r="C4" s="484"/>
    </row>
    <row r="5" spans="1:3">
      <c r="A5" s="318" t="str">
        <f>Water!A16</f>
        <v>Water use (m3/kg FPCM)</v>
      </c>
      <c r="B5" s="39">
        <f>Water!B16</f>
        <v>0.52231262667975353</v>
      </c>
      <c r="C5" s="484"/>
    </row>
    <row r="6" spans="1:3">
      <c r="A6" s="318" t="str">
        <f>Water!A17</f>
        <v>Water use (m3/kg meat)</v>
      </c>
      <c r="B6" s="39">
        <f>Water!B17</f>
        <v>6.2081196740739104</v>
      </c>
      <c r="C6" s="484"/>
    </row>
    <row r="7" spans="1:3">
      <c r="A7" s="318" t="str">
        <f>Water!A18</f>
        <v>Water use (m3/kg protein)</v>
      </c>
      <c r="B7" s="39">
        <f>Water!B18</f>
        <v>8.871584447370287</v>
      </c>
      <c r="C7" s="484"/>
    </row>
    <row r="8" spans="1:3">
      <c r="A8" s="318"/>
      <c r="C8" s="484"/>
    </row>
    <row r="9" spans="1:3">
      <c r="A9" s="918" t="s">
        <v>1371</v>
      </c>
      <c r="B9" s="919" t="s">
        <v>1358</v>
      </c>
      <c r="C9" s="920" t="s">
        <v>1359</v>
      </c>
    </row>
    <row r="10" spans="1:3">
      <c r="A10" s="921" t="str">
        <f>INPUTS!C73</f>
        <v>Concentrate (commercial)</v>
      </c>
      <c r="B10" s="671">
        <f>Water!$B$10</f>
        <v>0</v>
      </c>
      <c r="C10" s="922">
        <f>Water!$B$11</f>
        <v>0</v>
      </c>
    </row>
    <row r="11" spans="1:3">
      <c r="A11" s="921" t="str">
        <f>INPUTS!C74</f>
        <v>Pennisetum purpureum - forage</v>
      </c>
      <c r="B11" s="671">
        <f>Water!$C$10</f>
        <v>40.078625728381425</v>
      </c>
      <c r="C11" s="922">
        <f>Water!$C$11</f>
        <v>0</v>
      </c>
    </row>
    <row r="12" spans="1:3">
      <c r="A12" s="921" t="str">
        <f>INPUTS!C75</f>
        <v>Rhodes grass (Chloris gayana) - forage</v>
      </c>
      <c r="B12" s="671">
        <f>Water!$D$10</f>
        <v>265.1813752326907</v>
      </c>
      <c r="C12" s="922">
        <f>Water!$D$11</f>
        <v>0</v>
      </c>
    </row>
    <row r="13" spans="1:3">
      <c r="A13" s="921" t="str">
        <f>INPUTS!C76</f>
        <v>Guatemala (Tripsacum andersonii) - forage</v>
      </c>
      <c r="B13" s="671">
        <f>Water!$E$10</f>
        <v>86.097905505015333</v>
      </c>
      <c r="C13" s="922">
        <f>Water!$E$11</f>
        <v>0</v>
      </c>
    </row>
    <row r="14" spans="1:3">
      <c r="A14" s="921" t="str">
        <f>INPUTS!C77</f>
        <v>Maize (Zea mays) - stover</v>
      </c>
      <c r="B14" s="671">
        <f>Water!$F$10</f>
        <v>532.78259316784329</v>
      </c>
      <c r="C14" s="922">
        <f>Water!$F$11</f>
        <v>330.37417478148382</v>
      </c>
    </row>
    <row r="15" spans="1:3">
      <c r="A15" s="921" t="str">
        <f>INPUTS!C78</f>
        <v xml:space="preserve">Naturally occuring pasture - green fodder </v>
      </c>
      <c r="B15" s="671">
        <f>Water!$G$10</f>
        <v>0</v>
      </c>
      <c r="C15" s="922">
        <f>Water!$G$11</f>
        <v>430.61732991520779</v>
      </c>
    </row>
    <row r="16" spans="1:3">
      <c r="A16" s="921" t="str">
        <f>INPUTS!C79</f>
        <v>N/A</v>
      </c>
      <c r="B16" s="671">
        <f>Water!$H$10</f>
        <v>0</v>
      </c>
      <c r="C16" s="922">
        <f>Water!$H$11</f>
        <v>0</v>
      </c>
    </row>
    <row r="17" spans="1:3" ht="16.5" thickBot="1">
      <c r="A17" s="923" t="s">
        <v>132</v>
      </c>
      <c r="B17" s="754">
        <f>SUM(B10:B16)</f>
        <v>924.14049963393074</v>
      </c>
      <c r="C17" s="924">
        <f>SUM(C10:C16)</f>
        <v>760.99150469669166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0"/>
  <sheetViews>
    <sheetView topLeftCell="A25" zoomScale="70" zoomScaleNormal="70" workbookViewId="0">
      <selection activeCell="J23" sqref="J23"/>
    </sheetView>
  </sheetViews>
  <sheetFormatPr defaultColWidth="11" defaultRowHeight="15.75"/>
  <cols>
    <col min="2" max="2" width="27.125" style="10" bestFit="1" customWidth="1"/>
    <col min="3" max="3" width="13.5" customWidth="1"/>
    <col min="4" max="4" width="12.5" style="12" customWidth="1"/>
    <col min="5" max="5" width="14.125" style="12" customWidth="1"/>
    <col min="9" max="9" width="32.5" style="10" customWidth="1"/>
    <col min="11" max="11" width="12.875" bestFit="1" customWidth="1"/>
  </cols>
  <sheetData>
    <row r="1" spans="1:14" ht="16.5" thickBot="1">
      <c r="B1" s="146"/>
      <c r="C1" s="7"/>
      <c r="F1" s="7"/>
      <c r="G1" s="7"/>
    </row>
    <row r="2" spans="1:14" ht="16.5" thickBot="1">
      <c r="B2" s="339" t="s">
        <v>599</v>
      </c>
      <c r="C2" s="340"/>
      <c r="D2" s="340"/>
      <c r="E2" s="340"/>
      <c r="F2" s="340"/>
      <c r="G2" s="356"/>
      <c r="H2" s="12"/>
      <c r="I2" s="355" t="s">
        <v>791</v>
      </c>
      <c r="J2" s="353"/>
      <c r="K2" s="354"/>
      <c r="L2" s="353"/>
      <c r="M2" s="353"/>
      <c r="N2" s="358"/>
    </row>
    <row r="3" spans="1:14" ht="18.75">
      <c r="B3" s="342"/>
      <c r="C3" s="343"/>
      <c r="D3" s="344"/>
      <c r="E3" s="1437" t="s">
        <v>1081</v>
      </c>
      <c r="F3" s="1438"/>
      <c r="G3" s="357"/>
      <c r="H3" s="12"/>
      <c r="I3" s="363"/>
      <c r="J3" s="351"/>
      <c r="K3" s="341"/>
      <c r="L3" s="1437" t="s">
        <v>1081</v>
      </c>
      <c r="M3" s="1438"/>
      <c r="N3" s="359"/>
    </row>
    <row r="4" spans="1:14" ht="18.75" thickBot="1">
      <c r="B4" s="348" t="s">
        <v>376</v>
      </c>
      <c r="C4" s="349" t="s">
        <v>81</v>
      </c>
      <c r="D4" s="346" t="s">
        <v>82</v>
      </c>
      <c r="E4" s="361" t="s">
        <v>1079</v>
      </c>
      <c r="F4" s="320" t="s">
        <v>1080</v>
      </c>
      <c r="G4" s="360" t="s">
        <v>83</v>
      </c>
      <c r="H4" s="12"/>
      <c r="I4" s="348" t="s">
        <v>376</v>
      </c>
      <c r="J4" s="349" t="s">
        <v>81</v>
      </c>
      <c r="K4" s="346" t="s">
        <v>82</v>
      </c>
      <c r="L4" s="345" t="s">
        <v>589</v>
      </c>
      <c r="M4" s="320" t="s">
        <v>902</v>
      </c>
      <c r="N4" s="360" t="s">
        <v>83</v>
      </c>
    </row>
    <row r="5" spans="1:14" ht="18.75">
      <c r="B5" s="350" t="s">
        <v>593</v>
      </c>
      <c r="C5" s="351" t="s">
        <v>1082</v>
      </c>
      <c r="D5" s="347">
        <f>'GHG Ent fermentation'!E22/'Land requirements'!F11</f>
        <v>126.95318747992012</v>
      </c>
      <c r="E5" s="338">
        <f>D5*C26</f>
        <v>3554.6892494377635</v>
      </c>
      <c r="F5" s="317">
        <f>(E5*'Land requirements'!$F$11/'Meat &amp; Milk '!$B$33)</f>
        <v>1.8659202985472476</v>
      </c>
      <c r="G5" s="362">
        <f>E5*('Land requirements'!F11)/(E$16*'Land requirements'!F11)*100</f>
        <v>69.307026874411051</v>
      </c>
      <c r="H5" s="12"/>
      <c r="I5" s="828" t="s">
        <v>593</v>
      </c>
      <c r="J5" s="829" t="s">
        <v>1407</v>
      </c>
      <c r="K5" s="830">
        <f>'GHG Ent fermentation'!F45/'Land requirements'!F11</f>
        <v>197.63343891657541</v>
      </c>
      <c r="L5" s="352">
        <f>K5*C$26</f>
        <v>5533.7362896641116</v>
      </c>
      <c r="M5" s="831">
        <f>(L5*'Land requirements'!$F$11)/'Meat &amp; Milk '!$B$33</f>
        <v>2.9047576722282988</v>
      </c>
      <c r="N5" s="832">
        <f>L5*('Land requirements'!$F$11)/(SUM(L$5:L$14)*'Land requirements'!$F$11)*100</f>
        <v>92.120921581993699</v>
      </c>
    </row>
    <row r="6" spans="1:14" ht="18.75">
      <c r="B6" s="350" t="s">
        <v>590</v>
      </c>
      <c r="C6" s="351" t="s">
        <v>1082</v>
      </c>
      <c r="D6" s="347">
        <f>'GHG Manure'!E23/'Land requirements'!F11</f>
        <v>2.9523997088353515</v>
      </c>
      <c r="E6" s="338">
        <f>D6*C26</f>
        <v>82.667191847389844</v>
      </c>
      <c r="F6" s="317">
        <f>(E6*'Land requirements'!$F$11/'Meat &amp; Milk '!$B$33)</f>
        <v>4.3393495315052266E-2</v>
      </c>
      <c r="G6" s="362">
        <f>E6*('Land requirements'!F11)/(E$16*'Land requirements'!F11)*100</f>
        <v>1.6117913226607221</v>
      </c>
      <c r="H6" s="12"/>
      <c r="I6" s="828" t="s">
        <v>590</v>
      </c>
      <c r="J6" s="829" t="s">
        <v>1407</v>
      </c>
      <c r="K6" s="830">
        <f>'GHG Manure'!P46/'Land requirements'!F11</f>
        <v>13.663661737004784</v>
      </c>
      <c r="L6" s="352">
        <f>K6*C$26</f>
        <v>382.58252863613393</v>
      </c>
      <c r="M6" s="831">
        <f>(L6*'Land requirements'!$F$11)/'Meat &amp; Milk '!$B$33</f>
        <v>0.20082444792174356</v>
      </c>
      <c r="N6" s="832">
        <f>L6*('Land requirements'!$F$11)/(SUM(L$5:L$14)*'Land requirements'!$F$11)*100</f>
        <v>6.3689076013539845</v>
      </c>
    </row>
    <row r="7" spans="1:14" ht="18.75">
      <c r="B7" s="350" t="s">
        <v>591</v>
      </c>
      <c r="C7" s="351" t="s">
        <v>1083</v>
      </c>
      <c r="D7" s="347">
        <f>'GHG Manure'!I121/'Land requirements'!F11</f>
        <v>1.7023872029397284</v>
      </c>
      <c r="E7" s="338">
        <f>D7*C27</f>
        <v>451.13260877902803</v>
      </c>
      <c r="F7" s="317">
        <f>(E7*'Land requirements'!$F$11/'Meat &amp; Milk '!$B$33)</f>
        <v>0.23680761748456763</v>
      </c>
      <c r="G7" s="362">
        <f>E7*('Land requirements'!F11)/(E$16*'Land requirements'!F11)*100</f>
        <v>8.7958911866956111</v>
      </c>
      <c r="H7" s="12"/>
      <c r="I7" s="828" t="s">
        <v>1408</v>
      </c>
      <c r="J7" s="829" t="s">
        <v>1409</v>
      </c>
      <c r="K7" s="830">
        <f>'GHG Manure'!J121/'Land requirements'!F11</f>
        <v>0</v>
      </c>
      <c r="L7" s="352">
        <f>K7*C27</f>
        <v>0</v>
      </c>
      <c r="M7" s="831">
        <f>(L7*'Land requirements'!$F$11)/'Meat &amp; Milk '!$B$33</f>
        <v>0</v>
      </c>
      <c r="N7" s="832">
        <f>L7*('Land requirements'!$F$11)/(SUM(L$5:L$14)*'Land requirements'!$F$11)*100</f>
        <v>0</v>
      </c>
    </row>
    <row r="8" spans="1:14" ht="18.75">
      <c r="B8" s="350" t="s">
        <v>592</v>
      </c>
      <c r="C8" s="351" t="s">
        <v>1083</v>
      </c>
      <c r="D8" s="347">
        <f>'GHG Manure'!L144/'Land requirements'!F11</f>
        <v>1.0214323217638368</v>
      </c>
      <c r="E8" s="338">
        <f>D8*C27</f>
        <v>270.67956526741676</v>
      </c>
      <c r="F8" s="317">
        <f>(E8*'Land requirements'!$F$11/'Meat &amp; Milk '!$B$33)</f>
        <v>0.14208457049074052</v>
      </c>
      <c r="G8" s="362">
        <f>E8*('Land requirements'!F11)/(E$16*'Land requirements'!F11)*100</f>
        <v>5.2775347120173661</v>
      </c>
      <c r="H8" s="12"/>
      <c r="I8" s="828" t="s">
        <v>1410</v>
      </c>
      <c r="J8" s="829" t="s">
        <v>1409</v>
      </c>
      <c r="K8" s="830">
        <f>'GHG Manure'!M144/'Land requirements'!F11</f>
        <v>0</v>
      </c>
      <c r="L8" s="352">
        <f>K8*C27</f>
        <v>0</v>
      </c>
      <c r="M8" s="831">
        <f>(L8*'Land requirements'!$F$11)/'Meat &amp; Milk '!$B$33</f>
        <v>0</v>
      </c>
      <c r="N8" s="832">
        <f>L8*('Land requirements'!$F$11)/(SUM(L$5:L$14)*'Land requirements'!$F$11)*100</f>
        <v>0</v>
      </c>
    </row>
    <row r="9" spans="1:14" ht="18.75">
      <c r="B9" s="350" t="s">
        <v>594</v>
      </c>
      <c r="C9" s="351" t="s">
        <v>1083</v>
      </c>
      <c r="D9" s="347">
        <f>'GHG Soil'!B6/'Land requirements'!F11</f>
        <v>2.4328988552700936</v>
      </c>
      <c r="E9" s="338">
        <f>D9*C27</f>
        <v>644.71819664657482</v>
      </c>
      <c r="F9" s="317">
        <f>(E9*'Land requirements'!$F$11/'Meat &amp; Milk '!$B$33)</f>
        <v>0.33842417312733997</v>
      </c>
      <c r="G9" s="362">
        <f>E9*('Land requirements'!F11)/(E$16*'Land requirements'!F11)*100</f>
        <v>12.570297498852668</v>
      </c>
      <c r="H9" s="12"/>
      <c r="I9" s="828" t="s">
        <v>1411</v>
      </c>
      <c r="J9" s="829" t="s">
        <v>1409</v>
      </c>
      <c r="K9" s="830">
        <f>'GHG Soil'!C6/'Land requirements'!F11</f>
        <v>0.30491485159543291</v>
      </c>
      <c r="L9" s="352">
        <f>K9*C27</f>
        <v>80.802435672789727</v>
      </c>
      <c r="M9" s="831">
        <f>(L9*'Land requirements'!$F$11)/'Meat &amp; Milk '!$B$33</f>
        <v>4.2414651271630466E-2</v>
      </c>
      <c r="N9" s="832">
        <f>L9*('Land requirements'!$F$11)/(SUM(L$5:L$14)*'Land requirements'!$F$11)*100</f>
        <v>1.3451300261904906</v>
      </c>
    </row>
    <row r="10" spans="1:14" ht="19.5" customHeight="1">
      <c r="B10" s="350" t="s">
        <v>595</v>
      </c>
      <c r="C10" s="351" t="s">
        <v>1083</v>
      </c>
      <c r="D10" s="347">
        <f>'GHG Soil'!J49/'Land requirements'!F11</f>
        <v>0.46300834248259015</v>
      </c>
      <c r="E10" s="338">
        <f>D10*C$27</f>
        <v>122.6972107578864</v>
      </c>
      <c r="F10" s="317">
        <f>(E10*'Land requirements'!$F$11/'Meat &amp; Milk '!$B$33)</f>
        <v>6.4405971960694267E-2</v>
      </c>
      <c r="G10" s="362">
        <f>E10*('Land requirements'!F11)/(E$16*'Land requirements'!F11)*100</f>
        <v>2.3922706843522628</v>
      </c>
      <c r="H10" s="12"/>
      <c r="I10" s="828" t="s">
        <v>1412</v>
      </c>
      <c r="J10" s="829" t="s">
        <v>1409</v>
      </c>
      <c r="K10" s="830">
        <f>'GHG Soil'!J59/'Land requirements'!F11</f>
        <v>3.7411541747658018E-2</v>
      </c>
      <c r="L10" s="352">
        <f>K10*C$27</f>
        <v>9.9140585631293749</v>
      </c>
      <c r="M10" s="831">
        <f>(L10*'Land requirements'!$F$11)/'Meat &amp; Milk '!$B$33</f>
        <v>5.2040675895523572E-3</v>
      </c>
      <c r="N10" s="832">
        <f>L10*('Land requirements'!$F$11)/(SUM(L$5:L$14)*'Land requirements'!$F$11)*100</f>
        <v>0.16504079046180381</v>
      </c>
    </row>
    <row r="11" spans="1:14" ht="18.75">
      <c r="B11" s="350" t="s">
        <v>953</v>
      </c>
      <c r="C11" s="351" t="s">
        <v>1083</v>
      </c>
      <c r="D11" s="347">
        <f>'GHG Soil'!B68/'Land requirements'!F11</f>
        <v>0</v>
      </c>
      <c r="E11" s="338">
        <f>D11*C$27</f>
        <v>0</v>
      </c>
      <c r="F11" s="317">
        <f>(E11*'Land requirements'!$F$11/'Meat &amp; Milk '!$B$33)</f>
        <v>0</v>
      </c>
      <c r="G11" s="362">
        <f>E11*('Land requirements'!F11)/(E$16*'Land requirements'!F11)*100</f>
        <v>0</v>
      </c>
      <c r="H11" s="12"/>
      <c r="I11" s="828" t="s">
        <v>1413</v>
      </c>
      <c r="J11" s="829" t="s">
        <v>1409</v>
      </c>
      <c r="K11" s="830">
        <f>'GHG Soil'!C68/'Land requirements'!F11</f>
        <v>0</v>
      </c>
      <c r="L11" s="352">
        <f>K11*C$27</f>
        <v>0</v>
      </c>
      <c r="M11" s="831">
        <f>(L11*'Land requirements'!$F$11)/'Meat &amp; Milk '!$B$33</f>
        <v>0</v>
      </c>
      <c r="N11" s="832">
        <f>L11*('Land requirements'!$F$11)/(SUM(L$5:L$14)*'Land requirements'!$F$11)*100</f>
        <v>0</v>
      </c>
    </row>
    <row r="12" spans="1:14" ht="18.75">
      <c r="B12" s="350" t="s">
        <v>954</v>
      </c>
      <c r="C12" s="351" t="s">
        <v>1083</v>
      </c>
      <c r="D12" s="347">
        <f>('GHG Soil'!K74+'GHG Soil'!K75)/'Land requirements'!F11</f>
        <v>0</v>
      </c>
      <c r="E12" s="338">
        <f>D12*C$27</f>
        <v>0</v>
      </c>
      <c r="F12" s="317">
        <f>(E12*'Land requirements'!$F$11/'Meat &amp; Milk '!$B$33)</f>
        <v>0</v>
      </c>
      <c r="G12" s="362">
        <f>E12*('Land requirements'!F11)/(E$16*'Land requirements'!F11)*100</f>
        <v>0</v>
      </c>
      <c r="H12" s="12"/>
      <c r="I12" s="828" t="s">
        <v>1414</v>
      </c>
      <c r="J12" s="829" t="s">
        <v>1409</v>
      </c>
      <c r="K12" s="830">
        <f>('GHG Soil'!K77+'GHG Soil'!K78)/'Land requirements'!F11</f>
        <v>0</v>
      </c>
      <c r="L12" s="352">
        <f>K12*C$27</f>
        <v>0</v>
      </c>
      <c r="M12" s="831">
        <f>(L12*'Land requirements'!$F$11)/'Meat &amp; Milk '!$B$33</f>
        <v>0</v>
      </c>
      <c r="N12" s="832">
        <f>L12*('Land requirements'!$F$11)/(SUM(L$5:L$14)*'Land requirements'!$F$11)*100</f>
        <v>0</v>
      </c>
    </row>
    <row r="13" spans="1:14" ht="18.75">
      <c r="B13" s="350" t="s">
        <v>893</v>
      </c>
      <c r="C13" s="351" t="s">
        <v>1083</v>
      </c>
      <c r="D13" s="347">
        <f>'GHG Burning'!O11*1000/'Land requirements'!F11</f>
        <v>0</v>
      </c>
      <c r="E13" s="338">
        <f>D13</f>
        <v>0</v>
      </c>
      <c r="F13" s="317">
        <f>(E13*'Land requirements'!$F$11/'Meat &amp; Milk '!$B$33)</f>
        <v>0</v>
      </c>
      <c r="G13" s="362">
        <f>E13*('Land requirements'!F11)/(E$16*'Land requirements'!F11)*100</f>
        <v>0</v>
      </c>
      <c r="H13" s="12"/>
      <c r="I13" s="828" t="s">
        <v>893</v>
      </c>
      <c r="J13" s="829" t="s">
        <v>1409</v>
      </c>
      <c r="K13" s="830">
        <f>'GHG Burning'!O11/'Land requirements'!F11*1000</f>
        <v>0</v>
      </c>
      <c r="L13" s="352">
        <f>K13</f>
        <v>0</v>
      </c>
      <c r="M13" s="831">
        <f>(L13*'Land requirements'!$F$11)/'Meat &amp; Milk '!$B$33</f>
        <v>0</v>
      </c>
      <c r="N13" s="832">
        <f>L13*('Land requirements'!$F$11)/(SUM(L$5:L$14)*'Land requirements'!$F$11)*100</f>
        <v>0</v>
      </c>
    </row>
    <row r="14" spans="1:14" ht="18.75">
      <c r="B14" s="350" t="s">
        <v>596</v>
      </c>
      <c r="C14" s="351" t="s">
        <v>1082</v>
      </c>
      <c r="D14" s="347">
        <f>'GHG Rice'!M13/'Land requirements'!F11</f>
        <v>0</v>
      </c>
      <c r="E14" s="338">
        <f>D14*C26</f>
        <v>0</v>
      </c>
      <c r="F14" s="317">
        <f>(E14*'Land requirements'!$F$11/'Meat &amp; Milk '!$B$33)</f>
        <v>0</v>
      </c>
      <c r="G14" s="362">
        <f>E14*('Land requirements'!F11)/(E$16*'Land requirements'!F11)*100</f>
        <v>0</v>
      </c>
      <c r="H14" s="12"/>
      <c r="I14" s="828" t="s">
        <v>596</v>
      </c>
      <c r="J14" s="829" t="s">
        <v>1407</v>
      </c>
      <c r="K14" s="830">
        <f>'GHG Rice'!M13/'Land requirements'!F11</f>
        <v>0</v>
      </c>
      <c r="L14" s="352">
        <f>K14*C26</f>
        <v>0</v>
      </c>
      <c r="M14" s="831">
        <f>(L14*'Land requirements'!$F$11)/'Meat &amp; Milk '!$B$33</f>
        <v>0</v>
      </c>
      <c r="N14" s="832">
        <f>L14*('Land requirements'!$F$11)/(SUM(L$5:L$14)*'Land requirements'!$F$11)*100</f>
        <v>0</v>
      </c>
    </row>
    <row r="15" spans="1:14">
      <c r="B15" s="1264" t="s">
        <v>1045</v>
      </c>
      <c r="C15" s="1265" t="s">
        <v>1084</v>
      </c>
      <c r="D15" s="1266" t="s">
        <v>639</v>
      </c>
      <c r="E15" s="1267">
        <f>'GHG Off-farm'!E10</f>
        <v>2.3176337714357511</v>
      </c>
      <c r="F15" s="1268">
        <f>(E15*'Land requirements'!F11)/'Meat &amp; Milk '!$B$33</f>
        <v>1.2165676365112868E-3</v>
      </c>
      <c r="G15" s="362">
        <f>E15*('Land requirements'!F11)/(E$16*'Land requirements'!F11)*100</f>
        <v>4.5187721010309531E-2</v>
      </c>
      <c r="H15" s="12"/>
      <c r="I15" s="1269" t="s">
        <v>1045</v>
      </c>
      <c r="J15" s="1270" t="s">
        <v>1084</v>
      </c>
      <c r="K15" s="1271" t="s">
        <v>639</v>
      </c>
      <c r="L15" s="1272">
        <f>'GHG Off-farm'!E10</f>
        <v>2.3176337714357511</v>
      </c>
      <c r="M15" s="1271">
        <f>(L15*'Land requirements'!F11)/'Meat &amp; Milk '!$B$33</f>
        <v>1.2165676365112868E-3</v>
      </c>
      <c r="N15" s="832">
        <f>L15*('Land requirements'!F11)/(L$16*'Land requirements'!F11)*100</f>
        <v>3.8567110172149283E-2</v>
      </c>
    </row>
    <row r="16" spans="1:14" ht="16.5" thickBot="1">
      <c r="A16" s="12"/>
      <c r="B16" s="833" t="s">
        <v>1798</v>
      </c>
      <c r="C16" s="834"/>
      <c r="D16" s="835"/>
      <c r="E16" s="836">
        <f>SUM(E5:E14)+E15</f>
        <v>5128.9016565074953</v>
      </c>
      <c r="F16" s="836">
        <f>(E16*'Land requirements'!F11)/'Meat &amp; Milk '!$B$33</f>
        <v>2.6922526945621539</v>
      </c>
      <c r="G16" s="837">
        <f>E16*('Land requirements'!F11)/(E$16*'Land requirements'!F11)*100</f>
        <v>100</v>
      </c>
      <c r="H16" s="12"/>
      <c r="I16" s="833" t="s">
        <v>1798</v>
      </c>
      <c r="J16" s="838"/>
      <c r="K16" s="839"/>
      <c r="L16" s="836">
        <f>SUM(L5:L14)+L15</f>
        <v>6009.3529463076011</v>
      </c>
      <c r="M16" s="840">
        <f>(L16*'Land requirements'!F11)/'Meat &amp; Milk '!$B$33</f>
        <v>3.1544174066477368</v>
      </c>
      <c r="N16" s="841">
        <f>L16*('Land requirements'!F11)/(L$16*'Land requirements'!F11)*100</f>
        <v>100</v>
      </c>
    </row>
    <row r="17" spans="2:14">
      <c r="D17"/>
      <c r="E17"/>
      <c r="M17" s="145"/>
      <c r="N17" s="145"/>
    </row>
    <row r="18" spans="2:14">
      <c r="D18"/>
      <c r="E18"/>
      <c r="M18" s="145"/>
      <c r="N18" s="145"/>
    </row>
    <row r="19" spans="2:14">
      <c r="D19"/>
      <c r="E19"/>
      <c r="M19" s="145"/>
      <c r="N19" s="145"/>
    </row>
    <row r="20" spans="2:14">
      <c r="D20"/>
      <c r="E20"/>
      <c r="M20" s="145"/>
      <c r="N20" s="145"/>
    </row>
    <row r="21" spans="2:14" ht="47.25">
      <c r="B21" s="10" t="s">
        <v>85</v>
      </c>
      <c r="C21" s="7"/>
    </row>
    <row r="22" spans="2:14" ht="31.5">
      <c r="B22" s="10" t="s">
        <v>86</v>
      </c>
      <c r="C22" s="7"/>
    </row>
    <row r="23" spans="2:14">
      <c r="F23" t="s">
        <v>44</v>
      </c>
    </row>
    <row r="25" spans="2:14">
      <c r="B25" s="10" t="s">
        <v>88</v>
      </c>
    </row>
    <row r="26" spans="2:14">
      <c r="B26" s="10" t="s">
        <v>84</v>
      </c>
      <c r="C26">
        <v>28</v>
      </c>
      <c r="F26" s="7"/>
      <c r="G26" s="7"/>
    </row>
    <row r="27" spans="2:14">
      <c r="B27" s="10" t="s">
        <v>87</v>
      </c>
      <c r="C27">
        <v>265</v>
      </c>
      <c r="F27" s="7"/>
      <c r="G27" s="7"/>
    </row>
    <row r="28" spans="2:14">
      <c r="B28" s="24"/>
      <c r="C28" s="27" t="s">
        <v>97</v>
      </c>
      <c r="D28" s="27" t="s">
        <v>486</v>
      </c>
    </row>
    <row r="29" spans="2:14" s="30" customFormat="1">
      <c r="B29" s="24" t="s">
        <v>597</v>
      </c>
      <c r="C29" s="147" t="s">
        <v>1075</v>
      </c>
      <c r="D29" s="147" t="s">
        <v>1075</v>
      </c>
    </row>
    <row r="30" spans="2:14" s="30" customFormat="1">
      <c r="B30" s="24" t="s">
        <v>600</v>
      </c>
      <c r="C30" s="45">
        <f>(E9+E10)/1000</f>
        <v>0.76741540740446124</v>
      </c>
      <c r="D30" s="45">
        <f>(L9+L10)/1000</f>
        <v>9.0716494235919098E-2</v>
      </c>
    </row>
    <row r="31" spans="2:14" s="30" customFormat="1">
      <c r="B31" s="24" t="s">
        <v>955</v>
      </c>
      <c r="C31" s="45">
        <f>(E11+E12)/1000</f>
        <v>0</v>
      </c>
      <c r="D31" s="45">
        <f>(L11+L12)/1000</f>
        <v>0</v>
      </c>
    </row>
    <row r="32" spans="2:14" s="30" customFormat="1">
      <c r="B32" s="24" t="s">
        <v>1085</v>
      </c>
      <c r="C32" s="45">
        <f>(E6+E7+E8)/1000</f>
        <v>0.80447936589383473</v>
      </c>
      <c r="D32" s="45">
        <f>(L6+L7+L8)/1000</f>
        <v>0.38258252863613396</v>
      </c>
    </row>
    <row r="33" spans="2:5" s="30" customFormat="1">
      <c r="B33" s="24" t="s">
        <v>1086</v>
      </c>
      <c r="C33" s="45">
        <f>E5/1000</f>
        <v>3.5546892494377635</v>
      </c>
      <c r="D33" s="45">
        <f>L5/1000</f>
        <v>5.5337362896641116</v>
      </c>
    </row>
    <row r="34" spans="2:5" s="30" customFormat="1">
      <c r="B34" s="24" t="s">
        <v>893</v>
      </c>
      <c r="C34" s="45">
        <f>D13/1000</f>
        <v>0</v>
      </c>
      <c r="D34" s="45">
        <f>K13/1000</f>
        <v>0</v>
      </c>
    </row>
    <row r="35" spans="2:5" s="30" customFormat="1">
      <c r="B35" s="24" t="s">
        <v>645</v>
      </c>
      <c r="C35" s="45">
        <f>E14/1000</f>
        <v>0</v>
      </c>
      <c r="D35" s="45">
        <f>L14/1000</f>
        <v>0</v>
      </c>
    </row>
    <row r="36" spans="2:5" s="30" customFormat="1">
      <c r="B36" s="81" t="s">
        <v>1045</v>
      </c>
      <c r="C36" s="45">
        <f>E15/1000</f>
        <v>2.3176337714357511E-3</v>
      </c>
      <c r="D36" s="45">
        <f>L15/1000</f>
        <v>2.3176337714357511E-3</v>
      </c>
    </row>
    <row r="37" spans="2:5" s="30" customFormat="1">
      <c r="B37" s="31" t="s">
        <v>643</v>
      </c>
      <c r="C37" s="47">
        <f>SUM(C30:C35)</f>
        <v>5.1265840227360595</v>
      </c>
      <c r="D37" s="47">
        <f>SUM(D30:D35)</f>
        <v>6.0070353125361642</v>
      </c>
    </row>
    <row r="38" spans="2:5">
      <c r="D38"/>
      <c r="E38"/>
    </row>
    <row r="39" spans="2:5">
      <c r="D39"/>
      <c r="E39"/>
    </row>
    <row r="40" spans="2:5">
      <c r="D40"/>
      <c r="E40"/>
    </row>
    <row r="41" spans="2:5">
      <c r="B41" s="173" t="s">
        <v>909</v>
      </c>
      <c r="C41" s="37"/>
      <c r="D41" s="37" t="s">
        <v>409</v>
      </c>
      <c r="E41"/>
    </row>
    <row r="42" spans="2:5">
      <c r="B42" s="69" t="s">
        <v>910</v>
      </c>
      <c r="C42" s="147" t="s">
        <v>1076</v>
      </c>
      <c r="D42" s="69">
        <f>D37*'Land requirements'!F11</f>
        <v>10.173140334893528</v>
      </c>
      <c r="E42"/>
    </row>
    <row r="43" spans="2:5">
      <c r="B43" s="47" t="s">
        <v>910</v>
      </c>
      <c r="C43" s="221" t="s">
        <v>1077</v>
      </c>
      <c r="D43" s="69">
        <f>D37</f>
        <v>6.0070353125361642</v>
      </c>
      <c r="E43"/>
    </row>
    <row r="44" spans="2:5" ht="31.5">
      <c r="B44" s="47" t="s">
        <v>911</v>
      </c>
      <c r="C44" s="221" t="s">
        <v>1078</v>
      </c>
      <c r="D44" s="69">
        <f>D42*1000/'Meat &amp; Milk '!B33</f>
        <v>3.1532008390112254</v>
      </c>
      <c r="E44"/>
    </row>
    <row r="45" spans="2:5">
      <c r="D45"/>
      <c r="E45"/>
    </row>
    <row r="46" spans="2:5">
      <c r="D46"/>
      <c r="E46"/>
    </row>
    <row r="47" spans="2:5">
      <c r="D47"/>
      <c r="E47"/>
    </row>
    <row r="48" spans="2:5">
      <c r="D48"/>
      <c r="E48"/>
    </row>
    <row r="49" spans="4:5">
      <c r="D49"/>
      <c r="E49"/>
    </row>
    <row r="50" spans="4:5">
      <c r="D50"/>
      <c r="E50"/>
    </row>
    <row r="51" spans="4:5">
      <c r="D51"/>
      <c r="E51"/>
    </row>
    <row r="52" spans="4:5">
      <c r="D52"/>
      <c r="E52"/>
    </row>
    <row r="53" spans="4:5">
      <c r="D53"/>
      <c r="E53"/>
    </row>
    <row r="54" spans="4:5">
      <c r="D54"/>
      <c r="E54"/>
    </row>
    <row r="55" spans="4:5">
      <c r="D55"/>
      <c r="E55"/>
    </row>
    <row r="56" spans="4:5">
      <c r="D56"/>
      <c r="E56"/>
    </row>
    <row r="57" spans="4:5">
      <c r="D57"/>
      <c r="E57"/>
    </row>
    <row r="58" spans="4:5">
      <c r="D58"/>
      <c r="E58"/>
    </row>
    <row r="59" spans="4:5">
      <c r="D59"/>
      <c r="E59"/>
    </row>
    <row r="60" spans="4:5">
      <c r="D60"/>
      <c r="E60"/>
    </row>
  </sheetData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topLeftCell="D16" workbookViewId="0">
      <selection activeCell="D16" sqref="D16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29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29"/>
      <c r="C3" s="774" t="s">
        <v>1100</v>
      </c>
      <c r="D3" s="775"/>
      <c r="E3" s="827"/>
      <c r="F3" s="774" t="s">
        <v>1101</v>
      </c>
      <c r="G3" s="775"/>
      <c r="H3" s="72"/>
      <c r="I3" s="774" t="s">
        <v>1099</v>
      </c>
      <c r="J3" s="928" t="s">
        <v>1102</v>
      </c>
      <c r="K3" s="775" t="s">
        <v>1112</v>
      </c>
    </row>
    <row r="4" spans="2:11">
      <c r="B4" s="429"/>
      <c r="C4" s="853"/>
      <c r="D4" s="854"/>
      <c r="E4" s="487"/>
      <c r="F4" s="853"/>
      <c r="G4" s="854"/>
      <c r="H4" s="72"/>
      <c r="I4" s="853"/>
      <c r="J4" s="926"/>
      <c r="K4" s="854"/>
    </row>
    <row r="5" spans="2:11">
      <c r="B5" s="429"/>
      <c r="C5" s="392" t="s">
        <v>1117</v>
      </c>
      <c r="D5" s="647"/>
      <c r="E5" s="902"/>
      <c r="F5" s="392"/>
      <c r="G5" s="647"/>
      <c r="H5" s="72"/>
      <c r="I5" s="1035" t="s">
        <v>1117</v>
      </c>
      <c r="J5" s="1036"/>
      <c r="K5" s="1037"/>
    </row>
    <row r="6" spans="2:11">
      <c r="B6" s="429"/>
      <c r="C6" s="402" t="s">
        <v>1118</v>
      </c>
      <c r="D6" s="674">
        <f>'Land requirements'!$F$11</f>
        <v>1.693537628064723</v>
      </c>
      <c r="E6" s="827"/>
      <c r="F6" s="402"/>
      <c r="G6" s="674"/>
      <c r="H6" s="72"/>
      <c r="I6" s="402" t="s">
        <v>1584</v>
      </c>
      <c r="J6" s="927">
        <f>IFERROR(D6/D9,0)*1000</f>
        <v>0.52491797949493779</v>
      </c>
      <c r="K6" s="1038">
        <f>IFERROR(D6/D10,0)*1000</f>
        <v>0.59923655550549593</v>
      </c>
    </row>
    <row r="7" spans="2:11">
      <c r="B7" s="429"/>
      <c r="C7" s="903"/>
      <c r="D7" s="901"/>
      <c r="E7" s="72"/>
      <c r="F7" s="892"/>
      <c r="G7" s="900"/>
      <c r="H7" s="72"/>
      <c r="I7" s="903"/>
      <c r="J7" s="1039"/>
      <c r="K7" s="1040"/>
    </row>
    <row r="8" spans="2:11">
      <c r="B8" s="429"/>
      <c r="C8" s="751" t="s">
        <v>1115</v>
      </c>
      <c r="D8" s="901"/>
      <c r="E8" s="72"/>
      <c r="F8" s="751" t="s">
        <v>1115</v>
      </c>
      <c r="G8" s="850"/>
      <c r="H8" s="72"/>
      <c r="I8" s="751" t="s">
        <v>1115</v>
      </c>
      <c r="J8" s="1039"/>
      <c r="K8" s="1040"/>
    </row>
    <row r="9" spans="2:11">
      <c r="B9" s="429"/>
      <c r="C9" s="903" t="s">
        <v>1092</v>
      </c>
      <c r="D9" s="907">
        <f>Productivity!$B$14</f>
        <v>3226.2900000000004</v>
      </c>
      <c r="E9" s="72"/>
      <c r="F9" s="903" t="s">
        <v>1119</v>
      </c>
      <c r="G9" s="907">
        <f>D9/D6</f>
        <v>1905.0595313236815</v>
      </c>
      <c r="H9" s="72"/>
      <c r="I9" s="1041" t="s">
        <v>1585</v>
      </c>
      <c r="J9" s="1039"/>
      <c r="K9" s="1040"/>
    </row>
    <row r="10" spans="2:11">
      <c r="B10" s="429"/>
      <c r="C10" s="903" t="s">
        <v>1116</v>
      </c>
      <c r="D10" s="907">
        <f>D9*(1-INPUTS!D53/100)</f>
        <v>2826.1587389910005</v>
      </c>
      <c r="E10" s="72"/>
      <c r="F10" s="903" t="s">
        <v>1430</v>
      </c>
      <c r="G10" s="907">
        <f>D10/D6</f>
        <v>1668.7900476239029</v>
      </c>
      <c r="H10" s="72"/>
      <c r="I10" s="1041" t="s">
        <v>1585</v>
      </c>
      <c r="J10" s="1039"/>
      <c r="K10" s="1040"/>
    </row>
    <row r="11" spans="2:11">
      <c r="B11" s="429"/>
      <c r="C11" s="903" t="s">
        <v>1440</v>
      </c>
      <c r="D11" s="907">
        <f>Productivity!$B$15</f>
        <v>271.44</v>
      </c>
      <c r="E11" s="72"/>
      <c r="F11" s="903" t="s">
        <v>1442</v>
      </c>
      <c r="G11" s="907">
        <f>D11/D6</f>
        <v>160.27987539325358</v>
      </c>
      <c r="H11" s="72"/>
      <c r="I11" s="1041" t="s">
        <v>1585</v>
      </c>
      <c r="J11" s="1039"/>
      <c r="K11" s="1040"/>
    </row>
    <row r="12" spans="2:11">
      <c r="B12" s="429"/>
      <c r="C12" s="903" t="s">
        <v>1441</v>
      </c>
      <c r="D12" s="907">
        <f>D11*(1-INPUTS!E53/100)</f>
        <v>237.77544117600002</v>
      </c>
      <c r="E12" s="72"/>
      <c r="F12" s="903" t="s">
        <v>1443</v>
      </c>
      <c r="G12" s="907">
        <f>D12/D6</f>
        <v>140.40162865924395</v>
      </c>
      <c r="H12" s="72"/>
      <c r="I12" s="1041" t="s">
        <v>1585</v>
      </c>
      <c r="J12" s="1039"/>
      <c r="K12" s="1040"/>
    </row>
    <row r="13" spans="2:11">
      <c r="B13" s="429"/>
      <c r="C13" s="903" t="s">
        <v>1427</v>
      </c>
      <c r="D13" s="907">
        <f>Productivity!D17</f>
        <v>189.94713000000002</v>
      </c>
      <c r="E13" s="72"/>
      <c r="F13" s="903" t="s">
        <v>1431</v>
      </c>
      <c r="G13" s="907">
        <f>D13/D6</f>
        <v>112.15997026122214</v>
      </c>
      <c r="H13" s="72"/>
      <c r="I13" s="1041" t="s">
        <v>1585</v>
      </c>
      <c r="J13" s="1039"/>
      <c r="K13" s="1040"/>
    </row>
    <row r="14" spans="2:11">
      <c r="B14" s="429"/>
      <c r="C14" s="903"/>
      <c r="D14" s="907"/>
      <c r="E14" s="848"/>
      <c r="F14" s="849"/>
      <c r="G14" s="907"/>
      <c r="H14" s="72"/>
      <c r="I14" s="903"/>
      <c r="J14" s="1039"/>
      <c r="K14" s="1040"/>
    </row>
    <row r="15" spans="2:11">
      <c r="B15" s="429"/>
      <c r="C15" s="751" t="s">
        <v>831</v>
      </c>
      <c r="D15" s="901"/>
      <c r="E15" s="848"/>
      <c r="F15" s="751" t="s">
        <v>831</v>
      </c>
      <c r="G15" s="907"/>
      <c r="H15" s="72"/>
      <c r="I15" s="751" t="s">
        <v>831</v>
      </c>
      <c r="J15" s="72"/>
      <c r="K15" s="905"/>
    </row>
    <row r="16" spans="2:11">
      <c r="B16" s="429"/>
      <c r="C16" s="849" t="s">
        <v>1058</v>
      </c>
      <c r="D16" s="909">
        <f>'Soil impacts'!$B$2</f>
        <v>8.0627391451716761</v>
      </c>
      <c r="E16" s="72"/>
      <c r="F16" s="849" t="s">
        <v>1061</v>
      </c>
      <c r="G16" s="910">
        <f>D16/D6</f>
        <v>4.7608857409240493</v>
      </c>
      <c r="H16" s="72"/>
      <c r="I16" s="849" t="s">
        <v>1091</v>
      </c>
      <c r="J16" s="906">
        <f>IFERROR(D16/D9,0)</f>
        <v>2.4990745237321119E-3</v>
      </c>
      <c r="K16" s="904">
        <f>IFERROR(D16/D10,0)</f>
        <v>2.8528967725465581E-3</v>
      </c>
    </row>
    <row r="17" spans="2:11">
      <c r="B17" s="429"/>
      <c r="C17" s="849" t="s">
        <v>1350</v>
      </c>
      <c r="D17" s="1169">
        <f>'Soil impacts'!$C$2</f>
        <v>0.4072630440484904</v>
      </c>
      <c r="E17" s="72"/>
      <c r="F17" s="1041" t="s">
        <v>1585</v>
      </c>
      <c r="G17" s="910"/>
      <c r="H17" s="72"/>
      <c r="I17" s="1041" t="s">
        <v>1585</v>
      </c>
      <c r="J17" s="906"/>
      <c r="K17" s="904"/>
    </row>
    <row r="18" spans="2:11">
      <c r="B18" s="429"/>
      <c r="C18" s="849" t="s">
        <v>1351</v>
      </c>
      <c r="D18" s="1169">
        <f>'Soil impacts'!$D$2</f>
        <v>0</v>
      </c>
      <c r="E18" s="72"/>
      <c r="F18" s="1041" t="s">
        <v>1585</v>
      </c>
      <c r="G18" s="910"/>
      <c r="H18" s="72"/>
      <c r="I18" s="1041" t="s">
        <v>1585</v>
      </c>
      <c r="J18" s="906"/>
      <c r="K18" s="904"/>
    </row>
    <row r="19" spans="2:11">
      <c r="B19" s="429"/>
      <c r="C19" s="849"/>
      <c r="D19" s="850"/>
      <c r="E19" s="72"/>
      <c r="F19" s="849"/>
      <c r="G19" s="910"/>
      <c r="H19" s="72"/>
      <c r="I19" s="849"/>
      <c r="J19" s="72"/>
      <c r="K19" s="904"/>
    </row>
    <row r="20" spans="2:11">
      <c r="B20" s="429"/>
      <c r="C20" s="751" t="s">
        <v>1059</v>
      </c>
      <c r="D20" s="901"/>
      <c r="E20" s="72"/>
      <c r="F20" s="911" t="s">
        <v>1059</v>
      </c>
      <c r="G20" s="907"/>
      <c r="H20" s="72"/>
      <c r="I20" s="751" t="s">
        <v>1059</v>
      </c>
      <c r="J20" s="848"/>
      <c r="K20" s="904"/>
    </row>
    <row r="21" spans="2:11">
      <c r="B21" s="429"/>
      <c r="C21" s="849" t="s">
        <v>1060</v>
      </c>
      <c r="D21" s="913">
        <f>'Soil impacts'!$B$3</f>
        <v>13.611134968312978</v>
      </c>
      <c r="E21" s="72"/>
      <c r="F21" s="912" t="s">
        <v>1062</v>
      </c>
      <c r="G21" s="913">
        <f>D21/D6</f>
        <v>8.0371021834731824</v>
      </c>
      <c r="H21" s="72"/>
      <c r="I21" s="908" t="s">
        <v>1095</v>
      </c>
      <c r="J21" s="848">
        <f>IFERROR(D21/D9,0)*1000</f>
        <v>4.2188194391430951</v>
      </c>
      <c r="K21" s="855">
        <f>IFERROR(D21/D10,0)*1000</f>
        <v>4.81612542867017</v>
      </c>
    </row>
    <row r="22" spans="2:11">
      <c r="B22" s="429"/>
      <c r="C22" s="849"/>
      <c r="D22" s="913"/>
      <c r="E22" s="72"/>
      <c r="F22" s="849"/>
      <c r="G22" s="907"/>
      <c r="H22" s="72"/>
      <c r="I22" s="908"/>
      <c r="J22" s="848"/>
      <c r="K22" s="855"/>
    </row>
    <row r="23" spans="2:11">
      <c r="B23" s="429"/>
      <c r="C23" s="751" t="s">
        <v>958</v>
      </c>
      <c r="D23" s="901"/>
      <c r="E23" s="72"/>
      <c r="F23" s="751" t="s">
        <v>975</v>
      </c>
      <c r="G23" s="907"/>
      <c r="H23" s="72"/>
      <c r="I23" s="751" t="s">
        <v>958</v>
      </c>
      <c r="J23" s="72"/>
      <c r="K23" s="904"/>
    </row>
    <row r="24" spans="2:11">
      <c r="B24" s="429"/>
      <c r="C24" s="849" t="s">
        <v>962</v>
      </c>
      <c r="D24" s="914">
        <f>'GHG emissions'!$D$42</f>
        <v>10.173140334893528</v>
      </c>
      <c r="E24" s="391"/>
      <c r="F24" s="849" t="s">
        <v>1120</v>
      </c>
      <c r="G24" s="914">
        <f>D24/D6</f>
        <v>6.0070353125361651</v>
      </c>
      <c r="H24" s="72"/>
      <c r="I24" s="849" t="s">
        <v>1104</v>
      </c>
      <c r="J24" s="848">
        <f>IFERROR(D24/D9,0)*1000</f>
        <v>3.1532008390112258</v>
      </c>
      <c r="K24" s="855">
        <f>IFERROR(D24/D10,0)*1000</f>
        <v>3.5996351494840515</v>
      </c>
    </row>
    <row r="25" spans="2:11">
      <c r="B25" s="429"/>
      <c r="C25" s="849"/>
      <c r="D25" s="914"/>
      <c r="E25" s="391"/>
      <c r="F25" s="849"/>
      <c r="G25" s="914"/>
      <c r="H25" s="72"/>
      <c r="I25" s="849" t="s">
        <v>1461</v>
      </c>
      <c r="J25" s="848">
        <f>IFERROR(D24/D11*1000,0)</f>
        <v>37.478412669074295</v>
      </c>
      <c r="K25" s="855">
        <f>IFERROR(D24/D12*1000,0)</f>
        <v>42.784655490822651</v>
      </c>
    </row>
    <row r="26" spans="2:11">
      <c r="B26" s="429"/>
      <c r="C26" s="751" t="s">
        <v>1471</v>
      </c>
      <c r="D26" s="914"/>
      <c r="E26" s="391"/>
      <c r="F26" s="751" t="s">
        <v>1471</v>
      </c>
      <c r="G26" s="914"/>
      <c r="H26" s="72"/>
      <c r="I26" s="849" t="s">
        <v>1460</v>
      </c>
      <c r="J26" s="848">
        <f>IFERROR(D24/D13*1000,0)</f>
        <v>53.557747015674977</v>
      </c>
      <c r="K26" s="855"/>
    </row>
    <row r="27" spans="2:11">
      <c r="B27" s="429"/>
      <c r="C27" s="318" t="s">
        <v>1586</v>
      </c>
      <c r="D27" s="1043">
        <f>Water!B14*100</f>
        <v>71.07404627049803</v>
      </c>
      <c r="E27" s="391"/>
      <c r="F27" s="849" t="s">
        <v>1473</v>
      </c>
      <c r="G27" s="914">
        <f>D28/D6</f>
        <v>995.03664778697237</v>
      </c>
      <c r="H27" s="72"/>
      <c r="I27" s="849"/>
      <c r="J27" s="848"/>
      <c r="K27" s="855"/>
    </row>
    <row r="28" spans="2:11">
      <c r="B28" s="429"/>
      <c r="C28" s="849" t="s">
        <v>1472</v>
      </c>
      <c r="D28" s="1042">
        <f>'Water Impacts'!$B$4</f>
        <v>1685.1320043306223</v>
      </c>
      <c r="E28" s="391"/>
      <c r="F28" s="849"/>
      <c r="G28" s="914"/>
      <c r="H28" s="72"/>
      <c r="I28" s="751" t="s">
        <v>1474</v>
      </c>
      <c r="J28" s="72"/>
      <c r="K28" s="850"/>
    </row>
    <row r="29" spans="2:11">
      <c r="B29" s="429"/>
      <c r="C29" s="849"/>
      <c r="D29" s="914"/>
      <c r="E29" s="72"/>
      <c r="F29" s="751" t="s">
        <v>1415</v>
      </c>
      <c r="G29" s="914"/>
      <c r="H29" s="72"/>
      <c r="I29" s="903" t="s">
        <v>1476</v>
      </c>
      <c r="J29" s="848">
        <f>IFERROR('Water Impacts'!$B$5,0)</f>
        <v>0.52231262667975353</v>
      </c>
      <c r="K29" s="855">
        <f>IFERROR('Water Impacts'!$B$5*(D9/D10),0)</f>
        <v>0.59626233342160062</v>
      </c>
    </row>
    <row r="30" spans="2:11">
      <c r="B30" s="429"/>
      <c r="C30" s="751" t="s">
        <v>1415</v>
      </c>
      <c r="D30" s="914"/>
      <c r="E30" s="72"/>
      <c r="F30" s="849" t="s">
        <v>1429</v>
      </c>
      <c r="G30" s="910">
        <f>D31/D6</f>
        <v>-8.8256976154175035E-2</v>
      </c>
      <c r="H30" s="72"/>
      <c r="I30" s="903" t="s">
        <v>1475</v>
      </c>
      <c r="J30" s="848">
        <f>IFERROR('Water Impacts'!$B$6,0)</f>
        <v>6.2081196740739104</v>
      </c>
      <c r="K30" s="855">
        <f>IFERROR('Water Impacts'!$B$6*(D9/D10),0)</f>
        <v>7.0870733999954911</v>
      </c>
    </row>
    <row r="31" spans="2:11">
      <c r="B31" s="429"/>
      <c r="C31" s="849" t="s">
        <v>962</v>
      </c>
      <c r="D31" s="913">
        <f>SOC!$G$50</f>
        <v>-0.1494665100563064</v>
      </c>
      <c r="E31" s="72"/>
      <c r="F31" s="849"/>
      <c r="G31" s="907"/>
      <c r="H31" s="72"/>
      <c r="I31" s="903" t="s">
        <v>1477</v>
      </c>
      <c r="J31" s="848">
        <f>'Water Impacts'!$B$7</f>
        <v>8.871584447370287</v>
      </c>
      <c r="K31" s="855">
        <f>'Water Impacts'!$B$7*(D9/D10)</f>
        <v>10.127635009251131</v>
      </c>
    </row>
    <row r="32" spans="2:11">
      <c r="B32" s="72"/>
      <c r="C32" s="849"/>
      <c r="D32" s="901"/>
      <c r="E32" s="72"/>
      <c r="F32" s="751" t="s">
        <v>963</v>
      </c>
      <c r="G32" s="907"/>
      <c r="H32" s="72"/>
      <c r="I32" s="751"/>
      <c r="J32" s="848"/>
      <c r="K32" s="855"/>
    </row>
    <row r="33" spans="2:11">
      <c r="B33" s="72"/>
      <c r="C33" s="751" t="s">
        <v>963</v>
      </c>
      <c r="D33" s="901"/>
      <c r="E33" s="72"/>
      <c r="F33" s="849" t="s">
        <v>1444</v>
      </c>
      <c r="G33" s="915">
        <f>D34/D6</f>
        <v>1847907.7453839709</v>
      </c>
      <c r="H33" s="72"/>
      <c r="I33" s="751" t="s">
        <v>1415</v>
      </c>
      <c r="J33" s="72"/>
      <c r="K33" s="850"/>
    </row>
    <row r="34" spans="2:11">
      <c r="B34" s="72"/>
      <c r="C34" s="849" t="s">
        <v>1432</v>
      </c>
      <c r="D34" s="907">
        <f>Productivity!C14</f>
        <v>3129501.3000000003</v>
      </c>
      <c r="E34" s="72"/>
      <c r="F34" s="849" t="s">
        <v>1445</v>
      </c>
      <c r="G34" s="915">
        <f>D35/D6</f>
        <v>352615.72586515784</v>
      </c>
      <c r="H34" s="72"/>
      <c r="I34" s="849" t="s">
        <v>1104</v>
      </c>
      <c r="J34" s="848">
        <f>IFERROR(D31*1000/D9,0)</f>
        <v>-4.632767359918246E-2</v>
      </c>
      <c r="K34" s="855">
        <f>IFERROR(D31*1000/D10,0)</f>
        <v>-5.2886806389958532E-2</v>
      </c>
    </row>
    <row r="35" spans="2:11">
      <c r="B35" s="72"/>
      <c r="C35" s="849" t="s">
        <v>1433</v>
      </c>
      <c r="D35" s="907">
        <f>Productivity!C15</f>
        <v>597168</v>
      </c>
      <c r="E35" s="72"/>
      <c r="F35" s="849" t="s">
        <v>1446</v>
      </c>
      <c r="G35" s="915">
        <f>SUM(G33:G34)</f>
        <v>2200523.4712491287</v>
      </c>
      <c r="H35" s="72"/>
      <c r="I35" s="849"/>
      <c r="J35" s="848"/>
      <c r="K35" s="850"/>
    </row>
    <row r="36" spans="2:11">
      <c r="B36" s="72"/>
      <c r="C36" s="908" t="s">
        <v>1428</v>
      </c>
      <c r="D36" s="907">
        <f>SUM(D34:D35)</f>
        <v>3726669.3000000003</v>
      </c>
      <c r="E36" s="72"/>
      <c r="F36" s="849"/>
      <c r="G36" s="915"/>
      <c r="H36" s="72"/>
      <c r="I36" s="751" t="s">
        <v>1588</v>
      </c>
      <c r="J36" s="72"/>
      <c r="K36" s="850"/>
    </row>
    <row r="37" spans="2:11">
      <c r="B37" s="72"/>
      <c r="C37" s="849"/>
      <c r="D37" s="901"/>
      <c r="E37" s="72"/>
      <c r="F37" s="849"/>
      <c r="G37" s="915"/>
      <c r="H37" s="72"/>
      <c r="I37" s="849" t="s">
        <v>1104</v>
      </c>
      <c r="J37" s="848">
        <f>J24-J34</f>
        <v>3.1995285126104083</v>
      </c>
      <c r="K37" s="855">
        <f>K24-K34</f>
        <v>3.6525219558740099</v>
      </c>
    </row>
    <row r="38" spans="2:11" ht="16.5" thickBot="1">
      <c r="B38" s="72"/>
      <c r="C38" s="849" t="s">
        <v>1434</v>
      </c>
      <c r="D38" s="907">
        <f>Productivity!F14</f>
        <v>1251.80052</v>
      </c>
      <c r="E38" s="72"/>
      <c r="F38" s="849" t="s">
        <v>1447</v>
      </c>
      <c r="G38" s="915">
        <f>D38/D6</f>
        <v>739.16309815358829</v>
      </c>
      <c r="H38" s="72"/>
      <c r="I38" s="852"/>
      <c r="J38" s="1045"/>
      <c r="K38" s="1046"/>
    </row>
    <row r="39" spans="2:11">
      <c r="B39" s="72"/>
      <c r="C39" s="849" t="s">
        <v>1435</v>
      </c>
      <c r="D39" s="907">
        <f>Productivity!F15</f>
        <v>238.8672</v>
      </c>
      <c r="E39" s="72"/>
      <c r="F39" s="849" t="s">
        <v>1448</v>
      </c>
      <c r="G39" s="915">
        <f>D39/D6</f>
        <v>141.04629034606313</v>
      </c>
      <c r="H39" s="72"/>
      <c r="I39" s="72"/>
      <c r="J39" s="851"/>
      <c r="K39" s="851"/>
    </row>
    <row r="40" spans="2:11">
      <c r="B40" s="72"/>
      <c r="C40" s="849" t="s">
        <v>1436</v>
      </c>
      <c r="D40" s="907">
        <f>SUM(D38:D39)</f>
        <v>1490.6677199999999</v>
      </c>
      <c r="E40" s="72"/>
      <c r="F40" s="849" t="s">
        <v>1114</v>
      </c>
      <c r="G40" s="915">
        <f>SUM(G38:G39)</f>
        <v>880.20938849965137</v>
      </c>
      <c r="H40" s="72"/>
      <c r="I40" s="72"/>
      <c r="J40" s="851"/>
      <c r="K40" s="851"/>
    </row>
    <row r="41" spans="2:11" ht="31.5">
      <c r="B41" s="72"/>
      <c r="C41" s="849"/>
      <c r="D41" s="907"/>
      <c r="E41" s="72"/>
      <c r="F41" s="1044" t="s">
        <v>1587</v>
      </c>
      <c r="G41" s="907">
        <f>G40/365</f>
        <v>2.4115325712319216</v>
      </c>
      <c r="H41" s="72"/>
      <c r="I41" s="72"/>
      <c r="J41" s="851"/>
      <c r="K41" s="851"/>
    </row>
    <row r="42" spans="2:11">
      <c r="B42" s="72"/>
      <c r="C42" s="849"/>
      <c r="D42" s="907"/>
      <c r="E42" s="72"/>
      <c r="F42" s="1044"/>
      <c r="G42" s="907"/>
      <c r="H42" s="72"/>
      <c r="I42" s="72"/>
      <c r="J42" s="851"/>
      <c r="K42" s="851"/>
    </row>
    <row r="43" spans="2:11">
      <c r="B43" s="72"/>
      <c r="C43" s="751" t="s">
        <v>1315</v>
      </c>
      <c r="D43" s="907"/>
      <c r="E43" s="72"/>
      <c r="F43" s="751" t="s">
        <v>1315</v>
      </c>
      <c r="G43" s="907"/>
      <c r="H43" s="72"/>
      <c r="I43" s="72"/>
      <c r="J43" s="72"/>
      <c r="K43" s="72"/>
    </row>
    <row r="44" spans="2:11">
      <c r="B44" s="72"/>
      <c r="C44" s="849" t="s">
        <v>1589</v>
      </c>
      <c r="D44" s="907">
        <f>'Economics '!C3</f>
        <v>1976.4014824988758</v>
      </c>
      <c r="E44" s="72"/>
      <c r="F44" s="1044" t="s">
        <v>1590</v>
      </c>
      <c r="G44" s="907">
        <f>'Economics '!C4</f>
        <v>1167.0254322942876</v>
      </c>
      <c r="H44" s="72"/>
      <c r="I44" s="72"/>
      <c r="J44" s="72"/>
      <c r="K44" s="72"/>
    </row>
    <row r="45" spans="2:11" ht="16.5" thickBot="1">
      <c r="B45" s="72"/>
      <c r="C45" s="852" t="s">
        <v>1690</v>
      </c>
      <c r="D45" s="916" t="e">
        <f ca="1">INPUTS!K169</f>
        <v>#REF!</v>
      </c>
      <c r="E45" s="72"/>
      <c r="F45" s="852" t="s">
        <v>1691</v>
      </c>
      <c r="G45" s="916" t="e">
        <f ca="1">D45/D6</f>
        <v>#REF!</v>
      </c>
      <c r="H45" s="72"/>
      <c r="I45" s="72"/>
      <c r="J45" s="72"/>
      <c r="K45" s="72"/>
    </row>
    <row r="46" spans="2:11">
      <c r="B46" s="72"/>
      <c r="C46" s="72"/>
      <c r="D46" s="1034"/>
      <c r="E46" s="72"/>
      <c r="F46" s="778"/>
      <c r="G46" s="1034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74" t="s">
        <v>1478</v>
      </c>
      <c r="D48" s="928"/>
      <c r="E48" s="775"/>
      <c r="F48" s="72"/>
      <c r="G48" s="72"/>
      <c r="H48" s="72"/>
      <c r="I48" s="72"/>
      <c r="J48" s="72"/>
      <c r="K48" s="72"/>
    </row>
    <row r="49" spans="2:11">
      <c r="B49" s="72"/>
      <c r="C49" s="853"/>
      <c r="D49" s="926"/>
      <c r="E49" s="854"/>
      <c r="F49" s="72"/>
      <c r="G49" s="72"/>
      <c r="H49" s="72"/>
      <c r="I49" s="72"/>
      <c r="J49" s="72"/>
      <c r="K49" s="72"/>
    </row>
    <row r="50" spans="2:11">
      <c r="B50" s="72"/>
      <c r="C50" s="751" t="str">
        <f>'Water Impacts'!A9</f>
        <v>Water use per crop (m3)</v>
      </c>
      <c r="D50" s="886" t="str">
        <f>'Water Impacts'!B9</f>
        <v>feed</v>
      </c>
      <c r="E50" s="887" t="s">
        <v>1426</v>
      </c>
      <c r="F50" s="72"/>
      <c r="G50" s="72"/>
      <c r="H50" s="72"/>
      <c r="I50" s="72"/>
      <c r="J50" s="72"/>
      <c r="K50" s="72"/>
    </row>
    <row r="51" spans="2:11">
      <c r="B51" s="72"/>
      <c r="C51" s="849" t="str">
        <f>'Water Impacts'!A10</f>
        <v>Concentrate (commercial)</v>
      </c>
      <c r="D51" s="1034">
        <f>'Water Impacts'!B10</f>
        <v>0</v>
      </c>
      <c r="E51" s="1040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88" t="str">
        <f>'Water Impacts'!A11</f>
        <v>Pennisetum purpureum - forage</v>
      </c>
      <c r="D52" s="889">
        <f>'Water Impacts'!B11</f>
        <v>40.078625728381425</v>
      </c>
      <c r="E52" s="890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88" t="str">
        <f>'Water Impacts'!A12</f>
        <v>Rhodes grass (Chloris gayana) - forage</v>
      </c>
      <c r="D53" s="889">
        <f>'Water Impacts'!B12</f>
        <v>265.1813752326907</v>
      </c>
      <c r="E53" s="890">
        <f>'Water Impacts'!C12</f>
        <v>0</v>
      </c>
      <c r="F53" s="72"/>
      <c r="G53" s="72"/>
      <c r="H53" s="72"/>
      <c r="I53" s="72"/>
      <c r="J53" s="72"/>
      <c r="K53" s="72"/>
    </row>
    <row r="54" spans="2:11">
      <c r="B54" s="72"/>
      <c r="C54" s="888" t="str">
        <f>'Water Impacts'!A13</f>
        <v>Guatemala (Tripsacum andersonii) - forage</v>
      </c>
      <c r="D54" s="889">
        <f>'Water Impacts'!B13</f>
        <v>86.097905505015333</v>
      </c>
      <c r="E54" s="890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88" t="str">
        <f>'Water Impacts'!A14</f>
        <v>Maize (Zea mays) - stover</v>
      </c>
      <c r="D55" s="889">
        <f>'Water Impacts'!B14</f>
        <v>532.78259316784329</v>
      </c>
      <c r="E55" s="890">
        <f>'Water Impacts'!C14</f>
        <v>330.37417478148382</v>
      </c>
      <c r="F55" s="72"/>
      <c r="G55" s="72"/>
      <c r="H55" s="72"/>
      <c r="I55" s="72"/>
      <c r="J55" s="72"/>
      <c r="K55" s="72"/>
    </row>
    <row r="56" spans="2:11">
      <c r="B56" s="72"/>
      <c r="C56" s="888" t="str">
        <f>'Water Impacts'!A15</f>
        <v xml:space="preserve">Naturally occuring pasture - green fodder </v>
      </c>
      <c r="D56" s="889">
        <f>'Water Impacts'!B15</f>
        <v>0</v>
      </c>
      <c r="E56" s="890">
        <f>'Water Impacts'!C15</f>
        <v>430.61732991520779</v>
      </c>
      <c r="F56" s="72"/>
      <c r="G56" s="72"/>
      <c r="H56" s="72"/>
      <c r="I56" s="72"/>
      <c r="J56" s="72"/>
      <c r="K56" s="72"/>
    </row>
    <row r="57" spans="2:11">
      <c r="B57" s="72"/>
      <c r="C57" s="888" t="str">
        <f>'Water Impacts'!A16</f>
        <v>N/A</v>
      </c>
      <c r="D57" s="889">
        <f>'Water Impacts'!B16</f>
        <v>0</v>
      </c>
      <c r="E57" s="890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88" t="str">
        <f>'Water Impacts'!A17</f>
        <v>total</v>
      </c>
      <c r="D58" s="889">
        <f>'Water Impacts'!B17</f>
        <v>924.14049963393074</v>
      </c>
      <c r="E58" s="890">
        <f>'Water Impacts'!C17</f>
        <v>760.99150469669166</v>
      </c>
      <c r="F58" s="72"/>
      <c r="G58" s="72"/>
      <c r="H58" s="72"/>
      <c r="I58" s="72"/>
      <c r="J58" s="72"/>
      <c r="K58" s="72"/>
    </row>
    <row r="59" spans="2:11">
      <c r="B59" s="72"/>
      <c r="C59" s="606"/>
      <c r="D59" s="534"/>
      <c r="E59" s="891"/>
      <c r="F59" s="72"/>
      <c r="G59" s="72"/>
      <c r="H59" s="72"/>
      <c r="I59" s="72"/>
      <c r="J59" s="72"/>
      <c r="K59" s="72"/>
    </row>
    <row r="60" spans="2:11">
      <c r="B60" s="72"/>
      <c r="C60" s="606"/>
      <c r="D60" s="534"/>
      <c r="E60" s="891"/>
      <c r="F60" s="72"/>
      <c r="G60" s="72"/>
      <c r="H60" s="72"/>
      <c r="I60" s="72"/>
      <c r="J60" s="72"/>
      <c r="K60" s="72"/>
    </row>
    <row r="61" spans="2:11">
      <c r="B61" s="72"/>
      <c r="C61" s="892" t="s">
        <v>1372</v>
      </c>
      <c r="D61" s="886" t="str">
        <f>D50</f>
        <v>feed</v>
      </c>
      <c r="E61" s="887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88" t="str">
        <f t="shared" ref="C62:C69" si="0">C51</f>
        <v>Concentrate (commercial)</v>
      </c>
      <c r="D62" s="893">
        <f>'Soil impacts'!G9</f>
        <v>0</v>
      </c>
      <c r="E62" s="894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88" t="str">
        <f t="shared" si="0"/>
        <v>Pennisetum purpureum - forage</v>
      </c>
      <c r="D63" s="893">
        <f>'Soil impacts'!G10</f>
        <v>9.4420861377832779</v>
      </c>
      <c r="E63" s="894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88" t="str">
        <f t="shared" si="0"/>
        <v>Rhodes grass (Chloris gayana) - forage</v>
      </c>
      <c r="D64" s="893">
        <f>'Soil impacts'!G11</f>
        <v>-2.1625377475568897</v>
      </c>
      <c r="E64" s="894">
        <f>'Soil impacts'!I11</f>
        <v>0</v>
      </c>
      <c r="F64" s="72"/>
      <c r="G64" s="72"/>
      <c r="H64" s="72"/>
      <c r="I64" s="72"/>
      <c r="J64" s="72"/>
      <c r="K64" s="72"/>
    </row>
    <row r="65" spans="2:11">
      <c r="B65" s="72"/>
      <c r="C65" s="888" t="str">
        <f t="shared" si="0"/>
        <v>Guatemala (Tripsacum andersonii) - forage</v>
      </c>
      <c r="D65" s="893">
        <f>'Soil impacts'!G12</f>
        <v>5.2715146474138663</v>
      </c>
      <c r="E65" s="894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88" t="str">
        <f t="shared" si="0"/>
        <v>Maize (Zea mays) - stover</v>
      </c>
      <c r="D66" s="893">
        <f>'Soil impacts'!G13</f>
        <v>23.750106000966991</v>
      </c>
      <c r="E66" s="894">
        <f>'Soil impacts'!I13</f>
        <v>12.413450612782324</v>
      </c>
      <c r="F66" s="72"/>
      <c r="G66" s="72"/>
      <c r="H66" s="72"/>
      <c r="I66" s="72"/>
      <c r="J66" s="72"/>
      <c r="K66" s="72"/>
    </row>
    <row r="67" spans="2:11">
      <c r="B67" s="72"/>
      <c r="C67" s="888" t="str">
        <f t="shared" si="0"/>
        <v xml:space="preserve">Naturally occuring pasture - green fodder </v>
      </c>
      <c r="D67" s="893">
        <f>'Soil impacts'!G14</f>
        <v>-28.238429893435566</v>
      </c>
      <c r="E67" s="894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88" t="str">
        <f t="shared" si="0"/>
        <v>N/A</v>
      </c>
      <c r="D68" s="893">
        <f>'Soil impacts'!G15</f>
        <v>0</v>
      </c>
      <c r="E68" s="894">
        <f>'Soil impacts'!I15</f>
        <v>0</v>
      </c>
      <c r="F68" s="72"/>
      <c r="G68" s="72"/>
      <c r="H68" s="72"/>
      <c r="I68" s="72"/>
      <c r="J68" s="72"/>
      <c r="K68" s="72"/>
    </row>
    <row r="69" spans="2:11">
      <c r="B69" s="72"/>
      <c r="C69" s="888" t="str">
        <f t="shared" si="0"/>
        <v>total</v>
      </c>
      <c r="D69" s="893">
        <f>'Soil impacts'!G16</f>
        <v>8.0627391451716761</v>
      </c>
      <c r="E69" s="894">
        <f>'Soil impacts'!I16</f>
        <v>12.413450612782324</v>
      </c>
      <c r="F69" s="72"/>
      <c r="G69" s="72"/>
      <c r="H69" s="72"/>
      <c r="I69" s="72"/>
      <c r="J69" s="72"/>
      <c r="K69" s="72"/>
    </row>
    <row r="70" spans="2:11">
      <c r="B70" s="72"/>
      <c r="C70" s="606"/>
      <c r="D70" s="429"/>
      <c r="E70" s="341"/>
      <c r="F70" s="72"/>
      <c r="G70" s="72"/>
      <c r="H70" s="72"/>
      <c r="I70" s="72"/>
      <c r="J70" s="72"/>
      <c r="K70" s="72"/>
    </row>
    <row r="71" spans="2:11">
      <c r="B71" s="72"/>
      <c r="C71" s="892" t="s">
        <v>1373</v>
      </c>
      <c r="D71" s="895" t="s">
        <v>1358</v>
      </c>
      <c r="E71" s="896" t="s">
        <v>1426</v>
      </c>
      <c r="F71" s="72"/>
      <c r="G71" s="72"/>
      <c r="H71" s="72"/>
      <c r="I71" s="72"/>
      <c r="J71" s="72"/>
      <c r="K71" s="72"/>
    </row>
    <row r="72" spans="2:11">
      <c r="B72" s="72"/>
      <c r="C72" s="888" t="str">
        <f t="shared" ref="C72:C79" si="1">C62</f>
        <v>Concentrate (commercial)</v>
      </c>
      <c r="D72" s="893">
        <f>'Land requirements'!F4</f>
        <v>0</v>
      </c>
      <c r="E72" s="894">
        <f>SUM('Land Requirement '!L21+'Land Requirement '!M21)</f>
        <v>0</v>
      </c>
      <c r="F72" s="72"/>
      <c r="G72" s="72"/>
      <c r="H72" s="72"/>
      <c r="I72" s="72"/>
      <c r="J72" s="72"/>
      <c r="K72" s="72"/>
    </row>
    <row r="73" spans="2:11">
      <c r="B73" s="72"/>
      <c r="C73" s="888" t="str">
        <f t="shared" si="1"/>
        <v>Pennisetum purpureum - forage</v>
      </c>
      <c r="D73" s="893">
        <f>'Land requirements'!F5</f>
        <v>2.9946669286461836E-2</v>
      </c>
      <c r="E73" s="894">
        <f>SUM('Land Requirement '!AB21+'Land Requirement '!AC21)</f>
        <v>0</v>
      </c>
      <c r="F73" s="72"/>
      <c r="G73" s="72"/>
      <c r="H73" s="72"/>
      <c r="I73" s="72"/>
      <c r="J73" s="72"/>
      <c r="K73" s="72"/>
    </row>
    <row r="74" spans="2:11">
      <c r="B74" s="72"/>
      <c r="C74" s="888" t="str">
        <f t="shared" si="1"/>
        <v>Rhodes grass (Chloris gayana) - forage</v>
      </c>
      <c r="D74" s="893">
        <f>'Land requirements'!F6</f>
        <v>0.19814299519254597</v>
      </c>
      <c r="E74" s="894">
        <f>SUM('Land Requirement '!AR21+'Land Requirement '!AS21)</f>
        <v>0</v>
      </c>
      <c r="F74" s="72"/>
      <c r="G74" s="72"/>
      <c r="H74" s="72"/>
      <c r="I74" s="72"/>
      <c r="J74" s="72"/>
      <c r="K74" s="72"/>
    </row>
    <row r="75" spans="2:11">
      <c r="B75" s="72"/>
      <c r="C75" s="888" t="str">
        <f t="shared" si="1"/>
        <v>Guatemala (Tripsacum andersonii) - forage</v>
      </c>
      <c r="D75" s="893">
        <f>'Land requirements'!F7</f>
        <v>6.4332183440858282E-2</v>
      </c>
      <c r="E75" s="894">
        <f>SUM('Land Requirement '!BH21+'Land Requirement '!BI21)</f>
        <v>0</v>
      </c>
      <c r="F75" s="72"/>
      <c r="G75" s="72"/>
      <c r="H75" s="72"/>
      <c r="I75" s="72"/>
      <c r="J75" s="72"/>
      <c r="K75" s="72"/>
    </row>
    <row r="76" spans="2:11">
      <c r="B76" s="72"/>
      <c r="C76" s="888" t="str">
        <f t="shared" si="1"/>
        <v>Maize (Zea mays) - stover</v>
      </c>
      <c r="D76" s="893">
        <f>'Land requirements'!F8</f>
        <v>0.90954348572110355</v>
      </c>
      <c r="E76" s="894">
        <f>SUM('Land Requirement '!BZ21+'Land Requirement '!CA21)</f>
        <v>0.13633841388449541</v>
      </c>
      <c r="F76" s="72"/>
      <c r="G76" s="72"/>
      <c r="H76" s="72"/>
      <c r="I76" s="72"/>
      <c r="J76" s="72"/>
      <c r="K76" s="72"/>
    </row>
    <row r="77" spans="2:11">
      <c r="B77" s="72"/>
      <c r="C77" s="888" t="str">
        <f t="shared" si="1"/>
        <v xml:space="preserve">Naturally occuring pasture - green fodder </v>
      </c>
      <c r="D77" s="893">
        <f>'Land requirements'!F9</f>
        <v>0.49157229442375316</v>
      </c>
      <c r="E77" s="894">
        <f>SUM('Land Requirement '!CP21+'Land Requirement '!CQ21)</f>
        <v>0.34615565137444737</v>
      </c>
      <c r="F77" s="72"/>
      <c r="G77" s="72"/>
      <c r="H77" s="72"/>
      <c r="I77" s="72"/>
      <c r="J77" s="72"/>
      <c r="K77" s="72"/>
    </row>
    <row r="78" spans="2:11">
      <c r="B78" s="72"/>
      <c r="C78" s="888" t="str">
        <f t="shared" si="1"/>
        <v>N/A</v>
      </c>
      <c r="D78" s="893">
        <f>'Land requirements'!F10</f>
        <v>0</v>
      </c>
      <c r="E78" s="894">
        <f>SUM('Land Requirement '!DF21+'Land Requirement '!DG21)</f>
        <v>0</v>
      </c>
      <c r="F78" s="72"/>
      <c r="G78" s="72"/>
      <c r="H78" s="72"/>
      <c r="I78" s="72"/>
      <c r="J78" s="72"/>
      <c r="K78" s="72"/>
    </row>
    <row r="79" spans="2:11" ht="16.5" thickBot="1">
      <c r="C79" s="897" t="str">
        <f t="shared" si="1"/>
        <v>total</v>
      </c>
      <c r="D79" s="898">
        <f>SUM(D72:D78)</f>
        <v>1.693537628064723</v>
      </c>
      <c r="E79" s="899">
        <f>SUM(E72:E78)</f>
        <v>0.48249406525894278</v>
      </c>
      <c r="F79" s="72"/>
      <c r="G79" s="72"/>
      <c r="H79" s="72"/>
      <c r="I79" s="72"/>
      <c r="J79" s="72"/>
      <c r="K79" s="72"/>
    </row>
    <row r="80" spans="2:11">
      <c r="C80" s="429"/>
      <c r="D80" s="429"/>
      <c r="E80" s="429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23"/>
  <sheetViews>
    <sheetView workbookViewId="0">
      <selection activeCell="G9" sqref="G9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29"/>
      <c r="C1" s="117"/>
      <c r="D1" s="429"/>
      <c r="E1" s="429"/>
      <c r="F1" s="317"/>
      <c r="G1" s="1103"/>
      <c r="H1" s="1104"/>
    </row>
    <row r="2" spans="1:8" ht="31.5">
      <c r="A2" s="823" t="s">
        <v>763</v>
      </c>
      <c r="B2" s="434" t="s">
        <v>798</v>
      </c>
      <c r="C2" s="430" t="s">
        <v>795</v>
      </c>
      <c r="D2" s="365">
        <v>1400</v>
      </c>
      <c r="G2" s="1103"/>
      <c r="H2" s="1104"/>
    </row>
    <row r="3" spans="1:8">
      <c r="A3" s="824"/>
      <c r="B3" s="34" t="s">
        <v>997</v>
      </c>
      <c r="C3" s="91" t="s">
        <v>1064</v>
      </c>
      <c r="D3" s="675">
        <v>7</v>
      </c>
      <c r="G3" s="1103"/>
      <c r="H3" s="1104"/>
    </row>
    <row r="4" spans="1:8">
      <c r="A4" s="824"/>
      <c r="B4" s="24" t="s">
        <v>800</v>
      </c>
      <c r="C4" s="27" t="s">
        <v>796</v>
      </c>
      <c r="D4" s="675" t="s">
        <v>853</v>
      </c>
      <c r="G4" s="1103"/>
      <c r="H4" s="1104"/>
    </row>
    <row r="5" spans="1:8">
      <c r="A5" s="824"/>
      <c r="B5" s="24" t="s">
        <v>799</v>
      </c>
      <c r="C5" s="27" t="s">
        <v>797</v>
      </c>
      <c r="D5" s="675">
        <v>0.3</v>
      </c>
      <c r="G5" s="1103"/>
      <c r="H5" s="1104"/>
    </row>
    <row r="6" spans="1:8">
      <c r="A6" s="824"/>
      <c r="B6" s="24" t="s">
        <v>801</v>
      </c>
      <c r="C6" s="27" t="s">
        <v>797</v>
      </c>
      <c r="D6" s="675">
        <v>1.3</v>
      </c>
      <c r="G6" s="1103" t="s">
        <v>927</v>
      </c>
      <c r="H6" s="1104"/>
    </row>
    <row r="7" spans="1:8">
      <c r="A7" s="824"/>
      <c r="B7" s="24" t="s">
        <v>883</v>
      </c>
      <c r="C7" s="27" t="s">
        <v>83</v>
      </c>
      <c r="D7" s="367">
        <v>34</v>
      </c>
      <c r="G7" s="1103"/>
      <c r="H7" s="1104"/>
    </row>
    <row r="8" spans="1:8">
      <c r="A8" s="824"/>
      <c r="B8" s="435" t="s">
        <v>1063</v>
      </c>
      <c r="C8" s="166" t="s">
        <v>888</v>
      </c>
      <c r="D8" s="367">
        <v>1.5</v>
      </c>
      <c r="G8" s="1103"/>
      <c r="H8" s="1104"/>
    </row>
    <row r="9" spans="1:8" ht="16.5" thickBot="1">
      <c r="A9" s="825"/>
      <c r="B9" s="436" t="s">
        <v>1065</v>
      </c>
      <c r="C9" s="245" t="s">
        <v>891</v>
      </c>
      <c r="D9" s="675">
        <v>2</v>
      </c>
      <c r="G9" s="1103"/>
      <c r="H9" s="1104"/>
    </row>
    <row r="10" spans="1:8" ht="19.5" thickBot="1">
      <c r="B10" s="698" t="s">
        <v>1282</v>
      </c>
      <c r="C10" s="699" t="s">
        <v>1283</v>
      </c>
      <c r="D10" s="675">
        <v>1460</v>
      </c>
      <c r="G10" s="1104"/>
      <c r="H10" s="1104"/>
    </row>
    <row r="12" spans="1:8" ht="16.5" thickBot="1"/>
    <row r="13" spans="1:8" ht="30">
      <c r="A13" s="1104"/>
      <c r="B13" s="1105"/>
      <c r="C13" s="1439"/>
      <c r="D13" s="1106" t="s">
        <v>1374</v>
      </c>
      <c r="E13" s="1107" t="s">
        <v>1375</v>
      </c>
      <c r="F13" s="1107" t="s">
        <v>668</v>
      </c>
      <c r="G13" s="1108" t="s">
        <v>706</v>
      </c>
    </row>
    <row r="14" spans="1:8" ht="30">
      <c r="A14" s="1104"/>
      <c r="B14" s="1105"/>
      <c r="C14" s="1440"/>
      <c r="D14" s="800"/>
      <c r="E14" s="800" t="s">
        <v>1376</v>
      </c>
      <c r="F14" s="800" t="s">
        <v>668</v>
      </c>
      <c r="G14" s="801" t="s">
        <v>715</v>
      </c>
    </row>
    <row r="15" spans="1:8" ht="45">
      <c r="A15" s="1104"/>
      <c r="B15" s="1105"/>
      <c r="C15" s="1440"/>
      <c r="D15" s="800"/>
      <c r="E15" s="800" t="s">
        <v>1377</v>
      </c>
      <c r="F15" s="800" t="s">
        <v>668</v>
      </c>
      <c r="G15" s="801" t="s">
        <v>725</v>
      </c>
    </row>
    <row r="16" spans="1:8" ht="30">
      <c r="A16" s="1104"/>
      <c r="B16" s="1105"/>
      <c r="C16" s="1440"/>
      <c r="D16" s="800" t="s">
        <v>1378</v>
      </c>
      <c r="E16" s="800" t="s">
        <v>1379</v>
      </c>
      <c r="F16" s="800" t="s">
        <v>598</v>
      </c>
      <c r="G16" s="801" t="s">
        <v>738</v>
      </c>
    </row>
    <row r="17" spans="1:7" ht="90">
      <c r="A17" s="1104"/>
      <c r="B17" s="1105"/>
      <c r="C17" s="1440"/>
      <c r="D17" s="800"/>
      <c r="E17" s="800" t="s">
        <v>1380</v>
      </c>
      <c r="F17" s="800" t="s">
        <v>668</v>
      </c>
      <c r="G17" s="801" t="s">
        <v>744</v>
      </c>
    </row>
    <row r="18" spans="1:7" ht="45">
      <c r="A18" s="1104"/>
      <c r="B18" s="1105"/>
      <c r="C18" s="1440"/>
      <c r="D18" s="802" t="s">
        <v>1381</v>
      </c>
      <c r="E18" s="802" t="s">
        <v>1382</v>
      </c>
      <c r="F18" s="802" t="s">
        <v>126</v>
      </c>
      <c r="G18" s="801">
        <v>0</v>
      </c>
    </row>
    <row r="19" spans="1:7" ht="45.75" thickBot="1">
      <c r="A19" s="1104"/>
      <c r="B19" s="1105"/>
      <c r="C19" s="1441"/>
      <c r="D19" s="803" t="s">
        <v>1383</v>
      </c>
      <c r="E19" s="803" t="s">
        <v>1384</v>
      </c>
      <c r="F19" s="803" t="s">
        <v>1228</v>
      </c>
      <c r="G19" s="821">
        <v>0</v>
      </c>
    </row>
    <row r="20" spans="1:7">
      <c r="A20" s="1104"/>
      <c r="B20" s="1104"/>
    </row>
    <row r="21" spans="1:7">
      <c r="A21" s="1104"/>
      <c r="B21" s="1104"/>
    </row>
    <row r="22" spans="1:7">
      <c r="A22" s="1104"/>
      <c r="B22" s="1104"/>
    </row>
    <row r="23" spans="1:7">
      <c r="A23" s="1104"/>
      <c r="B23" s="1104"/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parameters'!$D$45:$D$52</xm:f>
          </x14:formula1>
          <xm:sqref>G16</xm:sqref>
        </x14:dataValidation>
        <x14:dataValidation type="list" allowBlank="1" showInputMessage="1" showErrorMessage="1">
          <x14:formula1>
            <xm:f>'SOC parameters'!$D$53:$D$55</xm:f>
          </x14:formula1>
          <xm:sqref>G17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AZ137"/>
  <sheetViews>
    <sheetView topLeftCell="A19" workbookViewId="0">
      <pane xSplit="1" topLeftCell="B1" activePane="topRight" state="frozen"/>
      <selection pane="topRight" activeCell="AC24" sqref="AC24"/>
    </sheetView>
  </sheetViews>
  <sheetFormatPr defaultColWidth="8.875" defaultRowHeight="15.75"/>
  <cols>
    <col min="1" max="1" width="30.375" customWidth="1"/>
    <col min="2" max="3" width="13.25" customWidth="1"/>
    <col min="4" max="4" width="13.25" style="1155" customWidth="1"/>
    <col min="5" max="6" width="10.25" customWidth="1"/>
    <col min="7" max="7" width="11.25" style="862" customWidth="1"/>
    <col min="8" max="8" width="9.5" style="862" customWidth="1"/>
    <col min="9" max="9" width="14" style="862" customWidth="1"/>
    <col min="10" max="11" width="12.375" style="862" customWidth="1"/>
    <col min="12" max="12" width="12.25" style="862" customWidth="1"/>
    <col min="13" max="13" width="12.625" style="862" customWidth="1"/>
    <col min="14" max="14" width="10.5" style="862" customWidth="1"/>
    <col min="15" max="15" width="8.5" style="862" customWidth="1"/>
    <col min="16" max="16" width="7.875" style="862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7.87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41" max="41" width="17.125" bestFit="1" customWidth="1"/>
  </cols>
  <sheetData>
    <row r="1" spans="1:36" s="1280" customFormat="1">
      <c r="G1" s="862"/>
      <c r="H1" s="862"/>
      <c r="I1" s="862"/>
      <c r="J1" s="862"/>
      <c r="K1" s="862"/>
      <c r="L1" s="862"/>
      <c r="M1" s="862"/>
      <c r="N1" s="862"/>
      <c r="O1" s="862"/>
      <c r="P1" s="862"/>
    </row>
    <row r="2" spans="1:36" s="1280" customFormat="1">
      <c r="A2" s="1280" t="str">
        <f>INPUTS!$C21</f>
        <v>Cows (local)</v>
      </c>
      <c r="B2" s="1280">
        <f t="shared" ref="B2:B15" si="0">IFERROR(VLOOKUP($A2,$A$20:$AJ$34,2,FALSE),0)</f>
        <v>0</v>
      </c>
      <c r="C2" s="1287">
        <f t="shared" ref="C2:C15" si="1">IFERROR(VLOOKUP($A2,$A$20:$AJ$34,3,FALSE),0)</f>
        <v>0</v>
      </c>
      <c r="D2" s="1287">
        <f t="shared" ref="D2:D15" si="2">IFERROR(VLOOKUP($A2,$A$20:$AJ$34,4,FALSE),0)</f>
        <v>0</v>
      </c>
      <c r="E2" s="1287">
        <f t="shared" ref="E2:E15" si="3">IFERROR(VLOOKUP($A2,$A$20:$AJ$34,5,FALSE),0)</f>
        <v>0</v>
      </c>
      <c r="F2" s="1287">
        <f t="shared" ref="F2:F15" si="4">IFERROR(VLOOKUP($A2,$A$20:$AJ$34,6,FALSE),0)</f>
        <v>0</v>
      </c>
      <c r="G2" s="1287">
        <f t="shared" ref="G2:G15" si="5">IFERROR(VLOOKUP($A2,$A$20:$AJ$34,7,FALSE),0)</f>
        <v>0</v>
      </c>
      <c r="H2" s="671">
        <f t="shared" ref="H2:H15" si="6">IFERROR(VLOOKUP($A2,$A$20:$AJ$34,8,FALSE),0)</f>
        <v>0</v>
      </c>
      <c r="I2" s="1287">
        <f t="shared" ref="I2:I15" si="7">IFERROR(VLOOKUP($A2,$A$20:$AJ$34,9,FALSE),0)</f>
        <v>0</v>
      </c>
      <c r="J2" s="671">
        <f t="shared" ref="J2:J15" si="8">IFERROR(VLOOKUP($A2,$A$20:$AJ$34,10,FALSE),0)</f>
        <v>0</v>
      </c>
      <c r="K2" s="671">
        <f t="shared" ref="K2:K15" si="9">IFERROR(VLOOKUP($A2,$A$20:$AJ$34,11,FALSE),0)</f>
        <v>0</v>
      </c>
      <c r="L2" s="1287">
        <f t="shared" ref="L2:L15" si="10">IFERROR(VLOOKUP($A2,$A$20:$AJ$34,12,FALSE),0)</f>
        <v>0</v>
      </c>
      <c r="M2" s="1287">
        <f t="shared" ref="M2:M15" si="11">IFERROR(VLOOKUP($A2,$A$20:$AJ$34,13,FALSE),0)</f>
        <v>0</v>
      </c>
      <c r="N2" s="39">
        <f t="shared" ref="N2:N15" si="12">IFERROR(VLOOKUP($A2,$A$20:$AJ$34,14,FALSE),0)</f>
        <v>0</v>
      </c>
      <c r="O2" s="1287">
        <f t="shared" ref="O2:O15" si="13">IFERROR(VLOOKUP($A2,$A$20:$AJ$34,15,FALSE),0)</f>
        <v>0</v>
      </c>
      <c r="P2" s="39">
        <f t="shared" ref="P2:P15" si="14">IFERROR(VLOOKUP($A2,$A$20:$AJ$34,16,FALSE),0)</f>
        <v>0</v>
      </c>
      <c r="Q2" s="39">
        <f t="shared" ref="Q2:Q15" si="15">IFERROR(VLOOKUP($A2,$A$20:$AJ$34,17,FALSE),0)</f>
        <v>0</v>
      </c>
      <c r="R2" s="1287">
        <f t="shared" ref="R2:R15" si="16">IFERROR(VLOOKUP($A2,$A$20:$AJ$34,18,FALSE),0)</f>
        <v>0</v>
      </c>
      <c r="S2" s="1287">
        <f t="shared" ref="S2:S15" si="17">IFERROR(VLOOKUP($A2,$A$20:$AJ$34,19,FALSE),0)</f>
        <v>0</v>
      </c>
      <c r="T2" s="1287">
        <f t="shared" ref="T2:T15" si="18">IFERROR(VLOOKUP($A2,$A$20:$AJ$34,20,FALSE),0)</f>
        <v>0</v>
      </c>
      <c r="U2" s="1287">
        <f t="shared" ref="U2:U15" si="19">IFERROR(VLOOKUP($A2,$A$20:$AJ$34,21,FALSE),0)</f>
        <v>0</v>
      </c>
      <c r="V2" s="1287">
        <f t="shared" ref="V2:V15" si="20">IFERROR(VLOOKUP($A2,$A$20:$AJ$34,22,FALSE),0)</f>
        <v>0</v>
      </c>
      <c r="W2" s="1287">
        <f t="shared" ref="W2:W15" si="21">IFERROR(VLOOKUP($A2,$A$20:$AJ$34,23,FALSE),0)</f>
        <v>0</v>
      </c>
      <c r="X2" s="1287">
        <f t="shared" ref="X2:X15" si="22">IFERROR(VLOOKUP($A2,$A$20:$AJ$34,24,FALSE),0)</f>
        <v>0</v>
      </c>
      <c r="Y2" s="1287">
        <f t="shared" ref="Y2:Y15" si="23">IFERROR(VLOOKUP($A2,$A$20:$AJ$34,25,FALSE),0)</f>
        <v>0</v>
      </c>
      <c r="Z2" s="1287">
        <f t="shared" ref="Z2:Z15" si="24">IFERROR(VLOOKUP($A2,$A$20:$AJ$34,26,FALSE),0)</f>
        <v>2200</v>
      </c>
      <c r="AA2" s="1287">
        <f t="shared" ref="AA2:AA15" si="25">IFERROR(VLOOKUP($A2,$A$20:$AJ$34,27,FALSE),0)</f>
        <v>26</v>
      </c>
      <c r="AB2" s="1287">
        <f t="shared" ref="AB2:AB15" si="26">IFERROR(VLOOKUP($A2,$A$20:$AJ$34,28,FALSE),0)</f>
        <v>0</v>
      </c>
      <c r="AC2" s="1287">
        <f t="shared" ref="AC2:AC15" si="27">IFERROR(VLOOKUP($A2,$A$20:$AJ$34,29,FALSE),0)</f>
        <v>0</v>
      </c>
      <c r="AD2" s="1287">
        <f t="shared" ref="AD2:AD15" si="28">IFERROR(VLOOKUP($A2,$A$20:$AJ$34,30,FALSE),0)</f>
        <v>2.9000000000000001E-2</v>
      </c>
      <c r="AE2" s="1287">
        <f t="shared" ref="AE2:AE15" si="29">IFERROR(VLOOKUP($A2,$A$20:$AJ$34,31,FALSE),0)</f>
        <v>0</v>
      </c>
      <c r="AF2" s="1287" t="str">
        <f t="shared" ref="AF2:AF15" si="30">IFERROR(VLOOKUP($A2,$A$20:$AJ$34,32,FALSE),0)</f>
        <v>beef</v>
      </c>
      <c r="AG2" s="1287">
        <f t="shared" ref="AG2:AG15" si="31">IFERROR(VLOOKUP($A2,$A$20:$AJ$34,33,FALSE),0)</f>
        <v>500</v>
      </c>
      <c r="AH2" s="1287">
        <f t="shared" ref="AH2:AH15" si="32">IFERROR(VLOOKUP($A2,$A$20:$AJ$34,34,FALSE),0)</f>
        <v>8</v>
      </c>
      <c r="AI2" s="1287">
        <f t="shared" ref="AI2:AI15" si="33">IFERROR(VLOOKUP($A2,$A$20:$AJ$34,35,FALSE),0)</f>
        <v>0</v>
      </c>
      <c r="AJ2" s="1287">
        <f t="shared" ref="AJ2:AJ15" si="34">IFERROR(VLOOKUP($A2,$A$20:$AJ$34,36,FALSE),0)</f>
        <v>4</v>
      </c>
    </row>
    <row r="3" spans="1:36" s="1280" customFormat="1">
      <c r="A3" s="1281" t="str">
        <f>INPUTS!$C22</f>
        <v>Cows (improved)</v>
      </c>
      <c r="B3" s="1287">
        <f t="shared" si="0"/>
        <v>381</v>
      </c>
      <c r="C3" s="1287">
        <f t="shared" si="1"/>
        <v>0</v>
      </c>
      <c r="D3" s="1287">
        <f t="shared" si="2"/>
        <v>0</v>
      </c>
      <c r="E3" s="1287">
        <f t="shared" si="3"/>
        <v>0</v>
      </c>
      <c r="F3" s="1287">
        <f t="shared" si="4"/>
        <v>0</v>
      </c>
      <c r="G3" s="1287">
        <f t="shared" si="5"/>
        <v>0</v>
      </c>
      <c r="H3" s="671">
        <f t="shared" si="6"/>
        <v>43.118509116603107</v>
      </c>
      <c r="I3" s="1287">
        <f t="shared" si="7"/>
        <v>0</v>
      </c>
      <c r="J3" s="671">
        <f t="shared" si="8"/>
        <v>1500</v>
      </c>
      <c r="K3" s="671">
        <f t="shared" si="9"/>
        <v>0</v>
      </c>
      <c r="L3" s="1287">
        <f t="shared" si="10"/>
        <v>5.5</v>
      </c>
      <c r="M3" s="1287">
        <f t="shared" si="11"/>
        <v>0</v>
      </c>
      <c r="N3" s="39">
        <f t="shared" si="12"/>
        <v>0.38100000000000001</v>
      </c>
      <c r="O3" s="1287">
        <f t="shared" si="13"/>
        <v>0</v>
      </c>
      <c r="P3" s="39">
        <f t="shared" si="14"/>
        <v>12.21</v>
      </c>
      <c r="Q3" s="39">
        <f t="shared" si="15"/>
        <v>0</v>
      </c>
      <c r="R3" s="1287">
        <f t="shared" si="16"/>
        <v>0.09</v>
      </c>
      <c r="S3" s="1287">
        <f t="shared" si="17"/>
        <v>0</v>
      </c>
      <c r="T3" s="1287">
        <f t="shared" si="18"/>
        <v>1525</v>
      </c>
      <c r="U3" s="1287">
        <f t="shared" si="19"/>
        <v>0</v>
      </c>
      <c r="V3" s="1287">
        <f t="shared" si="20"/>
        <v>1.2</v>
      </c>
      <c r="W3" s="1287">
        <f t="shared" si="21"/>
        <v>3.7</v>
      </c>
      <c r="X3" s="1287">
        <f t="shared" si="22"/>
        <v>4.3</v>
      </c>
      <c r="Y3" s="1287">
        <f t="shared" si="23"/>
        <v>970</v>
      </c>
      <c r="Z3" s="1287">
        <f t="shared" si="24"/>
        <v>2200</v>
      </c>
      <c r="AA3" s="1287">
        <f t="shared" si="25"/>
        <v>26</v>
      </c>
      <c r="AB3" s="1287">
        <f t="shared" si="26"/>
        <v>0</v>
      </c>
      <c r="AC3" s="1287">
        <f t="shared" si="27"/>
        <v>0</v>
      </c>
      <c r="AD3" s="1287">
        <f t="shared" si="28"/>
        <v>2.9000000000000001E-2</v>
      </c>
      <c r="AE3" s="1287">
        <f t="shared" si="29"/>
        <v>0</v>
      </c>
      <c r="AF3" s="1287" t="str">
        <f t="shared" si="30"/>
        <v>beef</v>
      </c>
      <c r="AG3" s="1287">
        <f t="shared" si="31"/>
        <v>1500</v>
      </c>
      <c r="AH3" s="1287">
        <f t="shared" si="32"/>
        <v>20</v>
      </c>
      <c r="AI3" s="1287">
        <f t="shared" si="33"/>
        <v>0</v>
      </c>
      <c r="AJ3" s="1287">
        <f t="shared" si="34"/>
        <v>8</v>
      </c>
    </row>
    <row r="4" spans="1:36" s="1280" customFormat="1">
      <c r="A4" s="1281" t="str">
        <f>INPUTS!$C23</f>
        <v>Adult cattle - male</v>
      </c>
      <c r="B4" s="1287">
        <f t="shared" si="0"/>
        <v>0</v>
      </c>
      <c r="C4" s="1287">
        <f t="shared" si="1"/>
        <v>0</v>
      </c>
      <c r="D4" s="1287">
        <f t="shared" si="2"/>
        <v>0</v>
      </c>
      <c r="E4" s="1287">
        <f t="shared" si="3"/>
        <v>0</v>
      </c>
      <c r="F4" s="1287">
        <f t="shared" si="4"/>
        <v>0</v>
      </c>
      <c r="G4" s="1287">
        <f t="shared" si="5"/>
        <v>0</v>
      </c>
      <c r="H4" s="671">
        <f t="shared" si="6"/>
        <v>0</v>
      </c>
      <c r="I4" s="1287">
        <f t="shared" si="7"/>
        <v>0</v>
      </c>
      <c r="J4" s="671">
        <f t="shared" si="8"/>
        <v>0</v>
      </c>
      <c r="K4" s="671">
        <f t="shared" si="9"/>
        <v>0</v>
      </c>
      <c r="L4" s="1287">
        <f t="shared" si="10"/>
        <v>0</v>
      </c>
      <c r="M4" s="1287">
        <f t="shared" si="11"/>
        <v>0</v>
      </c>
      <c r="N4" s="39">
        <f t="shared" si="12"/>
        <v>0</v>
      </c>
      <c r="O4" s="1287">
        <f t="shared" si="13"/>
        <v>0</v>
      </c>
      <c r="P4" s="39">
        <f t="shared" si="14"/>
        <v>0</v>
      </c>
      <c r="Q4" s="39">
        <f t="shared" si="15"/>
        <v>0</v>
      </c>
      <c r="R4" s="1287">
        <f t="shared" si="16"/>
        <v>0</v>
      </c>
      <c r="S4" s="1287">
        <f t="shared" si="17"/>
        <v>0</v>
      </c>
      <c r="T4" s="1287">
        <f t="shared" si="18"/>
        <v>0</v>
      </c>
      <c r="U4" s="1287">
        <f t="shared" si="19"/>
        <v>0</v>
      </c>
      <c r="V4" s="1287">
        <f t="shared" si="20"/>
        <v>0</v>
      </c>
      <c r="W4" s="1287">
        <f t="shared" si="21"/>
        <v>0</v>
      </c>
      <c r="X4" s="1287">
        <f t="shared" si="22"/>
        <v>0</v>
      </c>
      <c r="Y4" s="1287">
        <f t="shared" si="23"/>
        <v>0</v>
      </c>
      <c r="Z4" s="1287">
        <f t="shared" si="24"/>
        <v>2200</v>
      </c>
      <c r="AA4" s="1287">
        <f t="shared" si="25"/>
        <v>26</v>
      </c>
      <c r="AB4" s="1287">
        <f t="shared" si="26"/>
        <v>0</v>
      </c>
      <c r="AC4" s="1287">
        <f t="shared" si="27"/>
        <v>0</v>
      </c>
      <c r="AD4" s="1287">
        <f t="shared" si="28"/>
        <v>2.9000000000000001E-2</v>
      </c>
      <c r="AE4" s="1287">
        <f t="shared" si="29"/>
        <v>0</v>
      </c>
      <c r="AF4" s="1287" t="str">
        <f t="shared" si="30"/>
        <v>beef</v>
      </c>
      <c r="AG4" s="1287">
        <f t="shared" si="31"/>
        <v>1500</v>
      </c>
      <c r="AH4" s="1287">
        <f t="shared" si="32"/>
        <v>8</v>
      </c>
      <c r="AI4" s="1287">
        <f t="shared" si="33"/>
        <v>0</v>
      </c>
      <c r="AJ4" s="1287">
        <f t="shared" si="34"/>
        <v>2</v>
      </c>
    </row>
    <row r="5" spans="1:36" s="1280" customFormat="1">
      <c r="A5" s="1281" t="str">
        <f>INPUTS!$C24</f>
        <v>Calves</v>
      </c>
      <c r="B5" s="1287">
        <f t="shared" si="0"/>
        <v>0</v>
      </c>
      <c r="C5" s="1287">
        <f t="shared" si="1"/>
        <v>0</v>
      </c>
      <c r="D5" s="1287">
        <f t="shared" si="2"/>
        <v>0</v>
      </c>
      <c r="E5" s="1287">
        <f t="shared" si="3"/>
        <v>0</v>
      </c>
      <c r="F5" s="1287">
        <f t="shared" si="4"/>
        <v>0</v>
      </c>
      <c r="G5" s="1287">
        <f t="shared" si="5"/>
        <v>0</v>
      </c>
      <c r="H5" s="671">
        <f t="shared" si="6"/>
        <v>0</v>
      </c>
      <c r="I5" s="1287">
        <f t="shared" si="7"/>
        <v>0</v>
      </c>
      <c r="J5" s="671">
        <f t="shared" si="8"/>
        <v>0</v>
      </c>
      <c r="K5" s="671">
        <f t="shared" si="9"/>
        <v>0</v>
      </c>
      <c r="L5" s="1287">
        <f t="shared" si="10"/>
        <v>0</v>
      </c>
      <c r="M5" s="1287">
        <f t="shared" si="11"/>
        <v>0</v>
      </c>
      <c r="N5" s="39">
        <f t="shared" si="12"/>
        <v>0</v>
      </c>
      <c r="O5" s="1287">
        <f t="shared" si="13"/>
        <v>0</v>
      </c>
      <c r="P5" s="39">
        <f t="shared" si="14"/>
        <v>0</v>
      </c>
      <c r="Q5" s="39">
        <f t="shared" si="15"/>
        <v>0</v>
      </c>
      <c r="R5" s="1287">
        <f t="shared" si="16"/>
        <v>0</v>
      </c>
      <c r="S5" s="1287">
        <f t="shared" si="17"/>
        <v>0</v>
      </c>
      <c r="T5" s="1287">
        <f t="shared" si="18"/>
        <v>0</v>
      </c>
      <c r="U5" s="1287">
        <f t="shared" si="19"/>
        <v>0</v>
      </c>
      <c r="V5" s="1287">
        <f t="shared" si="20"/>
        <v>0</v>
      </c>
      <c r="W5" s="1287">
        <f t="shared" si="21"/>
        <v>0</v>
      </c>
      <c r="X5" s="1287">
        <f t="shared" si="22"/>
        <v>0</v>
      </c>
      <c r="Y5" s="1287">
        <f t="shared" si="23"/>
        <v>0</v>
      </c>
      <c r="Z5" s="1287">
        <f t="shared" si="24"/>
        <v>2200</v>
      </c>
      <c r="AA5" s="1287">
        <f t="shared" si="25"/>
        <v>26</v>
      </c>
      <c r="AB5" s="1287">
        <f t="shared" si="26"/>
        <v>0.5</v>
      </c>
      <c r="AC5" s="1287">
        <f t="shared" si="27"/>
        <v>0</v>
      </c>
      <c r="AD5" s="1287">
        <f t="shared" si="28"/>
        <v>2.9000000000000001E-2</v>
      </c>
      <c r="AE5" s="1287">
        <f t="shared" si="29"/>
        <v>0</v>
      </c>
      <c r="AF5" s="1287" t="str">
        <f t="shared" si="30"/>
        <v>beef</v>
      </c>
      <c r="AG5" s="1287">
        <f t="shared" si="31"/>
        <v>200</v>
      </c>
      <c r="AH5" s="1287">
        <f t="shared" si="32"/>
        <v>5</v>
      </c>
      <c r="AI5" s="1287">
        <f t="shared" si="33"/>
        <v>0</v>
      </c>
      <c r="AJ5" s="1287">
        <f t="shared" si="34"/>
        <v>2</v>
      </c>
    </row>
    <row r="6" spans="1:36" s="1280" customFormat="1">
      <c r="A6" s="1281" t="str">
        <f>INPUTS!$C25</f>
        <v>Steers/heifers</v>
      </c>
      <c r="B6" s="1287">
        <f t="shared" si="0"/>
        <v>290</v>
      </c>
      <c r="C6" s="1287">
        <f t="shared" si="1"/>
        <v>0</v>
      </c>
      <c r="D6" s="1287">
        <f t="shared" si="2"/>
        <v>0</v>
      </c>
      <c r="E6" s="1287">
        <f t="shared" si="3"/>
        <v>0</v>
      </c>
      <c r="F6" s="1287">
        <f t="shared" si="4"/>
        <v>0</v>
      </c>
      <c r="G6" s="1287">
        <f t="shared" si="5"/>
        <v>0</v>
      </c>
      <c r="H6" s="671">
        <f t="shared" si="6"/>
        <v>35.137309395138168</v>
      </c>
      <c r="I6" s="1287">
        <f t="shared" si="7"/>
        <v>0</v>
      </c>
      <c r="J6" s="671">
        <f t="shared" si="8"/>
        <v>0</v>
      </c>
      <c r="K6" s="671">
        <f t="shared" si="9"/>
        <v>0</v>
      </c>
      <c r="L6" s="1287">
        <f t="shared" si="10"/>
        <v>0</v>
      </c>
      <c r="M6" s="1287">
        <f t="shared" si="11"/>
        <v>50</v>
      </c>
      <c r="N6" s="39">
        <f t="shared" si="12"/>
        <v>0.28999999999999998</v>
      </c>
      <c r="O6" s="1287">
        <f t="shared" si="13"/>
        <v>0</v>
      </c>
      <c r="P6" s="39">
        <f t="shared" si="14"/>
        <v>0</v>
      </c>
      <c r="Q6" s="39">
        <f t="shared" si="15"/>
        <v>0</v>
      </c>
      <c r="R6" s="1287">
        <f t="shared" si="16"/>
        <v>0</v>
      </c>
      <c r="S6" s="1287">
        <f t="shared" si="17"/>
        <v>0.4</v>
      </c>
      <c r="T6" s="1287">
        <f t="shared" si="18"/>
        <v>0</v>
      </c>
      <c r="U6" s="1287">
        <f t="shared" si="19"/>
        <v>156</v>
      </c>
      <c r="V6" s="1287">
        <f t="shared" si="20"/>
        <v>0</v>
      </c>
      <c r="W6" s="1287">
        <f t="shared" si="21"/>
        <v>0</v>
      </c>
      <c r="X6" s="1287">
        <f t="shared" si="22"/>
        <v>0</v>
      </c>
      <c r="Y6" s="1287">
        <f t="shared" si="23"/>
        <v>0</v>
      </c>
      <c r="Z6" s="1287">
        <f t="shared" si="24"/>
        <v>2200</v>
      </c>
      <c r="AA6" s="1287">
        <f t="shared" si="25"/>
        <v>26</v>
      </c>
      <c r="AB6" s="1287">
        <f t="shared" si="26"/>
        <v>0.57999999999999996</v>
      </c>
      <c r="AC6" s="1287">
        <f t="shared" si="27"/>
        <v>0</v>
      </c>
      <c r="AD6" s="1287">
        <f t="shared" si="28"/>
        <v>2.9000000000000001E-2</v>
      </c>
      <c r="AE6" s="1287">
        <f t="shared" si="29"/>
        <v>0</v>
      </c>
      <c r="AF6" s="1287" t="str">
        <f t="shared" si="30"/>
        <v>beef</v>
      </c>
      <c r="AG6" s="1287">
        <f t="shared" si="31"/>
        <v>500</v>
      </c>
      <c r="AH6" s="1287">
        <f t="shared" si="32"/>
        <v>5</v>
      </c>
      <c r="AI6" s="1287">
        <f t="shared" si="33"/>
        <v>0</v>
      </c>
      <c r="AJ6" s="1287">
        <f t="shared" si="34"/>
        <v>2</v>
      </c>
    </row>
    <row r="7" spans="1:36" s="1280" customFormat="1">
      <c r="A7" s="1281" t="str">
        <f>INPUTS!$C26</f>
        <v>Sheep/Goats - Ewes/Does</v>
      </c>
      <c r="B7" s="1287">
        <f t="shared" si="0"/>
        <v>0</v>
      </c>
      <c r="C7" s="1287">
        <f t="shared" si="1"/>
        <v>0</v>
      </c>
      <c r="D7" s="1287">
        <f t="shared" si="2"/>
        <v>0</v>
      </c>
      <c r="E7" s="1287">
        <f t="shared" si="3"/>
        <v>0</v>
      </c>
      <c r="F7" s="1287">
        <f t="shared" si="4"/>
        <v>0</v>
      </c>
      <c r="G7" s="1287">
        <f t="shared" si="5"/>
        <v>0</v>
      </c>
      <c r="H7" s="671">
        <f t="shared" si="6"/>
        <v>0</v>
      </c>
      <c r="I7" s="1287">
        <f t="shared" si="7"/>
        <v>0</v>
      </c>
      <c r="J7" s="671">
        <f t="shared" si="8"/>
        <v>0</v>
      </c>
      <c r="K7" s="671">
        <f t="shared" si="9"/>
        <v>0</v>
      </c>
      <c r="L7" s="1287">
        <f t="shared" si="10"/>
        <v>0</v>
      </c>
      <c r="M7" s="1287">
        <f t="shared" si="11"/>
        <v>0</v>
      </c>
      <c r="N7" s="39">
        <f t="shared" si="12"/>
        <v>0</v>
      </c>
      <c r="O7" s="1287">
        <f t="shared" si="13"/>
        <v>0</v>
      </c>
      <c r="P7" s="39">
        <f t="shared" si="14"/>
        <v>0</v>
      </c>
      <c r="Q7" s="39">
        <f t="shared" si="15"/>
        <v>0</v>
      </c>
      <c r="R7" s="1287">
        <f t="shared" si="16"/>
        <v>0</v>
      </c>
      <c r="S7" s="1287">
        <f t="shared" si="17"/>
        <v>0</v>
      </c>
      <c r="T7" s="1287">
        <f t="shared" si="18"/>
        <v>0</v>
      </c>
      <c r="U7" s="1287">
        <f t="shared" si="19"/>
        <v>0</v>
      </c>
      <c r="V7" s="1287">
        <f t="shared" si="20"/>
        <v>0</v>
      </c>
      <c r="W7" s="1287">
        <f t="shared" si="21"/>
        <v>0</v>
      </c>
      <c r="X7" s="1287">
        <f t="shared" si="22"/>
        <v>0</v>
      </c>
      <c r="Y7" s="1287">
        <f t="shared" si="23"/>
        <v>0</v>
      </c>
      <c r="Z7" s="1287">
        <f t="shared" si="24"/>
        <v>2200</v>
      </c>
      <c r="AA7" s="1287">
        <f t="shared" si="25"/>
        <v>25</v>
      </c>
      <c r="AB7" s="1287">
        <f t="shared" si="26"/>
        <v>0</v>
      </c>
      <c r="AC7" s="1287">
        <f t="shared" si="27"/>
        <v>0</v>
      </c>
      <c r="AD7" s="1287">
        <f t="shared" si="28"/>
        <v>2.7E-2</v>
      </c>
      <c r="AE7" s="1287">
        <f t="shared" si="29"/>
        <v>0</v>
      </c>
      <c r="AF7" s="1287" t="str">
        <f t="shared" si="30"/>
        <v>lamb</v>
      </c>
      <c r="AG7" s="1287">
        <f t="shared" si="31"/>
        <v>0</v>
      </c>
      <c r="AH7" s="1287">
        <f t="shared" si="32"/>
        <v>0</v>
      </c>
      <c r="AI7" s="1287">
        <f t="shared" si="33"/>
        <v>0</v>
      </c>
      <c r="AJ7" s="1287">
        <f t="shared" si="34"/>
        <v>0</v>
      </c>
    </row>
    <row r="8" spans="1:36" s="1280" customFormat="1">
      <c r="A8" s="1281" t="str">
        <f>INPUTS!$C27</f>
        <v>Pigs - lactating/pregnant sows</v>
      </c>
      <c r="B8" s="1287">
        <f t="shared" si="0"/>
        <v>0</v>
      </c>
      <c r="C8" s="1287">
        <f t="shared" si="1"/>
        <v>0</v>
      </c>
      <c r="D8" s="1287">
        <f t="shared" si="2"/>
        <v>0</v>
      </c>
      <c r="E8" s="1287">
        <f t="shared" si="3"/>
        <v>0</v>
      </c>
      <c r="F8" s="1287">
        <f t="shared" si="4"/>
        <v>0</v>
      </c>
      <c r="G8" s="1287">
        <f t="shared" si="5"/>
        <v>0</v>
      </c>
      <c r="H8" s="671">
        <f t="shared" si="6"/>
        <v>0</v>
      </c>
      <c r="I8" s="1287">
        <f t="shared" si="7"/>
        <v>0</v>
      </c>
      <c r="J8" s="671">
        <f t="shared" si="8"/>
        <v>0</v>
      </c>
      <c r="K8" s="671">
        <f t="shared" si="9"/>
        <v>0</v>
      </c>
      <c r="L8" s="1287">
        <f t="shared" si="10"/>
        <v>0</v>
      </c>
      <c r="M8" s="1287">
        <f t="shared" si="11"/>
        <v>0</v>
      </c>
      <c r="N8" s="39">
        <f t="shared" si="12"/>
        <v>0</v>
      </c>
      <c r="O8" s="1287">
        <f t="shared" si="13"/>
        <v>0</v>
      </c>
      <c r="P8" s="39">
        <f t="shared" si="14"/>
        <v>0</v>
      </c>
      <c r="Q8" s="39">
        <f t="shared" si="15"/>
        <v>-0.18815999999999999</v>
      </c>
      <c r="R8" s="1287">
        <f t="shared" si="16"/>
        <v>0</v>
      </c>
      <c r="S8" s="1287">
        <f t="shared" si="17"/>
        <v>0</v>
      </c>
      <c r="T8" s="1287">
        <f t="shared" si="18"/>
        <v>0</v>
      </c>
      <c r="U8" s="1287">
        <f t="shared" si="19"/>
        <v>0</v>
      </c>
      <c r="V8" s="1287">
        <f t="shared" si="20"/>
        <v>0</v>
      </c>
      <c r="W8" s="1287">
        <f t="shared" si="21"/>
        <v>0</v>
      </c>
      <c r="X8" s="1287">
        <f t="shared" si="22"/>
        <v>0</v>
      </c>
      <c r="Y8" s="1287">
        <f t="shared" si="23"/>
        <v>0</v>
      </c>
      <c r="Z8" s="1287">
        <f t="shared" si="24"/>
        <v>2580</v>
      </c>
      <c r="AA8" s="1287">
        <f t="shared" si="25"/>
        <v>21</v>
      </c>
      <c r="AB8" s="1287">
        <f t="shared" si="26"/>
        <v>0</v>
      </c>
      <c r="AC8" s="1287">
        <f t="shared" si="27"/>
        <v>0</v>
      </c>
      <c r="AD8" s="1287">
        <f t="shared" si="28"/>
        <v>0.04</v>
      </c>
      <c r="AE8" s="1287">
        <f t="shared" si="29"/>
        <v>0</v>
      </c>
      <c r="AF8" s="1287" t="str">
        <f t="shared" si="30"/>
        <v>pork</v>
      </c>
      <c r="AG8" s="1287">
        <f t="shared" si="31"/>
        <v>0</v>
      </c>
      <c r="AH8" s="1287">
        <f t="shared" si="32"/>
        <v>0</v>
      </c>
      <c r="AI8" s="1287">
        <f t="shared" si="33"/>
        <v>0</v>
      </c>
      <c r="AJ8" s="1287">
        <f t="shared" si="34"/>
        <v>0</v>
      </c>
    </row>
    <row r="9" spans="1:36" s="1280" customFormat="1">
      <c r="A9" s="1281" t="str">
        <f>INPUTS!$C28</f>
        <v>Calves</v>
      </c>
      <c r="B9" s="1287">
        <f t="shared" si="0"/>
        <v>0</v>
      </c>
      <c r="C9" s="1287">
        <f t="shared" si="1"/>
        <v>0</v>
      </c>
      <c r="D9" s="1287">
        <f t="shared" si="2"/>
        <v>0</v>
      </c>
      <c r="E9" s="1287">
        <f t="shared" si="3"/>
        <v>0</v>
      </c>
      <c r="F9" s="1287">
        <f t="shared" si="4"/>
        <v>0</v>
      </c>
      <c r="G9" s="1287">
        <f t="shared" si="5"/>
        <v>0</v>
      </c>
      <c r="H9" s="671">
        <f t="shared" si="6"/>
        <v>0</v>
      </c>
      <c r="I9" s="1287">
        <f t="shared" si="7"/>
        <v>0</v>
      </c>
      <c r="J9" s="671">
        <f t="shared" si="8"/>
        <v>0</v>
      </c>
      <c r="K9" s="671">
        <f t="shared" si="9"/>
        <v>0</v>
      </c>
      <c r="L9" s="1287">
        <f t="shared" si="10"/>
        <v>0</v>
      </c>
      <c r="M9" s="1287">
        <f t="shared" si="11"/>
        <v>0</v>
      </c>
      <c r="N9" s="39">
        <f t="shared" si="12"/>
        <v>0</v>
      </c>
      <c r="O9" s="1287">
        <f t="shared" si="13"/>
        <v>0</v>
      </c>
      <c r="P9" s="39">
        <f t="shared" si="14"/>
        <v>0</v>
      </c>
      <c r="Q9" s="39">
        <f t="shared" si="15"/>
        <v>0</v>
      </c>
      <c r="R9" s="1287">
        <f t="shared" si="16"/>
        <v>0</v>
      </c>
      <c r="S9" s="1287">
        <f t="shared" si="17"/>
        <v>0</v>
      </c>
      <c r="T9" s="1287">
        <f t="shared" si="18"/>
        <v>0</v>
      </c>
      <c r="U9" s="1287">
        <f t="shared" si="19"/>
        <v>0</v>
      </c>
      <c r="V9" s="1287">
        <f t="shared" si="20"/>
        <v>0</v>
      </c>
      <c r="W9" s="1287">
        <f t="shared" si="21"/>
        <v>0</v>
      </c>
      <c r="X9" s="1287">
        <f t="shared" si="22"/>
        <v>0</v>
      </c>
      <c r="Y9" s="1287">
        <f t="shared" si="23"/>
        <v>0</v>
      </c>
      <c r="Z9" s="1287">
        <f t="shared" si="24"/>
        <v>2200</v>
      </c>
      <c r="AA9" s="1287">
        <f t="shared" si="25"/>
        <v>26</v>
      </c>
      <c r="AB9" s="1287">
        <f t="shared" si="26"/>
        <v>0.5</v>
      </c>
      <c r="AC9" s="1287">
        <f t="shared" si="27"/>
        <v>0</v>
      </c>
      <c r="AD9" s="1287">
        <f t="shared" si="28"/>
        <v>2.9000000000000001E-2</v>
      </c>
      <c r="AE9" s="1287">
        <f t="shared" si="29"/>
        <v>0</v>
      </c>
      <c r="AF9" s="1287" t="str">
        <f t="shared" si="30"/>
        <v>beef</v>
      </c>
      <c r="AG9" s="1287">
        <f t="shared" si="31"/>
        <v>200</v>
      </c>
      <c r="AH9" s="1287">
        <f t="shared" si="32"/>
        <v>5</v>
      </c>
      <c r="AI9" s="1287">
        <f t="shared" si="33"/>
        <v>0</v>
      </c>
      <c r="AJ9" s="1287">
        <f t="shared" si="34"/>
        <v>2</v>
      </c>
    </row>
    <row r="10" spans="1:36" s="1280" customFormat="1">
      <c r="A10" s="1281">
        <f>INPUTS!$C29</f>
        <v>0</v>
      </c>
      <c r="B10" s="1287">
        <f t="shared" si="0"/>
        <v>0</v>
      </c>
      <c r="C10" s="1287">
        <f t="shared" si="1"/>
        <v>0</v>
      </c>
      <c r="D10" s="1287">
        <f t="shared" si="2"/>
        <v>0</v>
      </c>
      <c r="E10" s="1287">
        <f t="shared" si="3"/>
        <v>0</v>
      </c>
      <c r="F10" s="1287">
        <f t="shared" si="4"/>
        <v>0</v>
      </c>
      <c r="G10" s="1287">
        <f t="shared" si="5"/>
        <v>0</v>
      </c>
      <c r="H10" s="671">
        <f t="shared" si="6"/>
        <v>0</v>
      </c>
      <c r="I10" s="1287">
        <f t="shared" si="7"/>
        <v>0</v>
      </c>
      <c r="J10" s="671">
        <f t="shared" si="8"/>
        <v>0</v>
      </c>
      <c r="K10" s="671">
        <f t="shared" si="9"/>
        <v>0</v>
      </c>
      <c r="L10" s="1287">
        <f t="shared" si="10"/>
        <v>0</v>
      </c>
      <c r="M10" s="1287">
        <f t="shared" si="11"/>
        <v>0</v>
      </c>
      <c r="N10" s="39">
        <f t="shared" si="12"/>
        <v>0</v>
      </c>
      <c r="O10" s="1287">
        <f t="shared" si="13"/>
        <v>0</v>
      </c>
      <c r="P10" s="39">
        <f t="shared" si="14"/>
        <v>0</v>
      </c>
      <c r="Q10" s="39">
        <f t="shared" si="15"/>
        <v>0</v>
      </c>
      <c r="R10" s="1287">
        <f t="shared" si="16"/>
        <v>0</v>
      </c>
      <c r="S10" s="1287">
        <f t="shared" si="17"/>
        <v>0</v>
      </c>
      <c r="T10" s="1287">
        <f t="shared" si="18"/>
        <v>0</v>
      </c>
      <c r="U10" s="1287">
        <f t="shared" si="19"/>
        <v>0</v>
      </c>
      <c r="V10" s="1287">
        <f t="shared" si="20"/>
        <v>0</v>
      </c>
      <c r="W10" s="1287">
        <f t="shared" si="21"/>
        <v>0</v>
      </c>
      <c r="X10" s="1287">
        <f t="shared" si="22"/>
        <v>0</v>
      </c>
      <c r="Y10" s="1287">
        <f t="shared" si="23"/>
        <v>0</v>
      </c>
      <c r="Z10" s="1287">
        <f t="shared" si="24"/>
        <v>0</v>
      </c>
      <c r="AA10" s="1287">
        <f t="shared" si="25"/>
        <v>0</v>
      </c>
      <c r="AB10" s="1287">
        <f t="shared" si="26"/>
        <v>0</v>
      </c>
      <c r="AC10" s="1287">
        <f t="shared" si="27"/>
        <v>0</v>
      </c>
      <c r="AD10" s="1287">
        <f t="shared" si="28"/>
        <v>0</v>
      </c>
      <c r="AE10" s="1287">
        <f t="shared" si="29"/>
        <v>0</v>
      </c>
      <c r="AF10" s="1287">
        <f t="shared" si="30"/>
        <v>0</v>
      </c>
      <c r="AG10" s="1287">
        <f t="shared" si="31"/>
        <v>0</v>
      </c>
      <c r="AH10" s="1287">
        <f t="shared" si="32"/>
        <v>0</v>
      </c>
      <c r="AI10" s="1287">
        <f t="shared" si="33"/>
        <v>0</v>
      </c>
      <c r="AJ10" s="1287">
        <f t="shared" si="34"/>
        <v>0</v>
      </c>
    </row>
    <row r="11" spans="1:36" s="1280" customFormat="1">
      <c r="A11" s="1282">
        <f>INPUTS!$C30</f>
        <v>0</v>
      </c>
      <c r="B11" s="1287">
        <f t="shared" si="0"/>
        <v>0</v>
      </c>
      <c r="C11" s="1287">
        <f t="shared" si="1"/>
        <v>0</v>
      </c>
      <c r="D11" s="1287">
        <f t="shared" si="2"/>
        <v>0</v>
      </c>
      <c r="E11" s="1287">
        <f t="shared" si="3"/>
        <v>0</v>
      </c>
      <c r="F11" s="1287">
        <f t="shared" si="4"/>
        <v>0</v>
      </c>
      <c r="G11" s="1287">
        <f t="shared" si="5"/>
        <v>0</v>
      </c>
      <c r="H11" s="671">
        <f t="shared" si="6"/>
        <v>0</v>
      </c>
      <c r="I11" s="1287">
        <f t="shared" si="7"/>
        <v>0</v>
      </c>
      <c r="J11" s="671">
        <f t="shared" si="8"/>
        <v>0</v>
      </c>
      <c r="K11" s="671">
        <f t="shared" si="9"/>
        <v>0</v>
      </c>
      <c r="L11" s="1287">
        <f t="shared" si="10"/>
        <v>0</v>
      </c>
      <c r="M11" s="1287">
        <f t="shared" si="11"/>
        <v>0</v>
      </c>
      <c r="N11" s="39">
        <f t="shared" si="12"/>
        <v>0</v>
      </c>
      <c r="O11" s="1287">
        <f t="shared" si="13"/>
        <v>0</v>
      </c>
      <c r="P11" s="39">
        <f t="shared" si="14"/>
        <v>0</v>
      </c>
      <c r="Q11" s="39">
        <f t="shared" si="15"/>
        <v>0</v>
      </c>
      <c r="R11" s="1287">
        <f t="shared" si="16"/>
        <v>0</v>
      </c>
      <c r="S11" s="1287">
        <f t="shared" si="17"/>
        <v>0</v>
      </c>
      <c r="T11" s="1287">
        <f t="shared" si="18"/>
        <v>0</v>
      </c>
      <c r="U11" s="1287">
        <f t="shared" si="19"/>
        <v>0</v>
      </c>
      <c r="V11" s="1287">
        <f t="shared" si="20"/>
        <v>0</v>
      </c>
      <c r="W11" s="1287">
        <f t="shared" si="21"/>
        <v>0</v>
      </c>
      <c r="X11" s="1287">
        <f t="shared" si="22"/>
        <v>0</v>
      </c>
      <c r="Y11" s="1287">
        <f t="shared" si="23"/>
        <v>0</v>
      </c>
      <c r="Z11" s="1287">
        <f t="shared" si="24"/>
        <v>0</v>
      </c>
      <c r="AA11" s="1287">
        <f t="shared" si="25"/>
        <v>0</v>
      </c>
      <c r="AB11" s="1287">
        <f t="shared" si="26"/>
        <v>0</v>
      </c>
      <c r="AC11" s="1287">
        <f t="shared" si="27"/>
        <v>0</v>
      </c>
      <c r="AD11" s="1287">
        <f t="shared" si="28"/>
        <v>0</v>
      </c>
      <c r="AE11" s="1287">
        <f t="shared" si="29"/>
        <v>0</v>
      </c>
      <c r="AF11" s="1287">
        <f t="shared" si="30"/>
        <v>0</v>
      </c>
      <c r="AG11" s="1287">
        <f t="shared" si="31"/>
        <v>0</v>
      </c>
      <c r="AH11" s="1287">
        <f t="shared" si="32"/>
        <v>0</v>
      </c>
      <c r="AI11" s="1287">
        <f t="shared" si="33"/>
        <v>0</v>
      </c>
      <c r="AJ11" s="1287">
        <f t="shared" si="34"/>
        <v>0</v>
      </c>
    </row>
    <row r="12" spans="1:36" s="1282" customFormat="1">
      <c r="A12" s="1282">
        <f>INPUTS!$C31</f>
        <v>0</v>
      </c>
      <c r="B12" s="1287">
        <f t="shared" si="0"/>
        <v>0</v>
      </c>
      <c r="C12" s="1287">
        <f t="shared" si="1"/>
        <v>0</v>
      </c>
      <c r="D12" s="1287">
        <f t="shared" si="2"/>
        <v>0</v>
      </c>
      <c r="E12" s="1287">
        <f t="shared" si="3"/>
        <v>0</v>
      </c>
      <c r="F12" s="1287">
        <f t="shared" si="4"/>
        <v>0</v>
      </c>
      <c r="G12" s="1287">
        <f t="shared" si="5"/>
        <v>0</v>
      </c>
      <c r="H12" s="671">
        <f t="shared" si="6"/>
        <v>0</v>
      </c>
      <c r="I12" s="1287">
        <f t="shared" si="7"/>
        <v>0</v>
      </c>
      <c r="J12" s="671">
        <f t="shared" si="8"/>
        <v>0</v>
      </c>
      <c r="K12" s="671">
        <f t="shared" si="9"/>
        <v>0</v>
      </c>
      <c r="L12" s="1287">
        <f t="shared" si="10"/>
        <v>0</v>
      </c>
      <c r="M12" s="1287">
        <f t="shared" si="11"/>
        <v>0</v>
      </c>
      <c r="N12" s="39">
        <f t="shared" si="12"/>
        <v>0</v>
      </c>
      <c r="O12" s="1287">
        <f t="shared" si="13"/>
        <v>0</v>
      </c>
      <c r="P12" s="39">
        <f t="shared" si="14"/>
        <v>0</v>
      </c>
      <c r="Q12" s="39">
        <f t="shared" si="15"/>
        <v>0</v>
      </c>
      <c r="R12" s="1287">
        <f t="shared" si="16"/>
        <v>0</v>
      </c>
      <c r="S12" s="1287">
        <f t="shared" si="17"/>
        <v>0</v>
      </c>
      <c r="T12" s="1287">
        <f t="shared" si="18"/>
        <v>0</v>
      </c>
      <c r="U12" s="1287">
        <f t="shared" si="19"/>
        <v>0</v>
      </c>
      <c r="V12" s="1287">
        <f t="shared" si="20"/>
        <v>0</v>
      </c>
      <c r="W12" s="1287">
        <f t="shared" si="21"/>
        <v>0</v>
      </c>
      <c r="X12" s="1287">
        <f t="shared" si="22"/>
        <v>0</v>
      </c>
      <c r="Y12" s="1287">
        <f t="shared" si="23"/>
        <v>0</v>
      </c>
      <c r="Z12" s="1287">
        <f t="shared" si="24"/>
        <v>0</v>
      </c>
      <c r="AA12" s="1287">
        <f t="shared" si="25"/>
        <v>0</v>
      </c>
      <c r="AB12" s="1287">
        <f t="shared" si="26"/>
        <v>0</v>
      </c>
      <c r="AC12" s="1287">
        <f t="shared" si="27"/>
        <v>0</v>
      </c>
      <c r="AD12" s="1287">
        <f t="shared" si="28"/>
        <v>0</v>
      </c>
      <c r="AE12" s="1287">
        <f t="shared" si="29"/>
        <v>0</v>
      </c>
      <c r="AF12" s="1287">
        <f t="shared" si="30"/>
        <v>0</v>
      </c>
      <c r="AG12" s="1287">
        <f t="shared" si="31"/>
        <v>0</v>
      </c>
      <c r="AH12" s="1287">
        <f t="shared" si="32"/>
        <v>0</v>
      </c>
      <c r="AI12" s="1287">
        <f t="shared" si="33"/>
        <v>0</v>
      </c>
      <c r="AJ12" s="1287">
        <f t="shared" si="34"/>
        <v>0</v>
      </c>
    </row>
    <row r="13" spans="1:36" s="1282" customFormat="1">
      <c r="A13" s="1282">
        <f>INPUTS!$C32</f>
        <v>0</v>
      </c>
      <c r="B13" s="1287">
        <f t="shared" si="0"/>
        <v>0</v>
      </c>
      <c r="C13" s="1287">
        <f t="shared" si="1"/>
        <v>0</v>
      </c>
      <c r="D13" s="1287">
        <f t="shared" si="2"/>
        <v>0</v>
      </c>
      <c r="E13" s="1287">
        <f t="shared" si="3"/>
        <v>0</v>
      </c>
      <c r="F13" s="1287">
        <f t="shared" si="4"/>
        <v>0</v>
      </c>
      <c r="G13" s="1287">
        <f t="shared" si="5"/>
        <v>0</v>
      </c>
      <c r="H13" s="671">
        <f t="shared" si="6"/>
        <v>0</v>
      </c>
      <c r="I13" s="1287">
        <f t="shared" si="7"/>
        <v>0</v>
      </c>
      <c r="J13" s="671">
        <f t="shared" si="8"/>
        <v>0</v>
      </c>
      <c r="K13" s="671">
        <f t="shared" si="9"/>
        <v>0</v>
      </c>
      <c r="L13" s="1287">
        <f t="shared" si="10"/>
        <v>0</v>
      </c>
      <c r="M13" s="1287">
        <f t="shared" si="11"/>
        <v>0</v>
      </c>
      <c r="N13" s="39">
        <f t="shared" si="12"/>
        <v>0</v>
      </c>
      <c r="O13" s="1287">
        <f t="shared" si="13"/>
        <v>0</v>
      </c>
      <c r="P13" s="39">
        <f t="shared" si="14"/>
        <v>0</v>
      </c>
      <c r="Q13" s="39">
        <f t="shared" si="15"/>
        <v>0</v>
      </c>
      <c r="R13" s="1287">
        <f t="shared" si="16"/>
        <v>0</v>
      </c>
      <c r="S13" s="1287">
        <f t="shared" si="17"/>
        <v>0</v>
      </c>
      <c r="T13" s="1287">
        <f t="shared" si="18"/>
        <v>0</v>
      </c>
      <c r="U13" s="1287">
        <f t="shared" si="19"/>
        <v>0</v>
      </c>
      <c r="V13" s="1287">
        <f t="shared" si="20"/>
        <v>0</v>
      </c>
      <c r="W13" s="1287">
        <f t="shared" si="21"/>
        <v>0</v>
      </c>
      <c r="X13" s="1287">
        <f t="shared" si="22"/>
        <v>0</v>
      </c>
      <c r="Y13" s="1287">
        <f t="shared" si="23"/>
        <v>0</v>
      </c>
      <c r="Z13" s="1287">
        <f t="shared" si="24"/>
        <v>0</v>
      </c>
      <c r="AA13" s="1287">
        <f t="shared" si="25"/>
        <v>0</v>
      </c>
      <c r="AB13" s="1287">
        <f t="shared" si="26"/>
        <v>0</v>
      </c>
      <c r="AC13" s="1287">
        <f t="shared" si="27"/>
        <v>0</v>
      </c>
      <c r="AD13" s="1287">
        <f t="shared" si="28"/>
        <v>0</v>
      </c>
      <c r="AE13" s="1287">
        <f t="shared" si="29"/>
        <v>0</v>
      </c>
      <c r="AF13" s="1287">
        <f t="shared" si="30"/>
        <v>0</v>
      </c>
      <c r="AG13" s="1287">
        <f t="shared" si="31"/>
        <v>0</v>
      </c>
      <c r="AH13" s="1287">
        <f t="shared" si="32"/>
        <v>0</v>
      </c>
      <c r="AI13" s="1287">
        <f t="shared" si="33"/>
        <v>0</v>
      </c>
      <c r="AJ13" s="1287">
        <f t="shared" si="34"/>
        <v>0</v>
      </c>
    </row>
    <row r="14" spans="1:36" s="1282" customFormat="1">
      <c r="A14" s="1282">
        <f>INPUTS!$C33</f>
        <v>0</v>
      </c>
      <c r="B14" s="1287">
        <f t="shared" si="0"/>
        <v>0</v>
      </c>
      <c r="C14" s="1287">
        <f t="shared" si="1"/>
        <v>0</v>
      </c>
      <c r="D14" s="1287">
        <f t="shared" si="2"/>
        <v>0</v>
      </c>
      <c r="E14" s="1287">
        <f t="shared" si="3"/>
        <v>0</v>
      </c>
      <c r="F14" s="1287">
        <f t="shared" si="4"/>
        <v>0</v>
      </c>
      <c r="G14" s="1287">
        <f t="shared" si="5"/>
        <v>0</v>
      </c>
      <c r="H14" s="671">
        <f t="shared" si="6"/>
        <v>0</v>
      </c>
      <c r="I14" s="1287">
        <f t="shared" si="7"/>
        <v>0</v>
      </c>
      <c r="J14" s="671">
        <f t="shared" si="8"/>
        <v>0</v>
      </c>
      <c r="K14" s="671">
        <f t="shared" si="9"/>
        <v>0</v>
      </c>
      <c r="L14" s="1287">
        <f t="shared" si="10"/>
        <v>0</v>
      </c>
      <c r="M14" s="1287">
        <f t="shared" si="11"/>
        <v>0</v>
      </c>
      <c r="N14" s="39">
        <f t="shared" si="12"/>
        <v>0</v>
      </c>
      <c r="O14" s="1287">
        <f t="shared" si="13"/>
        <v>0</v>
      </c>
      <c r="P14" s="39">
        <f t="shared" si="14"/>
        <v>0</v>
      </c>
      <c r="Q14" s="39">
        <f t="shared" si="15"/>
        <v>0</v>
      </c>
      <c r="R14" s="1287">
        <f t="shared" si="16"/>
        <v>0</v>
      </c>
      <c r="S14" s="1287">
        <f t="shared" si="17"/>
        <v>0</v>
      </c>
      <c r="T14" s="1287">
        <f t="shared" si="18"/>
        <v>0</v>
      </c>
      <c r="U14" s="1287">
        <f t="shared" si="19"/>
        <v>0</v>
      </c>
      <c r="V14" s="1287">
        <f t="shared" si="20"/>
        <v>0</v>
      </c>
      <c r="W14" s="1287">
        <f t="shared" si="21"/>
        <v>0</v>
      </c>
      <c r="X14" s="1287">
        <f t="shared" si="22"/>
        <v>0</v>
      </c>
      <c r="Y14" s="1287">
        <f t="shared" si="23"/>
        <v>0</v>
      </c>
      <c r="Z14" s="1287">
        <f t="shared" si="24"/>
        <v>0</v>
      </c>
      <c r="AA14" s="1287">
        <f t="shared" si="25"/>
        <v>0</v>
      </c>
      <c r="AB14" s="1287">
        <f t="shared" si="26"/>
        <v>0</v>
      </c>
      <c r="AC14" s="1287">
        <f t="shared" si="27"/>
        <v>0</v>
      </c>
      <c r="AD14" s="1287">
        <f t="shared" si="28"/>
        <v>0</v>
      </c>
      <c r="AE14" s="1287">
        <f t="shared" si="29"/>
        <v>0</v>
      </c>
      <c r="AF14" s="1287">
        <f t="shared" si="30"/>
        <v>0</v>
      </c>
      <c r="AG14" s="1287">
        <f t="shared" si="31"/>
        <v>0</v>
      </c>
      <c r="AH14" s="1287">
        <f t="shared" si="32"/>
        <v>0</v>
      </c>
      <c r="AI14" s="1287">
        <f t="shared" si="33"/>
        <v>0</v>
      </c>
      <c r="AJ14" s="1287">
        <f t="shared" si="34"/>
        <v>0</v>
      </c>
    </row>
    <row r="15" spans="1:36" s="1282" customFormat="1">
      <c r="A15" s="1282">
        <f>INPUTS!$C34</f>
        <v>0</v>
      </c>
      <c r="B15" s="1287">
        <f t="shared" si="0"/>
        <v>0</v>
      </c>
      <c r="C15" s="1287">
        <f t="shared" si="1"/>
        <v>0</v>
      </c>
      <c r="D15" s="1287">
        <f t="shared" si="2"/>
        <v>0</v>
      </c>
      <c r="E15" s="1287">
        <f t="shared" si="3"/>
        <v>0</v>
      </c>
      <c r="F15" s="1287">
        <f t="shared" si="4"/>
        <v>0</v>
      </c>
      <c r="G15" s="1287">
        <f t="shared" si="5"/>
        <v>0</v>
      </c>
      <c r="H15" s="671">
        <f t="shared" si="6"/>
        <v>0</v>
      </c>
      <c r="I15" s="1287">
        <f t="shared" si="7"/>
        <v>0</v>
      </c>
      <c r="J15" s="671">
        <f t="shared" si="8"/>
        <v>0</v>
      </c>
      <c r="K15" s="671">
        <f t="shared" si="9"/>
        <v>0</v>
      </c>
      <c r="L15" s="1287">
        <f t="shared" si="10"/>
        <v>0</v>
      </c>
      <c r="M15" s="1287">
        <f t="shared" si="11"/>
        <v>0</v>
      </c>
      <c r="N15" s="39">
        <f t="shared" si="12"/>
        <v>0</v>
      </c>
      <c r="O15" s="1287">
        <f t="shared" si="13"/>
        <v>0</v>
      </c>
      <c r="P15" s="39">
        <f t="shared" si="14"/>
        <v>0</v>
      </c>
      <c r="Q15" s="39">
        <f t="shared" si="15"/>
        <v>0</v>
      </c>
      <c r="R15" s="1287">
        <f t="shared" si="16"/>
        <v>0</v>
      </c>
      <c r="S15" s="1287">
        <f t="shared" si="17"/>
        <v>0</v>
      </c>
      <c r="T15" s="1287">
        <f t="shared" si="18"/>
        <v>0</v>
      </c>
      <c r="U15" s="1287">
        <f t="shared" si="19"/>
        <v>0</v>
      </c>
      <c r="V15" s="1287">
        <f t="shared" si="20"/>
        <v>0</v>
      </c>
      <c r="W15" s="1287">
        <f t="shared" si="21"/>
        <v>0</v>
      </c>
      <c r="X15" s="1287">
        <f t="shared" si="22"/>
        <v>0</v>
      </c>
      <c r="Y15" s="1287">
        <f t="shared" si="23"/>
        <v>0</v>
      </c>
      <c r="Z15" s="1287">
        <f t="shared" si="24"/>
        <v>0</v>
      </c>
      <c r="AA15" s="1287">
        <f t="shared" si="25"/>
        <v>0</v>
      </c>
      <c r="AB15" s="1287">
        <f t="shared" si="26"/>
        <v>0</v>
      </c>
      <c r="AC15" s="1287">
        <f t="shared" si="27"/>
        <v>0</v>
      </c>
      <c r="AD15" s="1287">
        <f t="shared" si="28"/>
        <v>0</v>
      </c>
      <c r="AE15" s="1287">
        <f t="shared" si="29"/>
        <v>0</v>
      </c>
      <c r="AF15" s="1287">
        <f t="shared" si="30"/>
        <v>0</v>
      </c>
      <c r="AG15" s="1287">
        <f t="shared" si="31"/>
        <v>0</v>
      </c>
      <c r="AH15" s="1287">
        <f t="shared" si="32"/>
        <v>0</v>
      </c>
      <c r="AI15" s="1287">
        <f t="shared" si="33"/>
        <v>0</v>
      </c>
      <c r="AJ15" s="1287">
        <f t="shared" si="34"/>
        <v>0</v>
      </c>
    </row>
    <row r="16" spans="1:36" s="1280" customFormat="1">
      <c r="G16" s="862"/>
      <c r="H16" s="862"/>
      <c r="I16" s="862"/>
      <c r="J16" s="862"/>
      <c r="K16" s="862"/>
      <c r="L16" s="862"/>
      <c r="M16" s="862"/>
      <c r="N16" s="862"/>
      <c r="O16" s="862"/>
      <c r="P16" s="862"/>
    </row>
    <row r="17" spans="1:52">
      <c r="A17" s="755"/>
      <c r="B17" s="755"/>
      <c r="C17" s="755"/>
      <c r="D17" s="755"/>
      <c r="E17" s="755"/>
      <c r="F17" s="755"/>
      <c r="G17" s="755"/>
      <c r="H17" s="755"/>
      <c r="I17" s="859"/>
      <c r="J17" s="859"/>
      <c r="K17" s="859"/>
      <c r="L17" s="859"/>
      <c r="M17" s="859"/>
      <c r="N17" s="859"/>
      <c r="O17" s="859"/>
      <c r="P17" s="859"/>
      <c r="Q17" s="859"/>
      <c r="R17" s="859"/>
      <c r="S17" s="755"/>
      <c r="T17" s="755"/>
      <c r="U17" s="755"/>
      <c r="V17" s="755"/>
      <c r="W17" s="755"/>
      <c r="X17" s="755"/>
      <c r="Y17" s="755"/>
      <c r="Z17" s="755"/>
      <c r="AA17" s="755"/>
      <c r="AB17" s="755"/>
      <c r="AC17" s="755"/>
      <c r="AD17" s="755"/>
      <c r="AE17" s="755"/>
    </row>
    <row r="18" spans="1:52" s="145" customFormat="1" ht="16.5" thickBot="1">
      <c r="A18" s="11"/>
      <c r="B18" s="11"/>
      <c r="C18" s="11"/>
      <c r="D18" s="11"/>
      <c r="E18" s="11"/>
      <c r="F18" s="11"/>
      <c r="G18" s="11"/>
      <c r="H18" s="11"/>
      <c r="I18" s="860"/>
      <c r="J18" s="860"/>
      <c r="L18" s="860"/>
      <c r="M18" s="860"/>
      <c r="N18" s="860"/>
      <c r="O18" s="860"/>
      <c r="P18" s="860"/>
      <c r="Q18" s="860"/>
      <c r="R18" s="860"/>
      <c r="S18" s="860"/>
      <c r="T18" s="860"/>
      <c r="U18" s="11"/>
      <c r="V18" s="11"/>
      <c r="W18" s="11"/>
      <c r="X18" s="143"/>
      <c r="Y18" s="11"/>
      <c r="Z18" s="143"/>
      <c r="AA18" s="143"/>
      <c r="AB18" s="143"/>
      <c r="AC18" s="143"/>
      <c r="AD18" s="143"/>
      <c r="AE18" s="756"/>
      <c r="AF18" s="756"/>
      <c r="AG18" s="756"/>
      <c r="AJ18" s="231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54" customFormat="1" ht="105.95" customHeight="1">
      <c r="A19" s="757" t="s">
        <v>80</v>
      </c>
      <c r="B19" s="758" t="s">
        <v>630</v>
      </c>
      <c r="C19" s="758" t="s">
        <v>1734</v>
      </c>
      <c r="D19" s="758" t="s">
        <v>1783</v>
      </c>
      <c r="E19" s="758" t="s">
        <v>1735</v>
      </c>
      <c r="F19" s="758" t="s">
        <v>1736</v>
      </c>
      <c r="G19" s="758" t="s">
        <v>1597</v>
      </c>
      <c r="H19" s="758" t="s">
        <v>1673</v>
      </c>
      <c r="I19" s="758" t="s">
        <v>1450</v>
      </c>
      <c r="J19" s="758" t="s">
        <v>1598</v>
      </c>
      <c r="K19" s="1253" t="s">
        <v>1792</v>
      </c>
      <c r="L19" s="758" t="s">
        <v>1791</v>
      </c>
      <c r="M19" s="758" t="s">
        <v>1452</v>
      </c>
      <c r="N19" s="758" t="s">
        <v>1675</v>
      </c>
      <c r="O19" s="758" t="s">
        <v>1453</v>
      </c>
      <c r="P19" s="758" t="s">
        <v>1676</v>
      </c>
      <c r="Q19" s="758" t="s">
        <v>1793</v>
      </c>
      <c r="R19" s="758" t="s">
        <v>1794</v>
      </c>
      <c r="S19" s="758" t="s">
        <v>1677</v>
      </c>
      <c r="T19" s="758" t="s">
        <v>1355</v>
      </c>
      <c r="U19" s="759" t="s">
        <v>1354</v>
      </c>
      <c r="V19" s="1220" t="s">
        <v>1728</v>
      </c>
      <c r="W19" s="759" t="s">
        <v>1121</v>
      </c>
      <c r="X19" s="759" t="s">
        <v>1122</v>
      </c>
      <c r="Y19" s="759" t="s">
        <v>1123</v>
      </c>
      <c r="Z19" s="758" t="s">
        <v>1124</v>
      </c>
      <c r="AA19" s="759" t="s">
        <v>1343</v>
      </c>
      <c r="AB19" s="758" t="s">
        <v>1342</v>
      </c>
      <c r="AC19" s="758" t="s">
        <v>1125</v>
      </c>
      <c r="AD19" s="760" t="s">
        <v>1126</v>
      </c>
      <c r="AE19" s="1058"/>
      <c r="AF19" s="1029" t="s">
        <v>1581</v>
      </c>
      <c r="AG19" s="1195" t="s">
        <v>1714</v>
      </c>
      <c r="AH19" s="1058" t="s">
        <v>1715</v>
      </c>
      <c r="AI19" s="1058" t="s">
        <v>1716</v>
      </c>
      <c r="AJ19" s="1191" t="s">
        <v>1713</v>
      </c>
      <c r="AL19" s="1283"/>
      <c r="AM19" s="1283"/>
      <c r="AN19" s="1283"/>
      <c r="AO19" s="1283"/>
      <c r="AP19" s="1283"/>
      <c r="AQ19" s="1283"/>
      <c r="AR19" s="1283"/>
      <c r="AS19" s="2"/>
      <c r="AT19" s="2"/>
      <c r="AU19" s="2"/>
      <c r="AV19" s="2"/>
      <c r="AW19" s="2"/>
      <c r="AX19" s="2"/>
      <c r="AY19" s="2"/>
      <c r="AZ19" s="2"/>
    </row>
    <row r="20" spans="1:52" s="145" customFormat="1">
      <c r="A20" s="781" t="s">
        <v>1818</v>
      </c>
      <c r="B20" s="1109">
        <v>0</v>
      </c>
      <c r="C20" s="1109"/>
      <c r="D20" s="1109"/>
      <c r="E20" s="1109"/>
      <c r="F20" s="1112"/>
      <c r="G20" s="1379">
        <f>2*INPUTS!L21</f>
        <v>0</v>
      </c>
      <c r="H20" s="1379">
        <f>0.5*B20^0.75</f>
        <v>0</v>
      </c>
      <c r="I20" s="1110">
        <v>0</v>
      </c>
      <c r="J20" s="1110">
        <v>0</v>
      </c>
      <c r="K20" s="686"/>
      <c r="L20" s="1110">
        <v>0</v>
      </c>
      <c r="M20" s="1110"/>
      <c r="N20" s="1385">
        <f>0.001*B20</f>
        <v>0</v>
      </c>
      <c r="O20" s="1111"/>
      <c r="P20" s="1112">
        <v>0</v>
      </c>
      <c r="Q20" s="1112"/>
      <c r="R20" s="1112">
        <v>0</v>
      </c>
      <c r="S20" s="1110"/>
      <c r="T20" s="1113"/>
      <c r="U20" s="1113"/>
      <c r="V20" s="1114">
        <v>0</v>
      </c>
      <c r="W20" s="1115">
        <v>0</v>
      </c>
      <c r="X20" s="1115">
        <v>0</v>
      </c>
      <c r="Y20" s="1116">
        <v>0</v>
      </c>
      <c r="Z20" s="1116">
        <v>2200</v>
      </c>
      <c r="AA20" s="1116">
        <v>26</v>
      </c>
      <c r="AB20" s="1116"/>
      <c r="AC20" s="1117"/>
      <c r="AD20" s="990">
        <v>2.9000000000000001E-2</v>
      </c>
      <c r="AE20" s="1118"/>
      <c r="AF20" s="1202" t="s">
        <v>1582</v>
      </c>
      <c r="AG20" s="1203">
        <v>500</v>
      </c>
      <c r="AH20" s="1204">
        <v>8</v>
      </c>
      <c r="AI20" s="1204"/>
      <c r="AJ20" s="1205">
        <v>4</v>
      </c>
    </row>
    <row r="21" spans="1:52" s="145" customFormat="1">
      <c r="A21" s="781" t="s">
        <v>1819</v>
      </c>
      <c r="B21" s="1109">
        <v>381</v>
      </c>
      <c r="C21" s="1109"/>
      <c r="D21" s="1109"/>
      <c r="E21" s="1109"/>
      <c r="F21" s="1112"/>
      <c r="G21" s="1379">
        <f>2*INPUTS!L22</f>
        <v>0</v>
      </c>
      <c r="H21" s="1379">
        <f>0.5*B21^0.75</f>
        <v>43.118509116603107</v>
      </c>
      <c r="I21" s="1110">
        <v>0</v>
      </c>
      <c r="J21" s="1110">
        <v>1500</v>
      </c>
      <c r="K21" s="686"/>
      <c r="L21" s="1110">
        <v>5.5</v>
      </c>
      <c r="M21" s="1110"/>
      <c r="N21" s="1385">
        <f>0.001*B21</f>
        <v>0.38100000000000001</v>
      </c>
      <c r="O21" s="1111"/>
      <c r="P21" s="1112">
        <v>12.21</v>
      </c>
      <c r="Q21" s="1112"/>
      <c r="R21" s="1112">
        <v>0.09</v>
      </c>
      <c r="S21" s="1110"/>
      <c r="T21" s="1398">
        <f>INPUTS!E22</f>
        <v>1525</v>
      </c>
      <c r="U21" s="1398"/>
      <c r="V21" s="1290">
        <v>1.2</v>
      </c>
      <c r="W21" s="1115">
        <v>3.7</v>
      </c>
      <c r="X21" s="1115">
        <v>4.3</v>
      </c>
      <c r="Y21" s="1116">
        <v>970</v>
      </c>
      <c r="Z21" s="1116">
        <v>2200</v>
      </c>
      <c r="AA21" s="1116">
        <v>26</v>
      </c>
      <c r="AB21" s="1116"/>
      <c r="AC21" s="1117"/>
      <c r="AD21" s="990">
        <v>2.9000000000000001E-2</v>
      </c>
      <c r="AE21" s="1118"/>
      <c r="AF21" s="1030" t="s">
        <v>1582</v>
      </c>
      <c r="AG21" s="1196">
        <v>1500</v>
      </c>
      <c r="AH21" s="1197">
        <v>20</v>
      </c>
      <c r="AI21" s="1197"/>
      <c r="AJ21" s="1198">
        <v>8</v>
      </c>
    </row>
    <row r="22" spans="1:52" s="145" customFormat="1">
      <c r="A22" s="781" t="s">
        <v>1068</v>
      </c>
      <c r="B22" s="1119">
        <v>0</v>
      </c>
      <c r="C22" s="1119"/>
      <c r="D22" s="1119"/>
      <c r="E22" s="1119"/>
      <c r="F22" s="1221"/>
      <c r="G22" s="1379">
        <f>2*INPUTS!L23</f>
        <v>0</v>
      </c>
      <c r="H22" s="1379">
        <f t="shared" ref="H22:H27" si="35">0.5*B22^0.75</f>
        <v>0</v>
      </c>
      <c r="I22" s="1110">
        <v>0</v>
      </c>
      <c r="J22" s="1110"/>
      <c r="K22" s="1119"/>
      <c r="L22" s="1119"/>
      <c r="M22" s="1119"/>
      <c r="N22" s="1385">
        <f t="shared" ref="N22:N27" si="36">0.001*B22</f>
        <v>0</v>
      </c>
      <c r="O22" s="1120"/>
      <c r="P22" s="1119"/>
      <c r="Q22" s="1119"/>
      <c r="R22" s="1119"/>
      <c r="S22" s="1119"/>
      <c r="T22" s="1398"/>
      <c r="U22" s="1398"/>
      <c r="V22" s="1117"/>
      <c r="W22" s="1117"/>
      <c r="X22" s="1117"/>
      <c r="Y22" s="1117"/>
      <c r="Z22" s="1116">
        <v>2200</v>
      </c>
      <c r="AA22" s="1116">
        <v>26</v>
      </c>
      <c r="AB22" s="1116"/>
      <c r="AC22" s="1117"/>
      <c r="AD22" s="990">
        <v>2.9000000000000001E-2</v>
      </c>
      <c r="AE22" s="1118"/>
      <c r="AF22" s="1030" t="s">
        <v>1582</v>
      </c>
      <c r="AG22" s="1196">
        <v>1500</v>
      </c>
      <c r="AH22" s="1197">
        <v>8</v>
      </c>
      <c r="AI22" s="1197"/>
      <c r="AJ22" s="1198">
        <v>2</v>
      </c>
    </row>
    <row r="23" spans="1:52" s="145" customFormat="1">
      <c r="A23" s="781" t="s">
        <v>1019</v>
      </c>
      <c r="B23" s="1119">
        <v>290</v>
      </c>
      <c r="C23" s="1119"/>
      <c r="D23" s="1119"/>
      <c r="E23" s="1119"/>
      <c r="F23" s="1221"/>
      <c r="G23" s="1380">
        <f>2*INPUTS!L24</f>
        <v>0</v>
      </c>
      <c r="H23" s="1379">
        <f t="shared" si="35"/>
        <v>35.137309395138168</v>
      </c>
      <c r="I23" s="1121">
        <v>0</v>
      </c>
      <c r="J23" s="1121"/>
      <c r="K23" s="1119"/>
      <c r="L23" s="1119"/>
      <c r="M23" s="1119">
        <v>50</v>
      </c>
      <c r="N23" s="1385">
        <f>0.001*B23</f>
        <v>0.28999999999999998</v>
      </c>
      <c r="O23" s="1120"/>
      <c r="P23" s="1119"/>
      <c r="Q23" s="1119"/>
      <c r="R23" s="1119"/>
      <c r="S23" s="1121">
        <v>0.4</v>
      </c>
      <c r="T23" s="1398"/>
      <c r="U23" s="1398">
        <f>INPUTS!F25</f>
        <v>156</v>
      </c>
      <c r="V23" s="1117">
        <v>0</v>
      </c>
      <c r="W23" s="1117">
        <v>0</v>
      </c>
      <c r="X23" s="1117">
        <v>0</v>
      </c>
      <c r="Y23" s="1117">
        <v>0</v>
      </c>
      <c r="Z23" s="1116">
        <v>2200</v>
      </c>
      <c r="AA23" s="1116">
        <v>26</v>
      </c>
      <c r="AB23" s="1116">
        <v>0.57999999999999996</v>
      </c>
      <c r="AC23" s="1117"/>
      <c r="AD23" s="990">
        <v>2.9000000000000001E-2</v>
      </c>
      <c r="AE23" s="1118"/>
      <c r="AF23" s="1030" t="s">
        <v>1582</v>
      </c>
      <c r="AG23" s="1196">
        <v>500</v>
      </c>
      <c r="AH23" s="1197">
        <v>5</v>
      </c>
      <c r="AI23" s="1197"/>
      <c r="AJ23" s="1198">
        <v>2</v>
      </c>
    </row>
    <row r="24" spans="1:52" s="145" customFormat="1">
      <c r="A24" s="781" t="s">
        <v>631</v>
      </c>
      <c r="B24" s="1119">
        <v>0</v>
      </c>
      <c r="C24" s="1119"/>
      <c r="D24" s="1119"/>
      <c r="E24" s="1119"/>
      <c r="F24" s="1221"/>
      <c r="G24" s="1379">
        <f>2*INPUTS!L25</f>
        <v>0</v>
      </c>
      <c r="H24" s="1379">
        <f t="shared" si="35"/>
        <v>0</v>
      </c>
      <c r="I24" s="1121">
        <v>0</v>
      </c>
      <c r="J24" s="1121"/>
      <c r="K24" s="1119"/>
      <c r="L24" s="1119"/>
      <c r="M24" s="1119">
        <v>0</v>
      </c>
      <c r="N24" s="1385">
        <f t="shared" si="36"/>
        <v>0</v>
      </c>
      <c r="O24" s="1120"/>
      <c r="P24" s="1119"/>
      <c r="Q24" s="1119"/>
      <c r="R24" s="1119"/>
      <c r="S24" s="1121">
        <v>0</v>
      </c>
      <c r="T24" s="1113"/>
      <c r="U24" s="1113"/>
      <c r="V24" s="1117"/>
      <c r="W24" s="1117"/>
      <c r="X24" s="1117"/>
      <c r="Y24" s="1117"/>
      <c r="Z24" s="1116">
        <v>2200</v>
      </c>
      <c r="AA24" s="1116">
        <v>26</v>
      </c>
      <c r="AB24" s="1116">
        <v>0.5</v>
      </c>
      <c r="AC24" s="1117"/>
      <c r="AD24" s="990">
        <v>2.9000000000000001E-2</v>
      </c>
      <c r="AE24" s="1118"/>
      <c r="AF24" s="1030" t="s">
        <v>1582</v>
      </c>
      <c r="AG24" s="1196">
        <v>200</v>
      </c>
      <c r="AH24" s="1197">
        <v>5</v>
      </c>
      <c r="AI24" s="1197"/>
      <c r="AJ24" s="1198">
        <v>2</v>
      </c>
    </row>
    <row r="25" spans="1:52" s="145" customFormat="1">
      <c r="A25" s="781" t="s">
        <v>1820</v>
      </c>
      <c r="B25" s="1119">
        <v>0</v>
      </c>
      <c r="C25" s="1119"/>
      <c r="D25" s="1119"/>
      <c r="E25" s="1119"/>
      <c r="F25" s="1221"/>
      <c r="G25" s="1380">
        <f>2*INPUTS!L26</f>
        <v>0</v>
      </c>
      <c r="H25" s="1379">
        <f t="shared" ref="H25" si="37">0.5*B25^0.75</f>
        <v>0</v>
      </c>
      <c r="I25" s="1110">
        <v>0</v>
      </c>
      <c r="J25" s="1110">
        <v>0</v>
      </c>
      <c r="K25" s="686"/>
      <c r="L25" s="1110">
        <v>0</v>
      </c>
      <c r="M25" s="1110"/>
      <c r="N25" s="1385">
        <f t="shared" ref="N25" si="38">0.001*B25</f>
        <v>0</v>
      </c>
      <c r="O25" s="1111"/>
      <c r="P25" s="1112">
        <v>0</v>
      </c>
      <c r="Q25" s="1112"/>
      <c r="R25" s="1112">
        <v>0</v>
      </c>
      <c r="S25" s="1110"/>
      <c r="T25" s="1113"/>
      <c r="U25" s="1113"/>
      <c r="V25" s="1114">
        <v>0</v>
      </c>
      <c r="W25" s="1115">
        <v>0</v>
      </c>
      <c r="X25" s="1115">
        <v>0</v>
      </c>
      <c r="Y25" s="1117">
        <v>0</v>
      </c>
      <c r="Z25" s="1116">
        <v>2200</v>
      </c>
      <c r="AA25" s="1116">
        <v>26</v>
      </c>
      <c r="AB25" s="1116"/>
      <c r="AC25" s="1117"/>
      <c r="AD25" s="990">
        <v>2.9000000000000001E-2</v>
      </c>
      <c r="AE25" s="1118"/>
      <c r="AF25" s="1030" t="s">
        <v>1582</v>
      </c>
      <c r="AG25" s="1196">
        <v>1500</v>
      </c>
      <c r="AH25" s="1197">
        <v>20</v>
      </c>
      <c r="AI25" s="1197"/>
      <c r="AJ25" s="1198">
        <v>8</v>
      </c>
    </row>
    <row r="26" spans="1:52" s="145" customFormat="1">
      <c r="A26" s="781" t="s">
        <v>1771</v>
      </c>
      <c r="B26" s="1119">
        <v>0</v>
      </c>
      <c r="C26" s="1119"/>
      <c r="D26" s="1119"/>
      <c r="E26" s="1119"/>
      <c r="F26" s="1221"/>
      <c r="G26" s="1380">
        <f>2*INPUTS!L26</f>
        <v>0</v>
      </c>
      <c r="H26" s="1379">
        <f t="shared" si="35"/>
        <v>0</v>
      </c>
      <c r="I26" s="1121">
        <v>0</v>
      </c>
      <c r="J26" s="1121"/>
      <c r="K26" s="1119"/>
      <c r="L26" s="1119"/>
      <c r="M26" s="1119">
        <v>0</v>
      </c>
      <c r="N26" s="1385">
        <f t="shared" si="36"/>
        <v>0</v>
      </c>
      <c r="O26" s="1120"/>
      <c r="P26" s="1119"/>
      <c r="Q26" s="1119"/>
      <c r="R26" s="1119"/>
      <c r="S26" s="1121">
        <v>0</v>
      </c>
      <c r="T26" s="1113"/>
      <c r="U26" s="1113"/>
      <c r="V26" s="1117"/>
      <c r="W26" s="1117"/>
      <c r="X26" s="1117"/>
      <c r="Y26" s="1117"/>
      <c r="Z26" s="1116">
        <v>2200</v>
      </c>
      <c r="AA26" s="1116">
        <v>26</v>
      </c>
      <c r="AB26" s="1116">
        <v>0.57999999999999996</v>
      </c>
      <c r="AC26" s="1117"/>
      <c r="AD26" s="990">
        <v>2.9000000000000001E-2</v>
      </c>
      <c r="AE26" s="1118"/>
      <c r="AF26" s="1030" t="s">
        <v>1582</v>
      </c>
      <c r="AG26" s="1196">
        <v>1000</v>
      </c>
      <c r="AH26" s="1197">
        <v>10</v>
      </c>
      <c r="AI26" s="1197"/>
      <c r="AJ26" s="1198">
        <v>2</v>
      </c>
    </row>
    <row r="27" spans="1:52" s="145" customFormat="1">
      <c r="A27" s="781" t="s">
        <v>1772</v>
      </c>
      <c r="B27" s="1119">
        <v>0</v>
      </c>
      <c r="C27" s="1119"/>
      <c r="D27" s="1119"/>
      <c r="E27" s="1119"/>
      <c r="F27" s="1221"/>
      <c r="G27" s="1379">
        <f>2*INPUTS!L27</f>
        <v>0</v>
      </c>
      <c r="H27" s="1379">
        <f t="shared" si="35"/>
        <v>0</v>
      </c>
      <c r="I27" s="1121"/>
      <c r="J27" s="1121"/>
      <c r="K27" s="1119"/>
      <c r="L27" s="1119"/>
      <c r="M27" s="1119">
        <v>0</v>
      </c>
      <c r="N27" s="1385">
        <f t="shared" si="36"/>
        <v>0</v>
      </c>
      <c r="O27" s="1120"/>
      <c r="P27" s="1119"/>
      <c r="Q27" s="1119"/>
      <c r="R27" s="1119"/>
      <c r="S27" s="1121">
        <v>0</v>
      </c>
      <c r="T27" s="1113"/>
      <c r="U27" s="1113"/>
      <c r="V27" s="1117"/>
      <c r="W27" s="1117"/>
      <c r="X27" s="1117"/>
      <c r="Y27" s="1117"/>
      <c r="Z27" s="1116">
        <v>2200</v>
      </c>
      <c r="AA27" s="1116">
        <v>26</v>
      </c>
      <c r="AB27" s="1116">
        <v>0.57999999999999996</v>
      </c>
      <c r="AC27" s="1117"/>
      <c r="AD27" s="990">
        <v>2.9000000000000001E-2</v>
      </c>
      <c r="AE27" s="1118"/>
      <c r="AF27" s="1030" t="s">
        <v>1582</v>
      </c>
      <c r="AG27" s="1196">
        <v>400</v>
      </c>
      <c r="AH27" s="1197">
        <v>10</v>
      </c>
      <c r="AI27" s="1197"/>
      <c r="AJ27" s="1198">
        <v>2</v>
      </c>
    </row>
    <row r="28" spans="1:52" s="145" customFormat="1">
      <c r="A28" s="781" t="s">
        <v>1775</v>
      </c>
      <c r="B28" s="1122">
        <v>0</v>
      </c>
      <c r="C28" s="1122"/>
      <c r="D28" s="1122">
        <v>0</v>
      </c>
      <c r="E28" s="1122"/>
      <c r="F28" s="1222"/>
      <c r="G28" s="1381">
        <f>2*INPUTS!L28</f>
        <v>0</v>
      </c>
      <c r="H28" s="1379">
        <f>0.44*B28^0.75</f>
        <v>0</v>
      </c>
      <c r="I28" s="1123"/>
      <c r="J28" s="1383">
        <f>H28*0.25*50+H28*0.35*65+H28*0.55*45</f>
        <v>0</v>
      </c>
      <c r="K28" s="1383">
        <f>H28*2.5*D28</f>
        <v>0</v>
      </c>
      <c r="L28" s="1123">
        <v>0</v>
      </c>
      <c r="M28" s="1124"/>
      <c r="N28" s="1386">
        <f>0.002*B28</f>
        <v>0</v>
      </c>
      <c r="O28" s="1125"/>
      <c r="P28" s="1389">
        <f>N28*0.3*50+N28*0.5*65+N28*0.7*45</f>
        <v>0</v>
      </c>
      <c r="Q28" s="1383">
        <f>N28*2*D28</f>
        <v>0</v>
      </c>
      <c r="R28" s="1222">
        <v>0</v>
      </c>
      <c r="S28" s="1124"/>
      <c r="T28" s="1113"/>
      <c r="U28" s="1113"/>
      <c r="V28" s="1117">
        <v>0</v>
      </c>
      <c r="W28" s="1115">
        <v>0</v>
      </c>
      <c r="X28" s="1115">
        <v>0</v>
      </c>
      <c r="Y28" s="1116">
        <v>0</v>
      </c>
      <c r="Z28" s="1116">
        <v>2200</v>
      </c>
      <c r="AA28" s="1116">
        <v>25</v>
      </c>
      <c r="AB28" s="1116"/>
      <c r="AC28" s="1117"/>
      <c r="AD28" s="990">
        <v>2.7E-2</v>
      </c>
      <c r="AE28" s="1118"/>
      <c r="AF28" s="1030" t="s">
        <v>1583</v>
      </c>
      <c r="AG28" s="1196"/>
      <c r="AH28" s="1197"/>
      <c r="AI28" s="1197"/>
      <c r="AJ28" s="1198"/>
    </row>
    <row r="29" spans="1:52" s="145" customFormat="1" ht="13.5" customHeight="1">
      <c r="A29" s="781" t="s">
        <v>1777</v>
      </c>
      <c r="B29" s="1122">
        <v>0</v>
      </c>
      <c r="C29" s="1122"/>
      <c r="D29" s="1122"/>
      <c r="E29" s="1122"/>
      <c r="F29" s="1222"/>
      <c r="G29" s="1381"/>
      <c r="H29" s="1379">
        <f t="shared" ref="H29:H31" si="39">0.44*B29^0.75</f>
        <v>0</v>
      </c>
      <c r="I29" s="1123"/>
      <c r="J29" s="1123"/>
      <c r="K29" s="1124"/>
      <c r="L29" s="1124"/>
      <c r="M29" s="1122">
        <v>0</v>
      </c>
      <c r="N29" s="1386">
        <f t="shared" ref="N29:N31" si="40">0.002*B29</f>
        <v>0</v>
      </c>
      <c r="O29" s="1125"/>
      <c r="P29" s="1124"/>
      <c r="Q29" s="1124"/>
      <c r="R29" s="1124"/>
      <c r="S29" s="1222">
        <v>0</v>
      </c>
      <c r="T29" s="1113"/>
      <c r="U29" s="1113"/>
      <c r="V29" s="1117"/>
      <c r="W29" s="1115"/>
      <c r="X29" s="1115"/>
      <c r="Y29" s="1116"/>
      <c r="Z29" s="1116"/>
      <c r="AA29" s="1116"/>
      <c r="AB29" s="1116"/>
      <c r="AC29" s="1117"/>
      <c r="AD29" s="990"/>
      <c r="AE29" s="1118"/>
      <c r="AF29" s="1030"/>
      <c r="AG29" s="1196"/>
      <c r="AH29" s="1197"/>
      <c r="AI29" s="1197"/>
      <c r="AJ29" s="1198"/>
    </row>
    <row r="30" spans="1:52" s="145" customFormat="1" ht="17.100000000000001" customHeight="1">
      <c r="A30" s="781" t="s">
        <v>1776</v>
      </c>
      <c r="B30" s="1122">
        <v>0</v>
      </c>
      <c r="C30" s="1122"/>
      <c r="D30" s="1122"/>
      <c r="E30" s="1122"/>
      <c r="F30" s="1222"/>
      <c r="G30" s="1381"/>
      <c r="H30" s="1379">
        <f t="shared" si="39"/>
        <v>0</v>
      </c>
      <c r="I30" s="1123"/>
      <c r="J30" s="1123"/>
      <c r="K30" s="1124"/>
      <c r="L30" s="1124"/>
      <c r="M30" s="1122">
        <v>0</v>
      </c>
      <c r="N30" s="1386">
        <f t="shared" si="40"/>
        <v>0</v>
      </c>
      <c r="O30" s="1125"/>
      <c r="P30" s="1124"/>
      <c r="Q30" s="1124"/>
      <c r="R30" s="1124"/>
      <c r="S30" s="1222">
        <v>0</v>
      </c>
      <c r="T30" s="1113"/>
      <c r="U30" s="1113"/>
      <c r="V30" s="1117"/>
      <c r="W30" s="1115"/>
      <c r="X30" s="1115"/>
      <c r="Y30" s="1116"/>
      <c r="Z30" s="1116"/>
      <c r="AA30" s="1116"/>
      <c r="AB30" s="1116"/>
      <c r="AC30" s="1117"/>
      <c r="AD30" s="990"/>
      <c r="AE30" s="1118"/>
      <c r="AF30" s="1030"/>
      <c r="AG30" s="1196"/>
      <c r="AH30" s="1197"/>
      <c r="AI30" s="1197"/>
      <c r="AJ30" s="1198"/>
    </row>
    <row r="31" spans="1:52" s="145" customFormat="1">
      <c r="A31" s="781" t="s">
        <v>1778</v>
      </c>
      <c r="B31" s="1122">
        <v>0</v>
      </c>
      <c r="C31" s="1122"/>
      <c r="D31" s="1122"/>
      <c r="E31" s="1122"/>
      <c r="F31" s="1222"/>
      <c r="G31" s="1381">
        <f>2*INPUTS!L29</f>
        <v>0</v>
      </c>
      <c r="H31" s="1379">
        <f t="shared" si="39"/>
        <v>0</v>
      </c>
      <c r="I31" s="1123"/>
      <c r="J31" s="1123"/>
      <c r="K31" s="1124"/>
      <c r="L31" s="1124"/>
      <c r="M31" s="1122">
        <v>0</v>
      </c>
      <c r="N31" s="1386">
        <f t="shared" si="40"/>
        <v>0</v>
      </c>
      <c r="O31" s="1125"/>
      <c r="P31" s="1124"/>
      <c r="Q31" s="1124"/>
      <c r="R31" s="1124"/>
      <c r="S31" s="1222">
        <v>0</v>
      </c>
      <c r="T31" s="1113"/>
      <c r="U31" s="1113"/>
      <c r="V31" s="1117"/>
      <c r="W31" s="1115">
        <v>0</v>
      </c>
      <c r="X31" s="1115">
        <v>0</v>
      </c>
      <c r="Y31" s="1117">
        <v>0</v>
      </c>
      <c r="Z31" s="1116">
        <v>2200</v>
      </c>
      <c r="AA31" s="1116">
        <v>25</v>
      </c>
      <c r="AB31" s="1116"/>
      <c r="AC31" s="1117"/>
      <c r="AD31" s="990">
        <v>2.9000000000000001E-2</v>
      </c>
      <c r="AE31" s="1118"/>
      <c r="AF31" s="1030" t="s">
        <v>1592</v>
      </c>
      <c r="AG31" s="1196"/>
      <c r="AH31" s="1197"/>
      <c r="AI31" s="1197"/>
      <c r="AJ31" s="1198"/>
    </row>
    <row r="32" spans="1:52" s="145" customFormat="1" ht="15" customHeight="1">
      <c r="A32" s="1160" t="s">
        <v>1672</v>
      </c>
      <c r="B32" s="1122">
        <v>0</v>
      </c>
      <c r="C32" s="1122">
        <v>0</v>
      </c>
      <c r="D32" s="1122">
        <v>0</v>
      </c>
      <c r="E32" s="1122">
        <v>0</v>
      </c>
      <c r="F32" s="1222">
        <v>0</v>
      </c>
      <c r="G32" s="1381">
        <v>0</v>
      </c>
      <c r="H32" s="1379">
        <f>0.44*B32^0.75</f>
        <v>0</v>
      </c>
      <c r="I32" s="1123"/>
      <c r="J32" s="1123">
        <v>0</v>
      </c>
      <c r="K32" s="1384">
        <f>(E32/100*D32*(6.83*C32*F32-0.125*C32))*4.2</f>
        <v>0</v>
      </c>
      <c r="L32" s="1166"/>
      <c r="M32" s="1124"/>
      <c r="N32" s="1387">
        <f>2*0.00028*B32^0.75</f>
        <v>0</v>
      </c>
      <c r="O32" s="1125"/>
      <c r="P32" s="1390">
        <f>1.1*0.12*2.3*0.11*C32</f>
        <v>0</v>
      </c>
      <c r="Q32" s="1390">
        <f>(1.1*0.022*0.2*C32-0.0064)*49*0.6</f>
        <v>-0.18815999999999999</v>
      </c>
      <c r="R32" s="1164"/>
      <c r="S32" s="1124"/>
      <c r="T32" s="1113"/>
      <c r="U32" s="1113"/>
      <c r="V32" s="1117">
        <v>0</v>
      </c>
      <c r="W32" s="1115"/>
      <c r="X32" s="1115"/>
      <c r="Y32" s="1117"/>
      <c r="Z32" s="1116">
        <v>2580</v>
      </c>
      <c r="AA32" s="1116">
        <v>21</v>
      </c>
      <c r="AB32" s="1116"/>
      <c r="AC32" s="1117"/>
      <c r="AD32" s="990">
        <v>0.04</v>
      </c>
      <c r="AE32" s="1118"/>
      <c r="AF32" s="1030" t="s">
        <v>1680</v>
      </c>
      <c r="AG32" s="1196"/>
      <c r="AH32" s="1197"/>
      <c r="AI32" s="1197"/>
      <c r="AJ32" s="1198"/>
    </row>
    <row r="33" spans="1:41" s="145" customFormat="1">
      <c r="A33" s="1160" t="s">
        <v>1671</v>
      </c>
      <c r="B33" s="1122">
        <v>0</v>
      </c>
      <c r="C33" s="1122"/>
      <c r="D33" s="1122"/>
      <c r="E33" s="1122"/>
      <c r="F33" s="1222"/>
      <c r="G33" s="1381">
        <v>0</v>
      </c>
      <c r="H33" s="1381">
        <f t="shared" ref="H33:H34" si="41">0.44*B33^0.75</f>
        <v>0</v>
      </c>
      <c r="I33" s="1123"/>
      <c r="J33" s="1123"/>
      <c r="K33" s="1124"/>
      <c r="L33" s="1124"/>
      <c r="M33" s="1124"/>
      <c r="N33" s="1387">
        <f>2*0.00028*B33^0.75</f>
        <v>0</v>
      </c>
      <c r="O33" s="1125"/>
      <c r="P33" s="1124"/>
      <c r="Q33" s="1124"/>
      <c r="R33" s="1124"/>
      <c r="S33" s="1124"/>
      <c r="T33" s="1113"/>
      <c r="U33" s="1113"/>
      <c r="V33" s="1117"/>
      <c r="W33" s="1115"/>
      <c r="X33" s="1115"/>
      <c r="Y33" s="1117"/>
      <c r="Z33" s="1116">
        <v>2580</v>
      </c>
      <c r="AA33" s="1116">
        <v>21</v>
      </c>
      <c r="AB33" s="1116"/>
      <c r="AC33" s="1117"/>
      <c r="AD33" s="990">
        <v>0.04</v>
      </c>
      <c r="AE33" s="1118"/>
      <c r="AF33" s="1030" t="s">
        <v>1680</v>
      </c>
      <c r="AG33" s="1196"/>
      <c r="AH33" s="1197"/>
      <c r="AI33" s="1197"/>
      <c r="AJ33" s="1198"/>
    </row>
    <row r="34" spans="1:41" s="145" customFormat="1" ht="16.5" thickBot="1">
      <c r="A34" s="1140" t="s">
        <v>1670</v>
      </c>
      <c r="B34" s="761">
        <v>0</v>
      </c>
      <c r="C34" s="761"/>
      <c r="D34" s="761"/>
      <c r="E34" s="761"/>
      <c r="F34" s="1145"/>
      <c r="G34" s="1382">
        <v>0</v>
      </c>
      <c r="H34" s="1382">
        <f t="shared" si="41"/>
        <v>0</v>
      </c>
      <c r="I34" s="1072"/>
      <c r="J34" s="1072"/>
      <c r="K34" s="761"/>
      <c r="L34" s="761"/>
      <c r="M34" s="761">
        <v>0</v>
      </c>
      <c r="N34" s="1388">
        <f>2*0.00028*B34^0.75</f>
        <v>0</v>
      </c>
      <c r="O34" s="917"/>
      <c r="P34" s="1145"/>
      <c r="Q34" s="1145"/>
      <c r="R34" s="1145"/>
      <c r="S34" s="1165">
        <v>0</v>
      </c>
      <c r="T34" s="992"/>
      <c r="U34" s="992"/>
      <c r="V34" s="991"/>
      <c r="W34" s="1059"/>
      <c r="X34" s="1059"/>
      <c r="Y34" s="991"/>
      <c r="Z34" s="1060">
        <v>2580</v>
      </c>
      <c r="AA34" s="1060">
        <v>21</v>
      </c>
      <c r="AB34" s="1060">
        <v>0.6</v>
      </c>
      <c r="AC34" s="991"/>
      <c r="AD34" s="1059">
        <v>0.04</v>
      </c>
      <c r="AE34" s="1141"/>
      <c r="AF34" s="1031" t="s">
        <v>1680</v>
      </c>
      <c r="AG34" s="1199"/>
      <c r="AH34" s="1200"/>
      <c r="AI34" s="1200"/>
      <c r="AJ34" s="1201"/>
    </row>
    <row r="35" spans="1:41" s="145" customFormat="1">
      <c r="A35" s="143"/>
      <c r="B35" s="143"/>
      <c r="C35" s="143"/>
      <c r="D35" s="143"/>
      <c r="E35" s="143"/>
      <c r="F35" s="143"/>
      <c r="G35" s="861"/>
      <c r="H35" s="861"/>
      <c r="I35" s="861"/>
      <c r="J35" s="861"/>
      <c r="K35" s="861"/>
      <c r="L35" s="861"/>
      <c r="M35" s="861"/>
      <c r="N35" s="861"/>
      <c r="O35" s="861"/>
      <c r="P35" s="861"/>
      <c r="Q35" s="861"/>
      <c r="R35" s="861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J35" s="231"/>
      <c r="AO35" s="229"/>
    </row>
    <row r="36" spans="1:41" s="145" customFormat="1">
      <c r="A36" s="143"/>
      <c r="B36" s="143" t="s">
        <v>1799</v>
      </c>
      <c r="C36" s="755" t="s">
        <v>1801</v>
      </c>
      <c r="D36" s="143"/>
      <c r="E36" s="143"/>
      <c r="F36" s="143"/>
      <c r="G36" s="861"/>
      <c r="H36" s="861"/>
      <c r="I36" s="861"/>
      <c r="J36" s="861"/>
      <c r="K36" s="861"/>
      <c r="L36" s="861"/>
      <c r="M36" s="861"/>
      <c r="N36" s="861"/>
      <c r="O36" s="861"/>
      <c r="P36" s="861"/>
      <c r="Q36" s="861"/>
      <c r="R36" s="861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J36" s="231"/>
      <c r="AO36" s="229"/>
    </row>
    <row r="37" spans="1:41" s="145" customFormat="1">
      <c r="A37" s="143"/>
      <c r="B37" s="143"/>
      <c r="C37" s="755" t="s">
        <v>1802</v>
      </c>
      <c r="D37" s="143"/>
      <c r="E37" s="143"/>
      <c r="F37" s="143"/>
      <c r="G37" s="861"/>
      <c r="H37" s="861"/>
      <c r="I37" s="861"/>
      <c r="J37" s="861"/>
      <c r="K37" s="861"/>
      <c r="L37" s="861"/>
      <c r="M37" s="861"/>
      <c r="N37" s="861"/>
      <c r="O37" s="861"/>
      <c r="P37" s="861"/>
      <c r="Q37" s="861"/>
      <c r="R37" s="861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J37" s="231"/>
      <c r="AO37" s="229"/>
    </row>
    <row r="38" spans="1:41" s="145" customFormat="1">
      <c r="A38" s="143"/>
      <c r="B38" s="143"/>
      <c r="C38" s="755" t="s">
        <v>1803</v>
      </c>
      <c r="D38" s="143"/>
      <c r="E38" s="143"/>
      <c r="F38" s="143"/>
      <c r="G38" s="861"/>
      <c r="H38" s="861"/>
      <c r="I38" s="861"/>
      <c r="J38" s="861"/>
      <c r="K38" s="861"/>
      <c r="L38" s="861"/>
      <c r="M38" s="861"/>
      <c r="N38" s="861"/>
      <c r="O38" s="861"/>
      <c r="P38" s="861"/>
      <c r="Q38" s="861"/>
      <c r="R38" s="861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J38" s="231"/>
      <c r="AO38" s="229"/>
    </row>
    <row r="39" spans="1:41" s="145" customFormat="1">
      <c r="A39" s="143"/>
      <c r="B39" s="143"/>
      <c r="C39" s="755" t="s">
        <v>1805</v>
      </c>
      <c r="D39" s="143"/>
      <c r="E39" s="143"/>
      <c r="F39" s="143"/>
      <c r="G39" s="861"/>
      <c r="H39" s="861"/>
      <c r="I39" s="861"/>
      <c r="J39" s="861"/>
      <c r="K39" s="861"/>
      <c r="L39" s="861"/>
      <c r="M39" s="861"/>
      <c r="N39" s="861"/>
      <c r="O39" s="861"/>
      <c r="P39" s="861"/>
      <c r="Q39" s="861"/>
      <c r="R39" s="861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J39" s="231"/>
      <c r="AO39" s="229"/>
    </row>
    <row r="40" spans="1:41" s="145" customFormat="1">
      <c r="A40" s="143"/>
      <c r="B40" s="143"/>
      <c r="C40" s="755" t="s">
        <v>1806</v>
      </c>
      <c r="D40" s="143"/>
      <c r="E40" s="143"/>
      <c r="F40" s="143"/>
      <c r="G40" s="861"/>
      <c r="H40" s="861"/>
      <c r="I40" s="861"/>
      <c r="J40" s="861"/>
      <c r="K40" s="861"/>
      <c r="L40" s="861"/>
      <c r="M40" s="861"/>
      <c r="N40" s="861"/>
      <c r="O40" s="861"/>
      <c r="P40" s="861"/>
      <c r="Q40" s="861"/>
      <c r="R40" s="861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J40" s="231"/>
      <c r="AO40" s="229"/>
    </row>
    <row r="41" spans="1:41" s="145" customFormat="1">
      <c r="A41" s="143"/>
      <c r="B41" s="143"/>
      <c r="C41" s="755"/>
      <c r="D41" s="143"/>
      <c r="E41" s="143"/>
      <c r="F41" s="143"/>
      <c r="G41" s="861"/>
      <c r="H41" s="861"/>
      <c r="I41" s="861"/>
      <c r="J41" s="861"/>
      <c r="K41" s="861"/>
      <c r="L41" s="861"/>
      <c r="M41" s="861"/>
      <c r="N41" s="861"/>
      <c r="O41" s="861"/>
      <c r="P41" s="861"/>
      <c r="Q41" s="861"/>
      <c r="R41" s="861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J41" s="231"/>
      <c r="AO41" s="229"/>
    </row>
    <row r="42" spans="1:41" s="145" customFormat="1">
      <c r="A42" s="143"/>
      <c r="B42" s="143" t="s">
        <v>1807</v>
      </c>
      <c r="C42" s="755" t="s">
        <v>1808</v>
      </c>
      <c r="D42" s="143"/>
      <c r="E42" s="143"/>
      <c r="F42" s="143"/>
      <c r="G42" s="861"/>
      <c r="H42" s="861"/>
      <c r="I42" s="861"/>
      <c r="J42" s="861"/>
      <c r="K42" s="861"/>
      <c r="L42" s="861"/>
      <c r="M42" s="861"/>
      <c r="N42" s="861"/>
      <c r="O42" s="861"/>
      <c r="P42" s="861"/>
      <c r="Q42" s="861"/>
      <c r="R42" s="861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J42" s="231"/>
      <c r="AO42" s="229"/>
    </row>
    <row r="43" spans="1:41" s="145" customFormat="1">
      <c r="A43" s="143"/>
      <c r="B43" s="143"/>
      <c r="C43" s="755" t="s">
        <v>1809</v>
      </c>
      <c r="D43" s="143"/>
      <c r="E43" s="143"/>
      <c r="F43" s="143"/>
      <c r="G43" s="861"/>
      <c r="H43" s="861"/>
      <c r="I43" s="861"/>
      <c r="J43" s="861"/>
      <c r="K43" s="861"/>
      <c r="L43" s="861"/>
      <c r="M43" s="861"/>
      <c r="N43" s="861"/>
      <c r="O43" s="861"/>
      <c r="P43" s="861"/>
      <c r="Q43" s="861"/>
      <c r="R43" s="861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J43" s="231"/>
      <c r="AO43" s="229"/>
    </row>
    <row r="44" spans="1:41" s="145" customFormat="1">
      <c r="A44" s="143"/>
      <c r="B44" s="143"/>
      <c r="C44" s="755" t="s">
        <v>1810</v>
      </c>
      <c r="D44" s="143"/>
      <c r="E44" s="143"/>
      <c r="F44" s="143"/>
      <c r="G44" s="861"/>
      <c r="H44" s="861"/>
      <c r="I44" s="861"/>
      <c r="J44" s="861"/>
      <c r="K44" s="861"/>
      <c r="L44" s="861"/>
      <c r="M44" s="861"/>
      <c r="N44" s="861"/>
      <c r="O44" s="861"/>
      <c r="P44" s="861"/>
      <c r="Q44" s="861"/>
      <c r="R44" s="861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J44" s="231"/>
      <c r="AO44" s="229"/>
    </row>
    <row r="45" spans="1:41" s="145" customFormat="1">
      <c r="A45" s="143"/>
      <c r="B45" s="143"/>
      <c r="C45" s="755" t="s">
        <v>1811</v>
      </c>
      <c r="D45" s="143"/>
      <c r="E45" s="143"/>
      <c r="F45" s="143"/>
      <c r="G45" s="861"/>
      <c r="H45" s="861"/>
      <c r="I45" s="861"/>
      <c r="J45" s="861"/>
      <c r="K45" s="861"/>
      <c r="L45" s="861"/>
      <c r="M45" s="861"/>
      <c r="N45" s="861"/>
      <c r="O45" s="861"/>
      <c r="P45" s="861"/>
      <c r="Q45" s="861"/>
      <c r="R45" s="861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J45" s="231"/>
      <c r="AO45" s="229"/>
    </row>
    <row r="46" spans="1:41" s="145" customFormat="1">
      <c r="A46" s="143"/>
      <c r="B46" s="143"/>
      <c r="C46" s="755"/>
      <c r="D46" s="143"/>
      <c r="E46" s="143"/>
      <c r="F46" s="143"/>
      <c r="G46" s="861"/>
      <c r="H46" s="861"/>
      <c r="I46" s="861"/>
      <c r="J46" s="861"/>
      <c r="K46" s="861"/>
      <c r="L46" s="861"/>
      <c r="M46" s="861"/>
      <c r="N46" s="861"/>
      <c r="O46" s="861"/>
      <c r="P46" s="861"/>
      <c r="Q46" s="861"/>
      <c r="R46" s="861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J46" s="231"/>
      <c r="AO46" s="229"/>
    </row>
    <row r="47" spans="1:41" s="145" customFormat="1">
      <c r="A47" s="143"/>
      <c r="B47" s="143" t="s">
        <v>1800</v>
      </c>
      <c r="C47" s="755" t="s">
        <v>1801</v>
      </c>
      <c r="D47" s="143"/>
      <c r="E47" s="143"/>
      <c r="F47" s="143"/>
      <c r="G47" s="861"/>
      <c r="H47" s="861"/>
      <c r="I47" s="861"/>
      <c r="J47" s="861"/>
      <c r="K47" s="861"/>
      <c r="L47" s="861"/>
      <c r="M47" s="861"/>
      <c r="N47" s="861"/>
      <c r="O47" s="861"/>
      <c r="P47" s="861"/>
      <c r="Q47" s="861"/>
      <c r="R47" s="861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J47" s="231"/>
      <c r="AO47" s="229"/>
    </row>
    <row r="48" spans="1:41" s="145" customFormat="1">
      <c r="A48" s="755"/>
      <c r="B48" s="755"/>
      <c r="C48" s="755" t="s">
        <v>1802</v>
      </c>
      <c r="D48" s="143"/>
      <c r="E48" s="143"/>
      <c r="F48" s="143"/>
      <c r="G48" s="861"/>
      <c r="H48" s="861"/>
      <c r="I48" s="861"/>
      <c r="J48" s="861"/>
      <c r="K48" s="861"/>
      <c r="L48" s="861"/>
      <c r="M48" s="859"/>
      <c r="N48" s="859"/>
      <c r="O48" s="859"/>
      <c r="P48" s="859"/>
      <c r="Q48" s="755"/>
      <c r="R48" s="755"/>
      <c r="S48" s="755"/>
      <c r="T48" s="755"/>
      <c r="U48" s="755"/>
      <c r="V48" s="11" t="s">
        <v>901</v>
      </c>
      <c r="W48" s="143"/>
      <c r="X48" s="143"/>
      <c r="Y48" s="143"/>
      <c r="Z48" s="143"/>
      <c r="AA48" s="143"/>
      <c r="AB48" s="143"/>
      <c r="AC48" s="143"/>
      <c r="AH48" s="231"/>
      <c r="AM48" s="229"/>
    </row>
    <row r="49" spans="1:39" s="145" customFormat="1">
      <c r="A49" s="755"/>
      <c r="B49" s="755"/>
      <c r="C49" s="755" t="s">
        <v>1803</v>
      </c>
      <c r="D49" s="143"/>
      <c r="E49" s="143"/>
      <c r="F49" s="143"/>
      <c r="G49" s="861"/>
      <c r="H49" s="861"/>
      <c r="I49" s="861"/>
      <c r="J49" s="861"/>
      <c r="K49" s="861"/>
      <c r="L49" s="861"/>
      <c r="M49" s="859"/>
      <c r="N49" s="859"/>
      <c r="O49" s="859"/>
      <c r="P49" s="859"/>
      <c r="Q49" s="755"/>
      <c r="R49" s="755"/>
      <c r="S49" s="755"/>
      <c r="T49" s="755"/>
      <c r="U49" s="755"/>
      <c r="V49" s="11" t="s">
        <v>900</v>
      </c>
      <c r="W49" s="143"/>
      <c r="X49" s="143"/>
      <c r="Y49" s="143"/>
      <c r="Z49" s="143"/>
      <c r="AA49" s="143"/>
      <c r="AB49" s="143"/>
      <c r="AC49" s="143"/>
      <c r="AH49" s="231"/>
      <c r="AM49" s="229"/>
    </row>
    <row r="50" spans="1:39" s="145" customFormat="1">
      <c r="A50" s="755"/>
      <c r="B50" s="755"/>
      <c r="C50" s="755" t="s">
        <v>1805</v>
      </c>
      <c r="D50" s="143"/>
      <c r="E50" s="143"/>
      <c r="F50" s="143"/>
      <c r="G50" s="861"/>
      <c r="H50" s="861"/>
      <c r="I50" s="861"/>
      <c r="J50" s="861"/>
      <c r="K50" s="861"/>
      <c r="L50" s="861"/>
      <c r="M50" s="859"/>
      <c r="N50" s="859"/>
      <c r="O50" s="859"/>
      <c r="P50" s="859"/>
      <c r="Q50" s="755"/>
      <c r="R50" s="755"/>
      <c r="S50" s="755"/>
      <c r="T50" s="755"/>
      <c r="U50" s="755"/>
      <c r="V50" s="11"/>
      <c r="W50" s="143"/>
      <c r="X50" s="143"/>
      <c r="Y50" s="143"/>
      <c r="Z50" s="143"/>
      <c r="AA50" s="143"/>
      <c r="AB50" s="143"/>
      <c r="AC50" s="143"/>
      <c r="AH50" s="231"/>
      <c r="AM50" s="229"/>
    </row>
    <row r="51" spans="1:39" s="145" customFormat="1">
      <c r="A51" s="755"/>
      <c r="B51" s="755"/>
      <c r="C51" s="755" t="s">
        <v>1806</v>
      </c>
      <c r="D51" s="143"/>
      <c r="E51" s="143"/>
      <c r="F51" s="143"/>
      <c r="G51" s="861"/>
      <c r="H51" s="861"/>
      <c r="I51" s="861"/>
      <c r="J51" s="861"/>
      <c r="K51" s="861"/>
      <c r="L51" s="861"/>
      <c r="M51" s="859"/>
      <c r="N51" s="859"/>
      <c r="O51" s="859"/>
      <c r="P51" s="859"/>
      <c r="Q51" s="755"/>
      <c r="R51" s="755"/>
      <c r="S51" s="755"/>
      <c r="T51" s="755"/>
      <c r="U51" s="755"/>
      <c r="V51" s="11"/>
      <c r="W51" s="143"/>
      <c r="X51" s="143"/>
      <c r="Y51" s="143"/>
      <c r="Z51" s="143"/>
      <c r="AA51" s="143"/>
      <c r="AB51" s="143"/>
      <c r="AC51" s="143"/>
      <c r="AH51" s="231"/>
      <c r="AM51" s="229"/>
    </row>
    <row r="52" spans="1:39" s="145" customFormat="1">
      <c r="A52" s="755"/>
      <c r="B52" s="755"/>
      <c r="C52" s="755"/>
      <c r="D52" s="143"/>
      <c r="E52" s="143"/>
      <c r="F52" s="143"/>
      <c r="G52" s="861"/>
      <c r="H52" s="861"/>
      <c r="I52" s="861"/>
      <c r="J52" s="861"/>
      <c r="K52" s="861"/>
      <c r="L52" s="861"/>
      <c r="M52" s="859"/>
      <c r="N52" s="859"/>
      <c r="O52" s="859"/>
      <c r="P52" s="859"/>
      <c r="Q52" s="755"/>
      <c r="R52" s="755"/>
      <c r="S52" s="755"/>
      <c r="T52" s="755"/>
      <c r="U52" s="755"/>
      <c r="V52" s="11"/>
      <c r="W52" s="143"/>
      <c r="X52" s="143"/>
      <c r="Y52" s="143"/>
      <c r="Z52" s="143"/>
      <c r="AA52" s="143"/>
      <c r="AB52" s="143"/>
      <c r="AC52" s="143"/>
      <c r="AH52" s="231"/>
      <c r="AM52" s="229"/>
    </row>
    <row r="53" spans="1:39" s="145" customFormat="1">
      <c r="A53" s="755"/>
      <c r="B53" s="143" t="s">
        <v>1812</v>
      </c>
      <c r="C53" s="755" t="s">
        <v>1808</v>
      </c>
      <c r="D53" s="143"/>
      <c r="E53" s="143"/>
      <c r="F53" s="143"/>
      <c r="G53" s="861"/>
      <c r="H53" s="861"/>
      <c r="I53" s="861"/>
      <c r="J53" s="861"/>
      <c r="K53" s="861"/>
      <c r="L53" s="861"/>
      <c r="M53" s="859"/>
      <c r="N53" s="859"/>
      <c r="O53" s="859"/>
      <c r="P53" s="859"/>
      <c r="Q53" s="755"/>
      <c r="R53" s="755"/>
      <c r="S53" s="755"/>
      <c r="T53" s="755"/>
      <c r="U53" s="755"/>
      <c r="V53" s="11"/>
      <c r="W53" s="143"/>
      <c r="X53" s="143"/>
      <c r="Y53" s="143"/>
      <c r="Z53" s="143"/>
      <c r="AA53" s="143"/>
      <c r="AB53" s="143"/>
      <c r="AC53" s="143"/>
      <c r="AH53" s="231"/>
      <c r="AM53" s="229"/>
    </row>
    <row r="54" spans="1:39" s="145" customFormat="1">
      <c r="A54" s="755"/>
      <c r="B54" s="143"/>
      <c r="C54" s="755" t="s">
        <v>1809</v>
      </c>
      <c r="D54" s="143"/>
      <c r="E54" s="143"/>
      <c r="F54" s="143"/>
      <c r="G54" s="861"/>
      <c r="H54" s="861"/>
      <c r="I54" s="861"/>
      <c r="J54" s="861"/>
      <c r="K54" s="861"/>
      <c r="L54" s="861"/>
      <c r="M54" s="859"/>
      <c r="N54" s="859"/>
      <c r="O54" s="859"/>
      <c r="P54" s="859"/>
      <c r="Q54" s="755"/>
      <c r="R54" s="755"/>
      <c r="S54" s="755"/>
      <c r="T54" s="755"/>
      <c r="U54" s="755"/>
      <c r="V54" s="11"/>
      <c r="W54" s="143"/>
      <c r="X54" s="143"/>
      <c r="Y54" s="143"/>
      <c r="Z54" s="143"/>
      <c r="AA54" s="143"/>
      <c r="AB54" s="143"/>
      <c r="AC54" s="143"/>
      <c r="AH54" s="231"/>
      <c r="AM54" s="229"/>
    </row>
    <row r="55" spans="1:39" s="145" customFormat="1">
      <c r="A55" s="755"/>
      <c r="B55" s="143"/>
      <c r="C55" s="755" t="s">
        <v>1810</v>
      </c>
      <c r="D55" s="143"/>
      <c r="E55" s="143"/>
      <c r="F55" s="143"/>
      <c r="G55" s="861"/>
      <c r="H55" s="861"/>
      <c r="I55" s="861"/>
      <c r="J55" s="861"/>
      <c r="K55" s="861"/>
      <c r="L55" s="861"/>
      <c r="M55" s="859"/>
      <c r="N55" s="859"/>
      <c r="O55" s="859"/>
      <c r="P55" s="859"/>
      <c r="Q55" s="755"/>
      <c r="R55" s="755"/>
      <c r="S55" s="755"/>
      <c r="T55" s="755"/>
      <c r="U55" s="755"/>
      <c r="V55" s="11"/>
      <c r="W55" s="143"/>
      <c r="X55" s="143"/>
      <c r="Y55" s="143"/>
      <c r="Z55" s="143"/>
      <c r="AA55" s="143"/>
      <c r="AB55" s="143"/>
      <c r="AC55" s="143"/>
      <c r="AH55" s="231"/>
      <c r="AM55" s="229"/>
    </row>
    <row r="56" spans="1:39" s="145" customFormat="1">
      <c r="A56" s="755"/>
      <c r="B56" s="143"/>
      <c r="C56" s="755" t="s">
        <v>1811</v>
      </c>
      <c r="D56" s="143"/>
      <c r="E56" s="143"/>
      <c r="F56" s="143"/>
      <c r="G56" s="861"/>
      <c r="H56" s="861"/>
      <c r="I56" s="861"/>
      <c r="J56" s="861"/>
      <c r="K56" s="861"/>
      <c r="L56" s="861"/>
      <c r="M56" s="859"/>
      <c r="N56" s="859"/>
      <c r="O56" s="859"/>
      <c r="P56" s="859"/>
      <c r="Q56" s="755"/>
      <c r="R56" s="755"/>
      <c r="S56" s="755"/>
      <c r="T56" s="755"/>
      <c r="U56" s="755"/>
      <c r="V56" s="11"/>
      <c r="W56" s="143"/>
      <c r="X56" s="143"/>
      <c r="Y56" s="143"/>
      <c r="Z56" s="143"/>
      <c r="AA56" s="143"/>
      <c r="AB56" s="143"/>
      <c r="AC56" s="143"/>
      <c r="AH56" s="231"/>
      <c r="AM56" s="229"/>
    </row>
    <row r="57" spans="1:39" s="145" customFormat="1">
      <c r="A57" s="755"/>
      <c r="B57" s="755"/>
      <c r="C57" s="755"/>
      <c r="D57" s="143"/>
      <c r="E57" s="143"/>
      <c r="F57" s="143"/>
      <c r="G57" s="861"/>
      <c r="H57" s="861"/>
      <c r="I57" s="861"/>
      <c r="J57" s="861"/>
      <c r="K57" s="861"/>
      <c r="L57" s="861"/>
      <c r="M57" s="859"/>
      <c r="N57" s="859"/>
      <c r="O57" s="859"/>
      <c r="P57" s="859"/>
      <c r="Q57" s="755"/>
      <c r="R57" s="755"/>
      <c r="S57" s="755"/>
      <c r="T57" s="755"/>
      <c r="U57" s="755"/>
      <c r="V57" s="11"/>
      <c r="W57" s="143"/>
      <c r="X57" s="143"/>
      <c r="Y57" s="143"/>
      <c r="Z57" s="143"/>
      <c r="AA57" s="143"/>
      <c r="AB57" s="143"/>
      <c r="AC57" s="143"/>
      <c r="AH57" s="231"/>
      <c r="AM57" s="229"/>
    </row>
    <row r="58" spans="1:39" s="145" customFormat="1">
      <c r="A58" s="755"/>
      <c r="B58" s="755"/>
      <c r="C58" s="755"/>
      <c r="D58" s="143"/>
      <c r="E58" s="143"/>
      <c r="F58" s="143"/>
      <c r="G58" s="861"/>
      <c r="H58" s="861"/>
      <c r="I58" s="861"/>
      <c r="J58" s="861"/>
      <c r="K58" s="861"/>
      <c r="L58" s="861"/>
      <c r="M58" s="859"/>
      <c r="N58" s="859"/>
      <c r="O58" s="859"/>
      <c r="P58" s="859"/>
      <c r="Q58" s="755"/>
      <c r="R58" s="755"/>
      <c r="S58" s="755"/>
      <c r="T58" s="755"/>
      <c r="U58" s="755"/>
      <c r="V58" s="11"/>
      <c r="W58" s="143"/>
      <c r="X58" s="143"/>
      <c r="Y58" s="143"/>
      <c r="Z58" s="143"/>
      <c r="AA58" s="143"/>
      <c r="AB58" s="143"/>
      <c r="AC58" s="143"/>
      <c r="AH58" s="231"/>
      <c r="AM58" s="229"/>
    </row>
    <row r="59" spans="1:39" s="145" customFormat="1">
      <c r="A59" s="755"/>
      <c r="B59" s="755" t="s">
        <v>1663</v>
      </c>
      <c r="C59" s="755" t="s">
        <v>1731</v>
      </c>
      <c r="D59" s="755"/>
      <c r="E59" s="755"/>
      <c r="F59" s="755"/>
      <c r="G59" s="859"/>
      <c r="H59" s="859"/>
      <c r="I59" s="859"/>
      <c r="J59" s="859"/>
      <c r="K59" s="859"/>
      <c r="L59" s="859"/>
      <c r="M59" s="859"/>
      <c r="N59" s="859"/>
      <c r="O59" s="859"/>
      <c r="P59" s="859"/>
      <c r="Q59" s="755"/>
      <c r="R59" s="755"/>
      <c r="S59" s="755"/>
      <c r="T59" s="755"/>
      <c r="U59" s="755"/>
      <c r="V59" s="11" t="s">
        <v>904</v>
      </c>
      <c r="W59" s="143"/>
      <c r="X59" s="143"/>
      <c r="Y59" s="143"/>
      <c r="Z59" s="143"/>
      <c r="AA59" s="143"/>
      <c r="AB59" s="143"/>
      <c r="AC59" s="143"/>
      <c r="AH59" s="231"/>
      <c r="AM59" s="229"/>
    </row>
    <row r="60" spans="1:39" s="145" customFormat="1">
      <c r="A60"/>
      <c r="B60"/>
      <c r="C60" t="s">
        <v>1733</v>
      </c>
      <c r="D60" s="1155"/>
      <c r="E60" s="755"/>
      <c r="F60" s="755"/>
      <c r="G60" s="755" t="s">
        <v>1804</v>
      </c>
      <c r="H60" s="862"/>
      <c r="I60" s="862"/>
      <c r="J60" s="862"/>
      <c r="K60" s="862"/>
      <c r="L60" s="862"/>
      <c r="M60" s="862"/>
      <c r="N60" s="862"/>
      <c r="O60" s="862"/>
      <c r="P60" s="862"/>
      <c r="Q60"/>
      <c r="R60"/>
      <c r="S60"/>
      <c r="T60"/>
      <c r="U60"/>
      <c r="V60" s="11"/>
      <c r="AH60" s="231"/>
      <c r="AM60" s="229"/>
    </row>
    <row r="61" spans="1:39" s="145" customFormat="1">
      <c r="A61"/>
      <c r="B61"/>
      <c r="C61" t="s">
        <v>1737</v>
      </c>
      <c r="D61" s="1155"/>
      <c r="E61" s="755"/>
      <c r="F61" s="755"/>
      <c r="G61" s="862"/>
      <c r="I61" s="1144"/>
      <c r="K61" s="1144"/>
      <c r="L61" s="862"/>
      <c r="M61" s="862"/>
      <c r="N61" s="862"/>
      <c r="O61" s="862"/>
      <c r="P61" s="862"/>
      <c r="Q61"/>
      <c r="R61"/>
      <c r="S61"/>
      <c r="T61"/>
      <c r="U61"/>
      <c r="V61" s="11" t="s">
        <v>1027</v>
      </c>
      <c r="AH61" s="231"/>
      <c r="AM61" s="229"/>
    </row>
    <row r="62" spans="1:39" s="145" customFormat="1">
      <c r="A62" s="1142"/>
      <c r="B62" s="1142"/>
      <c r="C62" s="755" t="s">
        <v>1732</v>
      </c>
      <c r="D62" s="755"/>
      <c r="E62" s="755"/>
      <c r="F62" s="755"/>
      <c r="G62" s="862"/>
      <c r="H62" s="1144"/>
      <c r="J62" s="1144"/>
      <c r="K62" s="862"/>
      <c r="L62" s="862"/>
      <c r="M62" s="862"/>
      <c r="N62" s="862"/>
      <c r="O62" s="862"/>
      <c r="P62" s="862"/>
      <c r="Q62" s="1142"/>
      <c r="R62" s="1142"/>
      <c r="S62" s="1142"/>
      <c r="T62" s="1142"/>
      <c r="U62" s="1142"/>
      <c r="V62" s="11"/>
      <c r="AH62" s="231"/>
      <c r="AM62" s="229"/>
    </row>
    <row r="63" spans="1:39" s="145" customFormat="1">
      <c r="A63"/>
      <c r="B63"/>
      <c r="C63" s="1142" t="s">
        <v>1662</v>
      </c>
      <c r="D63" s="1155"/>
      <c r="E63" s="755"/>
      <c r="F63" s="755"/>
      <c r="G63" s="862"/>
      <c r="H63" s="862"/>
      <c r="I63" s="862"/>
      <c r="J63" s="862"/>
      <c r="K63" s="862"/>
      <c r="L63" s="862"/>
      <c r="M63" s="862"/>
      <c r="N63" s="862"/>
      <c r="O63" s="862"/>
      <c r="P63" s="862"/>
      <c r="Q63"/>
      <c r="R63"/>
      <c r="S63"/>
      <c r="T63"/>
      <c r="U63"/>
      <c r="V63" s="488" t="s">
        <v>903</v>
      </c>
      <c r="Z63" s="268"/>
      <c r="AH63" s="231"/>
      <c r="AM63" s="229"/>
    </row>
    <row r="64" spans="1:39" s="145" customFormat="1">
      <c r="A64"/>
      <c r="B64"/>
      <c r="C64"/>
      <c r="D64" s="1155"/>
      <c r="E64" s="755"/>
      <c r="F64" s="755"/>
      <c r="G64" s="862"/>
      <c r="H64" s="862"/>
      <c r="I64" s="862"/>
      <c r="J64" s="862"/>
      <c r="K64" s="862"/>
      <c r="L64" s="862"/>
      <c r="M64" s="862"/>
      <c r="N64" s="862"/>
      <c r="O64" s="862"/>
      <c r="P64" s="862"/>
      <c r="Q64"/>
      <c r="R64"/>
      <c r="S64"/>
      <c r="T64"/>
      <c r="U64"/>
      <c r="V64" s="11"/>
      <c r="Z64" s="268"/>
      <c r="AH64" s="231"/>
      <c r="AM64" s="229"/>
    </row>
    <row r="65" spans="1:39" s="145" customFormat="1">
      <c r="A65"/>
      <c r="B65"/>
      <c r="C65"/>
      <c r="D65" s="1155"/>
      <c r="E65"/>
      <c r="F65"/>
      <c r="G65" s="862"/>
      <c r="H65" s="862"/>
      <c r="I65" s="862"/>
      <c r="J65" s="862"/>
      <c r="K65" s="862"/>
      <c r="L65" s="862"/>
      <c r="M65" s="862"/>
      <c r="N65" s="862"/>
      <c r="O65" s="862"/>
      <c r="P65" s="862"/>
      <c r="Q65"/>
      <c r="R65"/>
      <c r="S65"/>
      <c r="T65"/>
      <c r="U65"/>
      <c r="V65" s="11"/>
      <c r="AH65" s="231"/>
      <c r="AM65" s="229"/>
    </row>
    <row r="66" spans="1:39" s="145" customFormat="1">
      <c r="A66"/>
      <c r="B66" t="s">
        <v>1729</v>
      </c>
      <c r="C66" t="s">
        <v>1674</v>
      </c>
      <c r="D66" s="1155"/>
      <c r="E66"/>
      <c r="F66"/>
      <c r="G66" s="862"/>
      <c r="H66" s="862"/>
      <c r="I66" s="862"/>
      <c r="J66" s="1144" t="s">
        <v>1730</v>
      </c>
      <c r="K66" s="1144"/>
      <c r="L66" s="862"/>
      <c r="M66" s="862"/>
      <c r="N66" s="862"/>
      <c r="O66" s="862"/>
      <c r="P66" s="862"/>
      <c r="Q66"/>
      <c r="R66"/>
      <c r="S66"/>
      <c r="T66"/>
      <c r="U66"/>
      <c r="V66" s="11"/>
      <c r="AH66" s="231"/>
      <c r="AM66" s="229"/>
    </row>
    <row r="67" spans="1:39" s="145" customFormat="1">
      <c r="A67"/>
      <c r="B67" s="72"/>
      <c r="C67" t="s">
        <v>1664</v>
      </c>
      <c r="D67" s="1155"/>
      <c r="E67"/>
      <c r="F67"/>
      <c r="G67" s="862"/>
      <c r="H67" s="862"/>
      <c r="J67" s="862"/>
      <c r="L67" s="1144" t="s">
        <v>1795</v>
      </c>
      <c r="M67" s="862"/>
      <c r="N67" s="862"/>
      <c r="O67" s="862"/>
      <c r="P67" s="862"/>
      <c r="Q67"/>
      <c r="R67"/>
      <c r="S67"/>
      <c r="T67"/>
      <c r="U67"/>
      <c r="V67" s="11"/>
      <c r="AH67" s="231"/>
      <c r="AM67" s="229"/>
    </row>
    <row r="68" spans="1:39" s="145" customFormat="1">
      <c r="A68"/>
      <c r="B68"/>
      <c r="C68" t="s">
        <v>1666</v>
      </c>
      <c r="D68" s="1155"/>
      <c r="E68"/>
      <c r="F68"/>
      <c r="G68" s="862"/>
      <c r="H68" s="862"/>
      <c r="J68" s="862"/>
      <c r="L68" s="1144" t="s">
        <v>1796</v>
      </c>
      <c r="M68" s="862"/>
      <c r="N68" s="862"/>
      <c r="O68" s="862"/>
      <c r="P68" s="862"/>
      <c r="Q68"/>
      <c r="R68"/>
      <c r="S68"/>
      <c r="T68"/>
      <c r="U68"/>
      <c r="V68" s="11"/>
      <c r="AH68" s="231"/>
      <c r="AM68" s="229"/>
    </row>
    <row r="69" spans="1:39" s="145" customFormat="1">
      <c r="A69"/>
      <c r="B69"/>
      <c r="C69" t="s">
        <v>1665</v>
      </c>
      <c r="D69" s="1155"/>
      <c r="E69"/>
      <c r="F69"/>
      <c r="G69" s="862"/>
      <c r="H69" s="862"/>
      <c r="J69" s="862"/>
      <c r="L69" s="1144" t="s">
        <v>1797</v>
      </c>
      <c r="M69" s="862"/>
      <c r="N69" s="862"/>
      <c r="O69" s="862"/>
      <c r="P69" s="862"/>
      <c r="Q69"/>
      <c r="R69"/>
      <c r="S69"/>
      <c r="T69"/>
      <c r="U69"/>
      <c r="V69" s="11"/>
      <c r="AH69" s="231"/>
      <c r="AM69" s="229"/>
    </row>
    <row r="70" spans="1:39" s="145" customFormat="1">
      <c r="A70"/>
      <c r="B70"/>
      <c r="AH70" s="231"/>
      <c r="AM70" s="229"/>
    </row>
    <row r="71" spans="1:39" s="145" customFormat="1">
      <c r="A71"/>
      <c r="B71" t="s">
        <v>1779</v>
      </c>
      <c r="C71" s="755" t="s">
        <v>1781</v>
      </c>
      <c r="D71" s="1155"/>
      <c r="E71"/>
      <c r="F71"/>
      <c r="G71" s="862"/>
      <c r="H71" s="862"/>
      <c r="I71" s="862"/>
      <c r="J71" s="862"/>
      <c r="K71" s="862"/>
      <c r="L71" s="862"/>
      <c r="M71" s="862"/>
      <c r="N71" s="862"/>
      <c r="O71" s="862"/>
      <c r="P71" s="862"/>
      <c r="Q71"/>
      <c r="R71"/>
      <c r="S71"/>
      <c r="T71"/>
      <c r="U71"/>
      <c r="V71" s="11"/>
    </row>
    <row r="72" spans="1:39" s="145" customFormat="1">
      <c r="A72"/>
      <c r="B72"/>
      <c r="C72" t="s">
        <v>1785</v>
      </c>
      <c r="D72" s="1155"/>
      <c r="E72"/>
      <c r="F72"/>
      <c r="G72" s="862"/>
      <c r="H72" s="862"/>
      <c r="I72" s="862"/>
      <c r="J72" s="862"/>
      <c r="K72" s="862"/>
      <c r="L72" s="862"/>
      <c r="M72" s="862"/>
      <c r="N72" s="862"/>
      <c r="O72" s="862"/>
      <c r="P72" s="862"/>
      <c r="Q72"/>
      <c r="R72"/>
      <c r="S72"/>
      <c r="T72"/>
      <c r="U72"/>
    </row>
    <row r="73" spans="1:39">
      <c r="C73" t="s">
        <v>1784</v>
      </c>
    </row>
    <row r="74" spans="1:39">
      <c r="C74" t="s">
        <v>1780</v>
      </c>
    </row>
    <row r="75" spans="1:39">
      <c r="C75" t="s">
        <v>1782</v>
      </c>
    </row>
    <row r="77" spans="1:39">
      <c r="B77" t="s">
        <v>1786</v>
      </c>
      <c r="C77" t="s">
        <v>1788</v>
      </c>
    </row>
    <row r="78" spans="1:39">
      <c r="C78" s="1251" t="s">
        <v>1787</v>
      </c>
    </row>
    <row r="79" spans="1:39">
      <c r="C79" s="1251" t="s">
        <v>1789</v>
      </c>
      <c r="D79" s="1251"/>
      <c r="E79" s="1251"/>
      <c r="F79" s="1251"/>
    </row>
    <row r="80" spans="1:39">
      <c r="C80" t="s">
        <v>1790</v>
      </c>
    </row>
    <row r="137" spans="5:5">
      <c r="E137">
        <f>'Livestock parameters'!B22*'Livestock parameters'!N22*INPUTS!D23</f>
        <v>0</v>
      </c>
    </row>
  </sheetData>
  <sheetProtection selectLockedCells="1"/>
  <hyperlinks>
    <hyperlink ref="V63" r:id="rId1"/>
  </hyperlinks>
  <pageMargins left="0.7" right="0.7" top="0.75" bottom="0.75" header="0.3" footer="0.3"/>
  <pageSetup paperSize="9" orientation="portrait" r:id="rId2"/>
  <ignoredErrors>
    <ignoredError sqref="G31 G26:G28 G20 G22:G24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0" tint="-0.499984740745262"/>
  </sheetPr>
  <dimension ref="A1:Z59"/>
  <sheetViews>
    <sheetView zoomScale="70" zoomScaleNormal="70" workbookViewId="0">
      <selection activeCell="G72" sqref="G72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9.625" style="12" customWidth="1"/>
    <col min="23" max="26" width="8.875" customWidth="1"/>
  </cols>
  <sheetData>
    <row r="1" spans="1:26">
      <c r="B1" s="1442" t="s">
        <v>1132</v>
      </c>
      <c r="C1" s="1442"/>
      <c r="D1" s="1442"/>
    </row>
    <row r="2" spans="1:26" ht="94.5">
      <c r="A2" s="469" t="s">
        <v>628</v>
      </c>
      <c r="B2" s="729" t="s">
        <v>1699</v>
      </c>
      <c r="C2" s="729" t="s">
        <v>1002</v>
      </c>
      <c r="D2" s="729" t="s">
        <v>1003</v>
      </c>
      <c r="E2" s="729" t="s">
        <v>647</v>
      </c>
      <c r="F2" s="729" t="s">
        <v>1004</v>
      </c>
      <c r="G2" s="729" t="s">
        <v>1010</v>
      </c>
      <c r="H2" s="729" t="s">
        <v>1005</v>
      </c>
      <c r="I2" s="729" t="s">
        <v>1008</v>
      </c>
      <c r="J2" s="729" t="s">
        <v>1006</v>
      </c>
      <c r="K2" s="729" t="s">
        <v>1009</v>
      </c>
      <c r="L2" s="729" t="s">
        <v>775</v>
      </c>
      <c r="M2" s="729" t="s">
        <v>1007</v>
      </c>
      <c r="N2" s="729" t="s">
        <v>960</v>
      </c>
      <c r="O2" s="729" t="s">
        <v>1011</v>
      </c>
      <c r="P2" s="729" t="s">
        <v>961</v>
      </c>
      <c r="Q2" s="729" t="s">
        <v>959</v>
      </c>
      <c r="R2" s="45" t="s">
        <v>1271</v>
      </c>
      <c r="S2" s="45" t="s">
        <v>1272</v>
      </c>
      <c r="T2" s="68" t="s">
        <v>1273</v>
      </c>
      <c r="U2" s="221" t="s">
        <v>1274</v>
      </c>
      <c r="V2" s="30" t="s">
        <v>1396</v>
      </c>
      <c r="W2" s="103" t="s">
        <v>1397</v>
      </c>
      <c r="X2" s="103" t="s">
        <v>1398</v>
      </c>
      <c r="Y2" s="103" t="s">
        <v>1399</v>
      </c>
      <c r="Z2" s="103" t="s">
        <v>1400</v>
      </c>
    </row>
    <row r="3" spans="1:26" hidden="1">
      <c r="A3" s="941" t="s">
        <v>1603</v>
      </c>
      <c r="B3" s="731"/>
      <c r="C3" s="731"/>
      <c r="D3" s="1128">
        <v>8.8821917808219162</v>
      </c>
      <c r="E3" s="735"/>
      <c r="F3" s="728"/>
      <c r="G3" s="946"/>
      <c r="H3" s="1128">
        <v>0</v>
      </c>
      <c r="I3" s="729">
        <f>K3*(D3*1000)</f>
        <v>92.374794520547937</v>
      </c>
      <c r="J3" s="733">
        <v>1.04E-2</v>
      </c>
      <c r="K3" s="733">
        <v>1.04E-2</v>
      </c>
      <c r="L3" s="733"/>
      <c r="M3" s="734"/>
      <c r="N3" s="733"/>
      <c r="O3" s="733"/>
      <c r="P3" s="729"/>
      <c r="Q3" s="1128"/>
      <c r="R3" s="733">
        <v>0.3</v>
      </c>
      <c r="S3" s="733">
        <v>0.75</v>
      </c>
      <c r="T3" s="733">
        <v>0.75</v>
      </c>
      <c r="U3" s="68">
        <f t="shared" ref="U3:U20" si="0">AVERAGE(R3:T3)</f>
        <v>0.6</v>
      </c>
      <c r="V3" s="12" t="s">
        <v>1387</v>
      </c>
    </row>
    <row r="4" spans="1:26" hidden="1">
      <c r="A4" s="942" t="s">
        <v>1604</v>
      </c>
      <c r="B4" s="731"/>
      <c r="C4" s="731">
        <v>0.26</v>
      </c>
      <c r="D4" s="1128">
        <v>15.646575342465754</v>
      </c>
      <c r="E4" s="727"/>
      <c r="F4" s="728"/>
      <c r="G4" s="947"/>
      <c r="H4" s="1128">
        <v>0</v>
      </c>
      <c r="I4" s="729">
        <f>K4*(D4*1000)</f>
        <v>275.37972602739728</v>
      </c>
      <c r="J4" s="733">
        <f>0.11/6.25</f>
        <v>1.7600000000000001E-2</v>
      </c>
      <c r="K4" s="733">
        <f>0.11/6.25</f>
        <v>1.7600000000000001E-2</v>
      </c>
      <c r="L4" s="733"/>
      <c r="M4" s="734"/>
      <c r="N4" s="733"/>
      <c r="O4" s="733"/>
      <c r="P4" s="729"/>
      <c r="Q4" s="1128"/>
      <c r="R4" s="733">
        <v>0.6</v>
      </c>
      <c r="S4" s="733">
        <v>1.1000000000000001</v>
      </c>
      <c r="T4" s="733">
        <v>1.05</v>
      </c>
      <c r="U4" s="68">
        <f t="shared" si="0"/>
        <v>0.91666666666666663</v>
      </c>
      <c r="V4" s="12" t="s">
        <v>1387</v>
      </c>
    </row>
    <row r="5" spans="1:26" hidden="1">
      <c r="A5" s="943" t="s">
        <v>1142</v>
      </c>
      <c r="B5" s="733"/>
      <c r="C5" s="733">
        <v>0.26</v>
      </c>
      <c r="D5" s="1128">
        <v>13.764383561643836</v>
      </c>
      <c r="E5" s="727"/>
      <c r="F5" s="728"/>
      <c r="G5" s="947"/>
      <c r="H5" s="1128">
        <v>0</v>
      </c>
      <c r="I5" s="729">
        <f>K5*(D5*1000)</f>
        <v>308.32219178082198</v>
      </c>
      <c r="J5" s="1183">
        <f>0.14/6.25</f>
        <v>2.2400000000000003E-2</v>
      </c>
      <c r="K5" s="1183">
        <f>0.14/6.25</f>
        <v>2.2400000000000003E-2</v>
      </c>
      <c r="L5" s="1214"/>
      <c r="M5" s="734"/>
      <c r="N5" s="1183"/>
      <c r="O5" s="1214"/>
      <c r="P5" s="729"/>
      <c r="Q5" s="1128"/>
      <c r="R5" s="1183">
        <v>0.6</v>
      </c>
      <c r="S5" s="1183">
        <v>1.1000000000000001</v>
      </c>
      <c r="T5" s="1214">
        <v>1.05</v>
      </c>
      <c r="U5" s="68">
        <f t="shared" si="0"/>
        <v>0.91666666666666663</v>
      </c>
      <c r="V5" s="12" t="s">
        <v>1387</v>
      </c>
    </row>
    <row r="6" spans="1:26" hidden="1">
      <c r="A6" s="943" t="s">
        <v>1605</v>
      </c>
      <c r="B6" s="733"/>
      <c r="C6" s="733"/>
      <c r="D6" s="1128">
        <v>4</v>
      </c>
      <c r="E6" s="727"/>
      <c r="F6" s="728"/>
      <c r="G6" s="947"/>
      <c r="H6" s="1128">
        <v>0</v>
      </c>
      <c r="I6" s="729">
        <f>K6*(D6*1000)</f>
        <v>140.80000000000001</v>
      </c>
      <c r="J6" s="1183">
        <f>0.22/6.25</f>
        <v>3.5200000000000002E-2</v>
      </c>
      <c r="K6" s="1183">
        <f>0.22/6.25</f>
        <v>3.5200000000000002E-2</v>
      </c>
      <c r="L6" s="733"/>
      <c r="M6" s="734">
        <v>40</v>
      </c>
      <c r="N6" s="1183"/>
      <c r="O6" s="733"/>
      <c r="P6" s="729"/>
      <c r="Q6" s="1128"/>
      <c r="R6" s="1183">
        <v>0.15</v>
      </c>
      <c r="S6" s="1183">
        <v>1.1000000000000001</v>
      </c>
      <c r="T6" s="733">
        <v>0.25</v>
      </c>
      <c r="U6" s="68">
        <f t="shared" si="0"/>
        <v>0.5</v>
      </c>
    </row>
    <row r="7" spans="1:26" s="145" customFormat="1" hidden="1">
      <c r="A7" s="940" t="s">
        <v>1606</v>
      </c>
      <c r="B7" s="733">
        <v>12.5</v>
      </c>
      <c r="C7" s="733">
        <f>1-(O7/100)</f>
        <v>0.4032</v>
      </c>
      <c r="D7" s="1128">
        <v>5.04</v>
      </c>
      <c r="E7" s="727">
        <v>0.5</v>
      </c>
      <c r="F7" s="728">
        <f>B7*((1-E7)/E7)</f>
        <v>12.5</v>
      </c>
      <c r="G7" s="947">
        <f>1-(O7/100)</f>
        <v>0.4032</v>
      </c>
      <c r="H7" s="1128">
        <v>5.04</v>
      </c>
      <c r="I7" s="729">
        <f>K7*(H7*1000)</f>
        <v>15.120000000000001</v>
      </c>
      <c r="J7" s="727">
        <v>4.0000000000000001E-3</v>
      </c>
      <c r="K7" s="733">
        <v>3.0000000000000001E-3</v>
      </c>
      <c r="L7" s="733">
        <v>0.05</v>
      </c>
      <c r="M7" s="734">
        <v>0</v>
      </c>
      <c r="N7" s="733">
        <v>160</v>
      </c>
      <c r="O7" s="733">
        <v>59.68</v>
      </c>
      <c r="P7" s="729">
        <f>(N7*100)/(100-O7)</f>
        <v>396.82539682539681</v>
      </c>
      <c r="Q7" s="1128">
        <v>11134</v>
      </c>
      <c r="R7" s="939"/>
      <c r="S7" s="733"/>
      <c r="T7" s="733"/>
      <c r="U7" s="225" t="e">
        <f t="shared" si="0"/>
        <v>#DIV/0!</v>
      </c>
      <c r="V7" s="229"/>
    </row>
    <row r="8" spans="1:26" s="145" customFormat="1" hidden="1">
      <c r="A8" s="940" t="s">
        <v>987</v>
      </c>
      <c r="B8" s="733">
        <v>0.95</v>
      </c>
      <c r="C8" s="733">
        <v>0.89900000000000002</v>
      </c>
      <c r="D8" s="1128">
        <v>0.85404999999999998</v>
      </c>
      <c r="E8" s="727">
        <v>0.21990000000000001</v>
      </c>
      <c r="F8" s="728">
        <f>B8*((1-E8)/E8)</f>
        <v>3.370145520691223</v>
      </c>
      <c r="G8" s="947">
        <f>1-(O8/100)</f>
        <v>0.88050000000000006</v>
      </c>
      <c r="H8" s="1128">
        <v>2.9674131309686222</v>
      </c>
      <c r="I8" s="729">
        <f>K8*(H8*1000)</f>
        <v>68.250502012278304</v>
      </c>
      <c r="J8" s="727">
        <v>3.7999999999999999E-2</v>
      </c>
      <c r="K8" s="733">
        <v>2.3E-2</v>
      </c>
      <c r="L8" s="733">
        <v>0.11700000000000001</v>
      </c>
      <c r="M8" s="734">
        <f>0.5*(K8*H8+J8*D8)*1000</f>
        <v>50.352201006139161</v>
      </c>
      <c r="N8" s="733">
        <v>336</v>
      </c>
      <c r="O8" s="733">
        <v>11.95</v>
      </c>
      <c r="P8" s="729">
        <f>(N8*100)/(100-O8)</f>
        <v>381.60136286201021</v>
      </c>
      <c r="Q8" s="1128">
        <v>16062</v>
      </c>
      <c r="R8" s="727">
        <v>0.15</v>
      </c>
      <c r="S8" s="733">
        <v>1.05</v>
      </c>
      <c r="T8" s="733">
        <v>0.6</v>
      </c>
      <c r="U8" s="225">
        <f t="shared" si="0"/>
        <v>0.6</v>
      </c>
      <c r="V8" s="229"/>
    </row>
    <row r="9" spans="1:26" hidden="1">
      <c r="A9" s="943" t="s">
        <v>1607</v>
      </c>
      <c r="B9" s="733"/>
      <c r="C9" s="733"/>
      <c r="D9" s="1128">
        <v>12</v>
      </c>
      <c r="E9" s="727"/>
      <c r="F9" s="728"/>
      <c r="G9" s="948"/>
      <c r="H9" s="1128">
        <v>0</v>
      </c>
      <c r="I9" s="729">
        <f>K9*(D9*1000)</f>
        <v>460.79999999999995</v>
      </c>
      <c r="J9" s="1183">
        <f>0.24/6.25</f>
        <v>3.8399999999999997E-2</v>
      </c>
      <c r="K9" s="1183">
        <f>0.24/6.25</f>
        <v>3.8399999999999997E-2</v>
      </c>
      <c r="L9" s="1214"/>
      <c r="M9" s="734"/>
      <c r="N9" s="1183"/>
      <c r="O9" s="1214"/>
      <c r="P9" s="729"/>
      <c r="Q9" s="1128"/>
      <c r="R9" s="1183">
        <v>1.05</v>
      </c>
      <c r="S9" s="1183">
        <v>1.1000000000000001</v>
      </c>
      <c r="T9" s="1214">
        <v>1.1000000000000001</v>
      </c>
      <c r="U9" s="68">
        <f t="shared" si="0"/>
        <v>1.0833333333333335</v>
      </c>
      <c r="V9" s="12" t="s">
        <v>1391</v>
      </c>
      <c r="W9">
        <v>400</v>
      </c>
      <c r="X9">
        <v>18</v>
      </c>
      <c r="Y9">
        <v>2</v>
      </c>
    </row>
    <row r="10" spans="1:26" s="1192" customFormat="1" hidden="1">
      <c r="A10" s="943" t="s">
        <v>1712</v>
      </c>
      <c r="B10" s="733"/>
      <c r="C10" s="733"/>
      <c r="D10" s="1128">
        <v>10</v>
      </c>
      <c r="E10" s="727"/>
      <c r="F10" s="728"/>
      <c r="G10" s="948"/>
      <c r="H10" s="1128"/>
      <c r="I10" s="729"/>
      <c r="J10" s="1183">
        <v>0.02</v>
      </c>
      <c r="K10" s="1215">
        <v>0.02</v>
      </c>
      <c r="L10" s="1214"/>
      <c r="M10" s="734"/>
      <c r="N10" s="1215"/>
      <c r="O10" s="1214"/>
      <c r="P10" s="729"/>
      <c r="Q10" s="1128"/>
      <c r="R10" s="939">
        <v>0.3</v>
      </c>
      <c r="S10" s="733">
        <v>0.75</v>
      </c>
      <c r="T10" s="733">
        <v>0.75</v>
      </c>
      <c r="U10" s="68">
        <f t="shared" si="0"/>
        <v>0.6</v>
      </c>
      <c r="V10" s="12" t="s">
        <v>1387</v>
      </c>
    </row>
    <row r="11" spans="1:26" s="1171" customFormat="1" hidden="1">
      <c r="A11" s="943" t="s">
        <v>1685</v>
      </c>
      <c r="B11" s="733"/>
      <c r="C11" s="733"/>
      <c r="D11" s="1128">
        <v>10</v>
      </c>
      <c r="E11" s="727"/>
      <c r="F11" s="728"/>
      <c r="G11" s="948"/>
      <c r="H11" s="1128"/>
      <c r="I11" s="729"/>
      <c r="J11" s="733">
        <f>0.08/6.25</f>
        <v>1.2800000000000001E-2</v>
      </c>
      <c r="K11" s="1215"/>
      <c r="L11" s="1214"/>
      <c r="M11" s="734"/>
      <c r="N11" s="1215"/>
      <c r="O11" s="1214"/>
      <c r="P11" s="729"/>
      <c r="Q11" s="1128"/>
      <c r="R11" s="939">
        <v>0.3</v>
      </c>
      <c r="S11" s="733">
        <v>0.75</v>
      </c>
      <c r="T11" s="733">
        <v>0.75</v>
      </c>
      <c r="U11" s="68">
        <f t="shared" si="0"/>
        <v>0.6</v>
      </c>
      <c r="V11" s="12" t="s">
        <v>1387</v>
      </c>
    </row>
    <row r="12" spans="1:26" hidden="1">
      <c r="A12" s="732" t="s">
        <v>1134</v>
      </c>
      <c r="B12" s="733">
        <v>1.33</v>
      </c>
      <c r="C12" s="733">
        <v>0.8</v>
      </c>
      <c r="D12" s="1128">
        <v>1.0640000000000001</v>
      </c>
      <c r="E12" s="727">
        <v>0.47</v>
      </c>
      <c r="F12" s="728">
        <f>B12*((1-E12)/E12)</f>
        <v>1.4997872340425535</v>
      </c>
      <c r="G12" s="947">
        <f>1-(O12/100)</f>
        <v>0.89629999999999999</v>
      </c>
      <c r="H12" s="1128">
        <v>1.3442592978723407</v>
      </c>
      <c r="I12" s="729">
        <f>K12*(H12*1000)</f>
        <v>9.409815085106386</v>
      </c>
      <c r="J12" s="1216">
        <v>1.7000000000000001E-2</v>
      </c>
      <c r="K12" s="1215">
        <v>7.0000000000000001E-3</v>
      </c>
      <c r="L12" s="733">
        <v>0.05</v>
      </c>
      <c r="M12" s="734">
        <v>0</v>
      </c>
      <c r="N12" s="1215">
        <v>365</v>
      </c>
      <c r="O12" s="733">
        <v>10.37</v>
      </c>
      <c r="P12" s="729">
        <f>(N12*100)/(100-O12)</f>
        <v>407.22972219123062</v>
      </c>
      <c r="Q12" s="1128">
        <v>20314</v>
      </c>
      <c r="R12" s="1216">
        <v>0.15</v>
      </c>
      <c r="S12" s="1215">
        <v>1.1499999999999999</v>
      </c>
      <c r="T12" s="733">
        <v>0.3</v>
      </c>
      <c r="U12" s="68">
        <f t="shared" si="0"/>
        <v>0.53333333333333333</v>
      </c>
    </row>
    <row r="13" spans="1:26" hidden="1">
      <c r="A13" s="940" t="s">
        <v>1608</v>
      </c>
      <c r="B13" s="733"/>
      <c r="C13" s="733"/>
      <c r="D13" s="1128">
        <v>5</v>
      </c>
      <c r="E13" s="727"/>
      <c r="F13" s="728"/>
      <c r="G13" s="947">
        <f>1-(O13/100)</f>
        <v>1</v>
      </c>
      <c r="H13" s="1128">
        <v>0</v>
      </c>
      <c r="I13" s="729">
        <f>K13*(H13*1000)</f>
        <v>0</v>
      </c>
      <c r="J13" s="1183">
        <v>3.56E-2</v>
      </c>
      <c r="K13" s="1183">
        <v>3.56E-2</v>
      </c>
      <c r="L13" s="733"/>
      <c r="M13" s="734">
        <f>0.5*(K13*H13+J13*D13)*1000</f>
        <v>89</v>
      </c>
      <c r="N13" s="1183"/>
      <c r="O13" s="733"/>
      <c r="P13" s="729"/>
      <c r="Q13" s="1128"/>
      <c r="R13" s="1183">
        <v>1.05</v>
      </c>
      <c r="S13" s="1183">
        <v>1.1000000000000001</v>
      </c>
      <c r="T13" s="733">
        <v>1.1000000000000001</v>
      </c>
      <c r="U13" s="68">
        <f t="shared" si="0"/>
        <v>1.0833333333333335</v>
      </c>
      <c r="V13" s="12" t="s">
        <v>1391</v>
      </c>
      <c r="W13">
        <v>3000</v>
      </c>
      <c r="X13">
        <v>18</v>
      </c>
      <c r="Y13">
        <v>2</v>
      </c>
    </row>
    <row r="14" spans="1:26" hidden="1">
      <c r="A14" s="941" t="s">
        <v>646</v>
      </c>
      <c r="B14" s="731">
        <v>1.22</v>
      </c>
      <c r="C14" s="731">
        <v>0.95</v>
      </c>
      <c r="D14" s="1128">
        <v>1.159</v>
      </c>
      <c r="E14" s="727">
        <v>0.28999999999999998</v>
      </c>
      <c r="F14" s="728">
        <f>B14*((1-E14)/E14)</f>
        <v>2.9868965517241381</v>
      </c>
      <c r="G14" s="947">
        <f>1-(O14/100)</f>
        <v>0.93500000000000005</v>
      </c>
      <c r="H14" s="1128">
        <v>2.7927482758620692</v>
      </c>
      <c r="I14" s="729">
        <f>K14*(H14*1000)</f>
        <v>33.512979310344832</v>
      </c>
      <c r="J14" s="733">
        <v>3.6999999999999998E-2</v>
      </c>
      <c r="K14" s="733">
        <v>1.2E-2</v>
      </c>
      <c r="L14" s="733">
        <v>0.11700000000000001</v>
      </c>
      <c r="M14" s="734">
        <f>0.5*(K14*H14+J14*D14)*1000</f>
        <v>38.197989655172421</v>
      </c>
      <c r="N14" s="733">
        <v>567</v>
      </c>
      <c r="O14" s="733">
        <v>6.5</v>
      </c>
      <c r="P14" s="729">
        <f>(N14*100)/(100-O14)</f>
        <v>606.4171122994652</v>
      </c>
      <c r="Q14" s="1128">
        <v>16067</v>
      </c>
      <c r="R14" s="733">
        <v>0.15</v>
      </c>
      <c r="S14" s="733">
        <v>1.1499999999999999</v>
      </c>
      <c r="T14" s="733">
        <v>0.6</v>
      </c>
      <c r="U14" s="68">
        <f t="shared" si="0"/>
        <v>0.6333333333333333</v>
      </c>
    </row>
    <row r="15" spans="1:26" s="1171" customFormat="1" hidden="1">
      <c r="A15" s="943" t="s">
        <v>1609</v>
      </c>
      <c r="B15" s="731"/>
      <c r="C15" s="733"/>
      <c r="D15" s="1128">
        <v>0</v>
      </c>
      <c r="E15" s="727"/>
      <c r="F15" s="728" t="e">
        <f>B15*((1-E15)/E15)</f>
        <v>#DIV/0!</v>
      </c>
      <c r="G15" s="947">
        <f>1-(O15/100)</f>
        <v>0.19200000000000006</v>
      </c>
      <c r="H15" s="1128">
        <v>0</v>
      </c>
      <c r="I15" s="729">
        <f>K15*(D15*1000)</f>
        <v>0</v>
      </c>
      <c r="J15" s="1217">
        <v>2E-3</v>
      </c>
      <c r="K15" s="733">
        <v>2.8000000000000001E-2</v>
      </c>
      <c r="L15" s="733">
        <v>0.14599999999999999</v>
      </c>
      <c r="M15" s="734">
        <v>0</v>
      </c>
      <c r="N15" s="733">
        <v>68</v>
      </c>
      <c r="O15" s="733">
        <v>80.8</v>
      </c>
      <c r="P15" s="729">
        <f>(N15*100)/(100-O15)</f>
        <v>354.16666666666663</v>
      </c>
      <c r="Q15" s="1128">
        <v>9139</v>
      </c>
      <c r="R15" s="939">
        <v>1.05</v>
      </c>
      <c r="S15" s="733">
        <v>1.1000000000000001</v>
      </c>
      <c r="T15" s="733">
        <v>1.1000000000000001</v>
      </c>
      <c r="U15" s="68">
        <f t="shared" si="0"/>
        <v>1.0833333333333335</v>
      </c>
      <c r="V15" s="12" t="s">
        <v>1391</v>
      </c>
      <c r="W15" s="72">
        <v>25</v>
      </c>
      <c r="X15" s="1171">
        <v>20</v>
      </c>
    </row>
    <row r="16" spans="1:26" hidden="1">
      <c r="A16" s="941" t="s">
        <v>1683</v>
      </c>
      <c r="B16" s="731"/>
      <c r="C16" s="731"/>
      <c r="D16" s="1128">
        <v>17</v>
      </c>
      <c r="E16" s="727"/>
      <c r="F16" s="728"/>
      <c r="G16" s="947"/>
      <c r="H16" s="1128"/>
      <c r="I16" s="729"/>
      <c r="J16" s="1218">
        <f>0.15/6.25</f>
        <v>2.4E-2</v>
      </c>
      <c r="K16" s="733"/>
      <c r="L16" s="733"/>
      <c r="M16" s="734">
        <v>0</v>
      </c>
      <c r="N16" s="733"/>
      <c r="O16" s="733"/>
      <c r="P16" s="729"/>
      <c r="Q16" s="1128"/>
      <c r="R16" s="733">
        <v>1.05</v>
      </c>
      <c r="S16" s="733">
        <v>1.1000000000000001</v>
      </c>
      <c r="T16" s="733">
        <v>1.1000000000000001</v>
      </c>
      <c r="U16" s="68">
        <f t="shared" si="0"/>
        <v>1.0833333333333335</v>
      </c>
      <c r="V16" s="1103" t="s">
        <v>1391</v>
      </c>
      <c r="W16" s="1104">
        <v>10000</v>
      </c>
      <c r="X16" s="1104"/>
      <c r="Y16" s="1104"/>
      <c r="Z16" s="1104"/>
    </row>
    <row r="17" spans="1:26" hidden="1">
      <c r="A17" s="941" t="s">
        <v>1610</v>
      </c>
      <c r="B17" s="731"/>
      <c r="C17" s="731"/>
      <c r="D17" s="1128">
        <v>10.136986301369863</v>
      </c>
      <c r="E17" s="727"/>
      <c r="F17" s="728"/>
      <c r="G17" s="947"/>
      <c r="H17" s="1128">
        <v>0</v>
      </c>
      <c r="I17" s="729">
        <f>K17*(D17*1000)</f>
        <v>101.36986301369863</v>
      </c>
      <c r="J17" s="939">
        <v>0.01</v>
      </c>
      <c r="K17" s="1183">
        <v>0.01</v>
      </c>
      <c r="L17" s="733"/>
      <c r="M17" s="734"/>
      <c r="N17" s="733"/>
      <c r="O17" s="733"/>
      <c r="P17" s="729"/>
      <c r="Q17" s="1128"/>
      <c r="R17" s="939">
        <v>0.3</v>
      </c>
      <c r="S17" s="733">
        <v>0.75</v>
      </c>
      <c r="T17" s="733">
        <v>0.75</v>
      </c>
      <c r="U17" s="68">
        <f t="shared" si="0"/>
        <v>0.6</v>
      </c>
      <c r="V17" s="1103" t="s">
        <v>1387</v>
      </c>
      <c r="W17" s="1104"/>
      <c r="X17" s="1104"/>
      <c r="Y17" s="1104"/>
      <c r="Z17" s="1104"/>
    </row>
    <row r="18" spans="1:26" hidden="1">
      <c r="A18" s="1181" t="s">
        <v>1694</v>
      </c>
      <c r="B18" s="733"/>
      <c r="C18" s="733"/>
      <c r="D18" s="1128">
        <v>8</v>
      </c>
      <c r="E18" s="727"/>
      <c r="F18" s="728"/>
      <c r="G18" s="947"/>
      <c r="H18" s="1128">
        <v>0</v>
      </c>
      <c r="I18" s="729">
        <f>K18*(D18*1000)</f>
        <v>80</v>
      </c>
      <c r="J18" s="939">
        <v>0.01</v>
      </c>
      <c r="K18" s="1183">
        <v>0.01</v>
      </c>
      <c r="L18" s="733"/>
      <c r="M18" s="734"/>
      <c r="N18" s="1183"/>
      <c r="O18" s="733"/>
      <c r="P18" s="729"/>
      <c r="Q18" s="1128"/>
      <c r="R18" s="939">
        <v>0.3</v>
      </c>
      <c r="S18" s="1183">
        <v>0.75</v>
      </c>
      <c r="T18" s="733">
        <v>0.75</v>
      </c>
      <c r="U18" s="68">
        <f t="shared" si="0"/>
        <v>0.6</v>
      </c>
      <c r="V18" s="1103" t="s">
        <v>1387</v>
      </c>
      <c r="W18" s="1104"/>
      <c r="X18" s="1104"/>
      <c r="Y18" s="1104"/>
      <c r="Z18" s="1104"/>
    </row>
    <row r="19" spans="1:26" hidden="1">
      <c r="A19" s="940" t="s">
        <v>1627</v>
      </c>
      <c r="B19" s="733">
        <v>1.843</v>
      </c>
      <c r="C19" s="733">
        <v>0.88</v>
      </c>
      <c r="D19" s="1128">
        <v>1.6218399999999999</v>
      </c>
      <c r="E19" s="727">
        <v>0.5</v>
      </c>
      <c r="F19" s="728">
        <f>B19*((1-E19)/E19)</f>
        <v>1.843</v>
      </c>
      <c r="G19" s="947">
        <f>1-(O19/100)</f>
        <v>0.89410000000000001</v>
      </c>
      <c r="H19" s="1128">
        <v>1.6478263</v>
      </c>
      <c r="I19" s="729">
        <f>K19*(H19*1000)</f>
        <v>65.913051999999993</v>
      </c>
      <c r="J19" s="939">
        <v>4.0000000000000001E-3</v>
      </c>
      <c r="K19" s="1183">
        <v>0.04</v>
      </c>
      <c r="L19" s="733"/>
      <c r="M19" s="734">
        <f>0.5*(K19*H19+J19*D19)*1000</f>
        <v>36.200206000000001</v>
      </c>
      <c r="N19" s="1183">
        <v>343</v>
      </c>
      <c r="O19" s="733">
        <v>10.59</v>
      </c>
      <c r="P19" s="729">
        <f>(N19*100)/(100-O19)</f>
        <v>383.62599261827535</v>
      </c>
      <c r="Q19" s="1128">
        <v>16101</v>
      </c>
      <c r="R19" s="939">
        <v>0.15</v>
      </c>
      <c r="S19" s="1183">
        <v>1.1000000000000001</v>
      </c>
      <c r="T19" s="733">
        <v>0.25</v>
      </c>
      <c r="U19" s="68">
        <f t="shared" si="0"/>
        <v>0.5</v>
      </c>
      <c r="V19" s="1103"/>
      <c r="W19" s="1104"/>
      <c r="X19" s="1104"/>
      <c r="Y19" s="1104"/>
      <c r="Z19" s="1104"/>
    </row>
    <row r="20" spans="1:26" hidden="1">
      <c r="A20" s="732" t="s">
        <v>915</v>
      </c>
      <c r="B20" s="731"/>
      <c r="C20" s="731"/>
      <c r="D20" s="1128">
        <v>14</v>
      </c>
      <c r="E20" s="727"/>
      <c r="F20" s="728"/>
      <c r="G20" s="947">
        <f>1-(O20/100)</f>
        <v>1</v>
      </c>
      <c r="H20" s="1128">
        <v>0</v>
      </c>
      <c r="I20" s="729">
        <f>K20*(H20*1000)</f>
        <v>0</v>
      </c>
      <c r="J20" s="939">
        <v>3.4000000000000002E-2</v>
      </c>
      <c r="K20" s="733">
        <v>3.4000000000000002E-2</v>
      </c>
      <c r="L20" s="733"/>
      <c r="M20" s="734">
        <f>0.5*(K20*H20+J20*D20)*1000</f>
        <v>238.00000000000003</v>
      </c>
      <c r="N20" s="733"/>
      <c r="O20" s="733"/>
      <c r="P20" s="729">
        <f>(N20*100)/(100-O20)</f>
        <v>0</v>
      </c>
      <c r="Q20" s="1128"/>
      <c r="R20" s="939">
        <v>1.05</v>
      </c>
      <c r="S20" s="733">
        <v>1.1000000000000001</v>
      </c>
      <c r="T20" s="733">
        <v>1.1000000000000001</v>
      </c>
      <c r="U20" s="68">
        <f t="shared" si="0"/>
        <v>1.0833333333333335</v>
      </c>
      <c r="V20" s="1103" t="s">
        <v>1391</v>
      </c>
      <c r="W20" s="1104">
        <v>400</v>
      </c>
      <c r="X20" s="1104">
        <v>18</v>
      </c>
      <c r="Y20" s="1104">
        <v>3</v>
      </c>
      <c r="Z20" s="1104"/>
    </row>
    <row r="21" spans="1:26">
      <c r="A21" s="941" t="s">
        <v>378</v>
      </c>
      <c r="B21" s="731">
        <v>4.33</v>
      </c>
      <c r="C21" s="731">
        <v>0.3</v>
      </c>
      <c r="D21" s="1400">
        <f>B21*C21</f>
        <v>1.2989999999999999</v>
      </c>
      <c r="E21" s="727">
        <v>0.52</v>
      </c>
      <c r="F21" s="728">
        <f>B21*((1-E21)/E21)</f>
        <v>3.9969230769230766</v>
      </c>
      <c r="G21" s="1401">
        <v>0.89629999999999999</v>
      </c>
      <c r="H21" s="729">
        <v>3.5824421538461535</v>
      </c>
      <c r="I21" s="729">
        <f>K21*(D21*1000)</f>
        <v>7.6900800000000009</v>
      </c>
      <c r="J21" s="1402">
        <v>1.2800000000000001E-2</v>
      </c>
      <c r="K21" s="1403">
        <v>5.9200000000000008E-3</v>
      </c>
      <c r="L21" s="1404">
        <v>0.1</v>
      </c>
      <c r="M21" s="734">
        <f>0.5*(K21*H21+J21*D21)*1000</f>
        <v>18.917628775384618</v>
      </c>
      <c r="N21" s="1405">
        <v>365</v>
      </c>
      <c r="O21" s="733">
        <v>10.37</v>
      </c>
      <c r="P21" s="729">
        <f>(N21*100)/(100-O21)</f>
        <v>407.22972219123062</v>
      </c>
      <c r="Q21" s="1406">
        <v>20314</v>
      </c>
      <c r="R21" s="1407">
        <v>0.15</v>
      </c>
      <c r="S21" s="1408">
        <v>1.2</v>
      </c>
      <c r="T21" s="1408">
        <v>0.6</v>
      </c>
      <c r="U21" s="68">
        <f>AVERAGE(R21:T21)</f>
        <v>0.64999999999999991</v>
      </c>
      <c r="V21" s="12" t="s">
        <v>1387</v>
      </c>
      <c r="W21" s="1104"/>
      <c r="X21" s="1104"/>
      <c r="Y21" s="1104"/>
      <c r="Z21" s="1104"/>
    </row>
    <row r="22" spans="1:26" s="1182" customFormat="1" hidden="1">
      <c r="A22" s="941" t="s">
        <v>1697</v>
      </c>
      <c r="B22" s="731">
        <v>40</v>
      </c>
      <c r="C22" s="731">
        <v>0.25</v>
      </c>
      <c r="D22" s="1128">
        <v>10</v>
      </c>
      <c r="E22" s="727">
        <v>1</v>
      </c>
      <c r="F22" s="728">
        <v>1</v>
      </c>
      <c r="G22" s="947">
        <v>0.25</v>
      </c>
      <c r="H22" s="1128"/>
      <c r="I22" s="729"/>
      <c r="J22" s="939">
        <v>1.2E-2</v>
      </c>
      <c r="K22" s="733">
        <v>1.2E-2</v>
      </c>
      <c r="L22" s="733">
        <v>0.05</v>
      </c>
      <c r="M22" s="734">
        <v>0</v>
      </c>
      <c r="N22" s="733"/>
      <c r="O22" s="733"/>
      <c r="P22" s="729"/>
      <c r="Q22" s="1128"/>
      <c r="R22" s="939">
        <v>0.15</v>
      </c>
      <c r="S22" s="733">
        <v>1.1499999999999999</v>
      </c>
      <c r="T22" s="733">
        <v>0.3</v>
      </c>
      <c r="U22" s="68">
        <v>0.53333333333333333</v>
      </c>
      <c r="V22" s="1103"/>
      <c r="W22" s="1104"/>
      <c r="X22" s="1104"/>
      <c r="Y22" s="1104"/>
      <c r="Z22" s="1104"/>
    </row>
    <row r="23" spans="1:26" s="1167" customFormat="1" hidden="1">
      <c r="A23" s="941" t="s">
        <v>1682</v>
      </c>
      <c r="B23" s="731"/>
      <c r="C23" s="731"/>
      <c r="D23" s="1128">
        <v>20</v>
      </c>
      <c r="E23" s="727"/>
      <c r="F23" s="728"/>
      <c r="G23" s="947"/>
      <c r="H23" s="1128">
        <v>0</v>
      </c>
      <c r="I23" s="729"/>
      <c r="J23" s="939">
        <v>3.7999999999999999E-2</v>
      </c>
      <c r="K23" s="733">
        <v>3.7999999999999999E-2</v>
      </c>
      <c r="L23" s="733"/>
      <c r="M23" s="734">
        <v>0</v>
      </c>
      <c r="N23" s="733"/>
      <c r="O23" s="733"/>
      <c r="P23" s="729"/>
      <c r="Q23" s="1128"/>
      <c r="R23" s="939">
        <v>1.05</v>
      </c>
      <c r="S23" s="733">
        <v>1.1000000000000001</v>
      </c>
      <c r="T23" s="733">
        <v>1.1000000000000001</v>
      </c>
      <c r="U23" s="68">
        <f>AVERAGE(R23:T23)</f>
        <v>1.0833333333333335</v>
      </c>
      <c r="V23" s="1103" t="s">
        <v>1391</v>
      </c>
      <c r="W23" s="1104">
        <v>80000</v>
      </c>
      <c r="X23" s="1104"/>
      <c r="Y23" s="1104"/>
      <c r="Z23" s="1104"/>
    </row>
    <row r="24" spans="1:26" s="1248" customFormat="1" hidden="1">
      <c r="A24" s="941" t="s">
        <v>1773</v>
      </c>
      <c r="B24" s="731">
        <v>10</v>
      </c>
      <c r="C24" s="731"/>
      <c r="D24" s="1128">
        <v>1.6</v>
      </c>
      <c r="E24" s="727"/>
      <c r="F24" s="728">
        <v>10</v>
      </c>
      <c r="G24" s="947">
        <v>0.16</v>
      </c>
      <c r="H24" s="1128">
        <v>1.6</v>
      </c>
      <c r="I24" s="729">
        <f>K24*(D24*1000)</f>
        <v>40</v>
      </c>
      <c r="J24" s="939">
        <v>2.5000000000000001E-2</v>
      </c>
      <c r="K24" s="733">
        <v>2.5000000000000001E-2</v>
      </c>
      <c r="L24" s="733"/>
      <c r="M24" s="734"/>
      <c r="N24" s="733"/>
      <c r="O24" s="733"/>
      <c r="P24" s="729"/>
      <c r="Q24" s="1128"/>
      <c r="R24" s="939">
        <v>0.15</v>
      </c>
      <c r="S24" s="733">
        <v>1.2</v>
      </c>
      <c r="T24" s="733">
        <v>0.7</v>
      </c>
      <c r="U24" s="68">
        <f>AVERAGE(R24:T24)</f>
        <v>0.68333333333333324</v>
      </c>
      <c r="V24" s="1103"/>
      <c r="W24" s="1104"/>
      <c r="X24" s="1104"/>
      <c r="Y24" s="1104"/>
      <c r="Z24" s="1104"/>
    </row>
    <row r="25" spans="1:26" hidden="1">
      <c r="A25" s="732" t="s">
        <v>1144</v>
      </c>
      <c r="B25" s="733">
        <v>0</v>
      </c>
      <c r="C25" s="733">
        <v>0</v>
      </c>
      <c r="D25" s="733">
        <v>0</v>
      </c>
      <c r="E25" s="733">
        <v>0</v>
      </c>
      <c r="F25" s="1127">
        <v>0</v>
      </c>
      <c r="G25" s="733">
        <v>0</v>
      </c>
      <c r="H25" s="733">
        <v>0</v>
      </c>
      <c r="I25" s="1127">
        <v>0</v>
      </c>
      <c r="J25" s="733">
        <v>0</v>
      </c>
      <c r="K25" s="733">
        <v>0</v>
      </c>
      <c r="L25" s="733">
        <v>0</v>
      </c>
      <c r="M25" s="1127">
        <v>0</v>
      </c>
      <c r="N25" s="733">
        <v>0</v>
      </c>
      <c r="O25" s="733">
        <v>0</v>
      </c>
      <c r="P25" s="1127">
        <v>0</v>
      </c>
      <c r="Q25" s="733">
        <v>0</v>
      </c>
      <c r="R25" s="733">
        <v>0</v>
      </c>
      <c r="S25" s="733">
        <v>0</v>
      </c>
      <c r="T25" s="733">
        <v>0</v>
      </c>
      <c r="U25" s="1127">
        <v>0</v>
      </c>
      <c r="V25" s="1103"/>
      <c r="W25" s="1104"/>
      <c r="X25" s="1104"/>
      <c r="Y25" s="1104"/>
      <c r="Z25" s="1104"/>
    </row>
    <row r="26" spans="1:26" s="1182" customFormat="1">
      <c r="A26" s="941" t="s">
        <v>1107</v>
      </c>
      <c r="B26" s="731">
        <v>45</v>
      </c>
      <c r="C26" s="731">
        <v>0.28999999999999998</v>
      </c>
      <c r="D26" s="1400">
        <f>B26*C26</f>
        <v>13.049999999999999</v>
      </c>
      <c r="E26" s="727">
        <v>0.9</v>
      </c>
      <c r="F26" s="728">
        <f>B26*((1-E26)/E26)</f>
        <v>4.9999999999999982</v>
      </c>
      <c r="G26" s="1401">
        <v>0</v>
      </c>
      <c r="H26" s="729">
        <v>0</v>
      </c>
      <c r="I26" s="729">
        <f>K26*(D26*1000)</f>
        <v>0</v>
      </c>
      <c r="J26" s="1402">
        <v>0.01</v>
      </c>
      <c r="K26" s="1403">
        <v>0</v>
      </c>
      <c r="L26" s="1404">
        <v>0.05</v>
      </c>
      <c r="M26" s="734">
        <f>0.5*(K26*H26+J26*D26)*1000</f>
        <v>65.25</v>
      </c>
      <c r="N26" s="1405"/>
      <c r="O26" s="733"/>
      <c r="P26" s="729">
        <f>(N26*100)/(100-O26)</f>
        <v>0</v>
      </c>
      <c r="Q26" s="1406"/>
      <c r="R26" s="1407">
        <v>0.3</v>
      </c>
      <c r="S26" s="1408">
        <v>0.75</v>
      </c>
      <c r="T26" s="1408">
        <v>0.75</v>
      </c>
      <c r="U26" s="68">
        <f>AVERAGE(R26:T26)</f>
        <v>0.6</v>
      </c>
      <c r="V26" s="12" t="s">
        <v>1387</v>
      </c>
    </row>
    <row r="27" spans="1:26" hidden="1">
      <c r="A27" s="732" t="s">
        <v>1611</v>
      </c>
      <c r="B27" s="733"/>
      <c r="C27" s="733"/>
      <c r="D27" s="1128">
        <v>0</v>
      </c>
      <c r="E27" s="727"/>
      <c r="F27" s="728" t="e">
        <f>B27*((1-E27)/E27)</f>
        <v>#DIV/0!</v>
      </c>
      <c r="G27" s="947">
        <f>1-(O27/100)</f>
        <v>1</v>
      </c>
      <c r="H27" s="1128">
        <v>0</v>
      </c>
      <c r="I27" s="729">
        <f>K27*(H27*1000)</f>
        <v>0</v>
      </c>
      <c r="J27" s="939">
        <v>5.0000000000000001E-3</v>
      </c>
      <c r="K27" s="1183">
        <v>5.0000000000000001E-3</v>
      </c>
      <c r="L27" s="733">
        <v>0.73</v>
      </c>
      <c r="M27" s="734">
        <v>0</v>
      </c>
      <c r="N27" s="1183"/>
      <c r="O27" s="733"/>
      <c r="P27" s="729">
        <f>(N27*100)/(100-O27)</f>
        <v>0</v>
      </c>
      <c r="Q27" s="1128"/>
      <c r="R27" s="939">
        <v>1.05</v>
      </c>
      <c r="S27" s="1183">
        <v>1.1000000000000001</v>
      </c>
      <c r="T27" s="733">
        <v>1.1000000000000001</v>
      </c>
      <c r="U27" s="68">
        <f>AVERAGE(R27:T27)</f>
        <v>1.0833333333333335</v>
      </c>
    </row>
    <row r="28" spans="1:26" hidden="1">
      <c r="A28" s="943" t="s">
        <v>1248</v>
      </c>
      <c r="B28" s="733"/>
      <c r="C28" s="733"/>
      <c r="D28" s="1128">
        <v>17.019178082191779</v>
      </c>
      <c r="E28" s="727"/>
      <c r="F28" s="728"/>
      <c r="G28" s="947"/>
      <c r="H28" s="1128">
        <v>0</v>
      </c>
      <c r="I28" s="729">
        <f>K28*(D28*1000)</f>
        <v>326.76821917808212</v>
      </c>
      <c r="J28" s="939">
        <f>0.12/6.25</f>
        <v>1.9199999999999998E-2</v>
      </c>
      <c r="K28" s="1183">
        <f>0.12/6.25</f>
        <v>1.9199999999999998E-2</v>
      </c>
      <c r="L28" s="733"/>
      <c r="M28" s="734"/>
      <c r="N28" s="1183"/>
      <c r="O28" s="733"/>
      <c r="P28" s="729"/>
      <c r="Q28" s="1128"/>
      <c r="R28" s="939">
        <v>0.6</v>
      </c>
      <c r="S28" s="1183">
        <v>1.1000000000000001</v>
      </c>
      <c r="T28" s="733">
        <v>1.05</v>
      </c>
      <c r="U28" s="68">
        <f>AVERAGE(R28:T28)</f>
        <v>0.91666666666666663</v>
      </c>
      <c r="V28" s="12" t="s">
        <v>1387</v>
      </c>
    </row>
    <row r="29" spans="1:26" hidden="1">
      <c r="A29" s="940" t="s">
        <v>1249</v>
      </c>
      <c r="B29" s="733"/>
      <c r="C29" s="733"/>
      <c r="D29" s="1128">
        <v>6.882191780821918</v>
      </c>
      <c r="E29" s="727"/>
      <c r="F29" s="728"/>
      <c r="G29" s="947"/>
      <c r="H29" s="1128">
        <v>0</v>
      </c>
      <c r="I29" s="729">
        <f>K29*(D29*1000)</f>
        <v>110.11506849315069</v>
      </c>
      <c r="J29" s="939">
        <f>0.1/6.25</f>
        <v>1.6E-2</v>
      </c>
      <c r="K29" s="733">
        <f>0.1/6.25</f>
        <v>1.6E-2</v>
      </c>
      <c r="L29" s="733"/>
      <c r="M29" s="734"/>
      <c r="N29" s="733"/>
      <c r="O29" s="733"/>
      <c r="P29" s="729"/>
      <c r="Q29" s="1128"/>
      <c r="R29" s="939">
        <v>0.3</v>
      </c>
      <c r="S29" s="733">
        <v>0.75</v>
      </c>
      <c r="T29" s="733">
        <v>0.75</v>
      </c>
      <c r="U29" s="68">
        <f>AVERAGE(R29:T29)</f>
        <v>0.6</v>
      </c>
      <c r="V29" s="12" t="s">
        <v>1387</v>
      </c>
    </row>
    <row r="30" spans="1:26">
      <c r="A30" s="938" t="s">
        <v>1724</v>
      </c>
      <c r="B30" s="731">
        <v>105</v>
      </c>
      <c r="C30" s="731">
        <v>0.21</v>
      </c>
      <c r="D30" s="1400">
        <f>B30*C30</f>
        <v>22.05</v>
      </c>
      <c r="E30" s="727">
        <v>0.9</v>
      </c>
      <c r="F30" s="728">
        <f>B30*((1-E30)/E30)</f>
        <v>11.666666666666663</v>
      </c>
      <c r="G30" s="1401">
        <v>0</v>
      </c>
      <c r="H30" s="729">
        <v>0</v>
      </c>
      <c r="I30" s="729">
        <f>K30*(D30*1000)</f>
        <v>0</v>
      </c>
      <c r="J30" s="1402">
        <v>1.2800000000000001E-2</v>
      </c>
      <c r="K30" s="1403">
        <v>0</v>
      </c>
      <c r="L30" s="1404">
        <v>0.01</v>
      </c>
      <c r="M30" s="734">
        <f>0.5*(K30*H30+J30*D30)*1000</f>
        <v>141.12000000000003</v>
      </c>
      <c r="N30" s="1405"/>
      <c r="O30" s="733"/>
      <c r="P30" s="729">
        <f>(N30*100)/(100-O30)</f>
        <v>0</v>
      </c>
      <c r="Q30" s="1406"/>
      <c r="R30" s="1407">
        <v>0.6</v>
      </c>
      <c r="S30" s="1408">
        <v>1.1000000000000001</v>
      </c>
      <c r="T30" s="1408">
        <v>1.05</v>
      </c>
      <c r="U30" s="68">
        <f>AVERAGE(R30:T30)</f>
        <v>0.91666666666666663</v>
      </c>
      <c r="V30" s="12" t="s">
        <v>1387</v>
      </c>
    </row>
    <row r="31" spans="1:26" hidden="1">
      <c r="A31" s="938" t="s">
        <v>1725</v>
      </c>
      <c r="B31" s="733">
        <v>20</v>
      </c>
      <c r="C31" s="733">
        <v>0.3</v>
      </c>
      <c r="D31" s="1128">
        <v>6</v>
      </c>
      <c r="E31" s="727"/>
      <c r="F31" s="728"/>
      <c r="G31" s="947"/>
      <c r="H31" s="1128"/>
      <c r="I31" s="729"/>
      <c r="J31" s="939">
        <v>0.01</v>
      </c>
      <c r="K31" s="1183">
        <v>0.01</v>
      </c>
      <c r="L31" s="733"/>
      <c r="M31" s="734">
        <v>0</v>
      </c>
      <c r="N31" s="1183"/>
      <c r="O31" s="733"/>
      <c r="P31" s="729"/>
      <c r="Q31" s="1128"/>
      <c r="R31" s="939">
        <v>1</v>
      </c>
      <c r="S31" s="1183">
        <v>1</v>
      </c>
      <c r="T31" s="733">
        <v>1</v>
      </c>
      <c r="U31" s="68"/>
      <c r="V31" s="12" t="s">
        <v>1387</v>
      </c>
    </row>
    <row r="32" spans="1:26" hidden="1">
      <c r="A32" s="940" t="s">
        <v>1251</v>
      </c>
      <c r="B32" s="733">
        <v>0.95</v>
      </c>
      <c r="C32" s="733">
        <v>0.90300000000000002</v>
      </c>
      <c r="D32" s="1128">
        <v>0.85785</v>
      </c>
      <c r="E32" s="727">
        <v>0.26</v>
      </c>
      <c r="F32" s="728">
        <f>B32*((1-E32)/E32)</f>
        <v>2.7038461538461536</v>
      </c>
      <c r="G32" s="947">
        <f>1-(O32/100)</f>
        <v>0.89410000000000001</v>
      </c>
      <c r="H32" s="1128">
        <v>2.4175088461538459</v>
      </c>
      <c r="I32" s="729">
        <f>K32*(H32*1000)</f>
        <v>43.515159230769221</v>
      </c>
      <c r="J32" s="939">
        <v>3.5000000000000003E-2</v>
      </c>
      <c r="K32" s="733">
        <v>1.7999999999999999E-2</v>
      </c>
      <c r="L32" s="733">
        <v>0.11600000000000001</v>
      </c>
      <c r="M32" s="734">
        <f>0.5*(K32*H32+J32*D32)*1000</f>
        <v>36.769954615384613</v>
      </c>
      <c r="N32" s="733">
        <v>343</v>
      </c>
      <c r="O32" s="733">
        <v>10.59</v>
      </c>
      <c r="P32" s="729">
        <f>(N32*100)/(100-O32)</f>
        <v>383.62599261827535</v>
      </c>
      <c r="Q32" s="1128">
        <v>16101</v>
      </c>
      <c r="R32" s="939"/>
      <c r="S32" s="733"/>
      <c r="T32" s="733"/>
      <c r="U32" s="68" t="e">
        <f t="shared" ref="U32:U37" si="1">AVERAGE(R32:T32)</f>
        <v>#DIV/0!</v>
      </c>
      <c r="V32" s="12" t="s">
        <v>1391</v>
      </c>
      <c r="W32">
        <v>5000</v>
      </c>
      <c r="X32">
        <v>10</v>
      </c>
      <c r="Y32">
        <v>25</v>
      </c>
    </row>
    <row r="33" spans="1:22">
      <c r="A33" s="940" t="s">
        <v>1113</v>
      </c>
      <c r="B33" s="733">
        <v>0</v>
      </c>
      <c r="C33" s="733">
        <v>0</v>
      </c>
      <c r="D33" s="1400">
        <f>B33*C33</f>
        <v>0</v>
      </c>
      <c r="E33" s="727">
        <v>0</v>
      </c>
      <c r="F33" s="728">
        <v>0</v>
      </c>
      <c r="G33" s="947">
        <v>0</v>
      </c>
      <c r="H33" s="729">
        <v>0</v>
      </c>
      <c r="I33" s="729">
        <v>0</v>
      </c>
      <c r="J33" s="939">
        <v>0</v>
      </c>
      <c r="K33" s="733">
        <v>0</v>
      </c>
      <c r="L33" s="733">
        <v>0</v>
      </c>
      <c r="M33" s="734">
        <v>0</v>
      </c>
      <c r="N33" s="733">
        <v>0</v>
      </c>
      <c r="O33" s="733">
        <v>0</v>
      </c>
      <c r="P33" s="729">
        <v>0</v>
      </c>
      <c r="Q33" s="1128">
        <v>0</v>
      </c>
      <c r="R33" s="939">
        <v>0</v>
      </c>
      <c r="S33" s="733">
        <v>0</v>
      </c>
      <c r="T33" s="733">
        <v>0</v>
      </c>
      <c r="U33" s="68">
        <f t="shared" si="1"/>
        <v>0</v>
      </c>
    </row>
    <row r="34" spans="1:22" hidden="1">
      <c r="A34" s="940" t="s">
        <v>1612</v>
      </c>
      <c r="B34" s="733">
        <v>7.8</v>
      </c>
      <c r="C34" s="733">
        <v>0.08</v>
      </c>
      <c r="D34" s="1128">
        <v>0.62399999999999967</v>
      </c>
      <c r="E34" s="727">
        <v>0.9</v>
      </c>
      <c r="F34" s="728">
        <f>B34*((1-E34)/E34)</f>
        <v>0.86666666666666636</v>
      </c>
      <c r="G34" s="947">
        <f>1-(O34/100)</f>
        <v>7.790000000000008E-2</v>
      </c>
      <c r="H34" s="1128">
        <v>6.7513333333333383E-2</v>
      </c>
      <c r="I34" s="729">
        <f>K34*(H34*1000)</f>
        <v>0.20254000000000014</v>
      </c>
      <c r="J34" s="939">
        <v>8.9999999999999993E-3</v>
      </c>
      <c r="K34" s="733">
        <v>3.0000000000000001E-3</v>
      </c>
      <c r="L34" s="733">
        <v>0.1</v>
      </c>
      <c r="M34" s="734">
        <v>0</v>
      </c>
      <c r="N34" s="733">
        <v>31</v>
      </c>
      <c r="O34" s="733">
        <v>92.21</v>
      </c>
      <c r="P34" s="729">
        <f>(N34*100)/(100-O34)</f>
        <v>397.94608472400483</v>
      </c>
      <c r="Q34" s="1128">
        <v>11821</v>
      </c>
      <c r="R34" s="939"/>
      <c r="S34" s="733"/>
      <c r="T34" s="733"/>
      <c r="U34" s="68" t="e">
        <f t="shared" si="1"/>
        <v>#DIV/0!</v>
      </c>
    </row>
    <row r="35" spans="1:22" hidden="1">
      <c r="A35" s="943" t="s">
        <v>645</v>
      </c>
      <c r="B35" s="733">
        <v>2</v>
      </c>
      <c r="C35" s="733">
        <v>0.8</v>
      </c>
      <c r="D35" s="1128">
        <v>1.6</v>
      </c>
      <c r="E35" s="727">
        <v>0.42</v>
      </c>
      <c r="F35" s="728">
        <f>B35*((1-E35)/E35)</f>
        <v>2.7619047619047623</v>
      </c>
      <c r="G35" s="947">
        <f>1-(O35/100)</f>
        <v>0.87109999999999999</v>
      </c>
      <c r="H35" s="1128">
        <v>2.4058952380952383</v>
      </c>
      <c r="I35" s="1130">
        <f>K35*(H35*1000)</f>
        <v>14.435371428571429</v>
      </c>
      <c r="J35" s="939">
        <v>8.9999999999999993E-3</v>
      </c>
      <c r="K35" s="733">
        <v>6.0000000000000001E-3</v>
      </c>
      <c r="L35" s="733"/>
      <c r="M35" s="1129">
        <f>0.5*(K35*H35+J35*D35)*1000</f>
        <v>14.417685714285716</v>
      </c>
      <c r="N35" s="733">
        <v>360</v>
      </c>
      <c r="O35" s="733">
        <v>12.89</v>
      </c>
      <c r="P35" s="729">
        <f>(N35*100)/(100-O35)</f>
        <v>413.27057743083458</v>
      </c>
      <c r="Q35" s="1128">
        <v>20450</v>
      </c>
      <c r="R35" s="939">
        <v>1.05</v>
      </c>
      <c r="S35" s="733">
        <v>1.2</v>
      </c>
      <c r="T35" s="733">
        <v>0.75</v>
      </c>
      <c r="U35" s="68">
        <f t="shared" si="1"/>
        <v>1</v>
      </c>
    </row>
    <row r="36" spans="1:22" hidden="1">
      <c r="A36" s="732" t="s">
        <v>644</v>
      </c>
      <c r="B36" s="733">
        <v>4.3</v>
      </c>
      <c r="C36" s="733">
        <v>0.93</v>
      </c>
      <c r="D36" s="1128">
        <v>3.9990000000000001</v>
      </c>
      <c r="E36" s="727">
        <v>0.3</v>
      </c>
      <c r="F36" s="728">
        <f>B36*((1-E36)/E36)</f>
        <v>10.033333333333333</v>
      </c>
      <c r="G36" s="947">
        <f>1-(O36/100)</f>
        <v>0.876</v>
      </c>
      <c r="H36" s="1128">
        <v>8.7891999999999992</v>
      </c>
      <c r="I36" s="1130">
        <f>K36*(D36*1000)</f>
        <v>23.994</v>
      </c>
      <c r="J36" s="939">
        <v>0.02</v>
      </c>
      <c r="K36" s="733">
        <v>6.0000000000000001E-3</v>
      </c>
      <c r="L36" s="733">
        <v>0.05</v>
      </c>
      <c r="M36" s="1129">
        <v>0</v>
      </c>
      <c r="N36" s="733">
        <v>329</v>
      </c>
      <c r="O36" s="733">
        <v>12.4</v>
      </c>
      <c r="P36" s="729">
        <f>(N36*100)/(100-O36)</f>
        <v>375.57077625570781</v>
      </c>
      <c r="Q36" s="1128">
        <v>20067</v>
      </c>
      <c r="R36" s="939">
        <v>0.1</v>
      </c>
      <c r="S36" s="733">
        <v>1.1000000000000001</v>
      </c>
      <c r="T36" s="733">
        <v>0.55000000000000004</v>
      </c>
      <c r="U36" s="68">
        <f t="shared" si="1"/>
        <v>0.58333333333333337</v>
      </c>
    </row>
    <row r="37" spans="1:22" s="1182" customFormat="1" hidden="1">
      <c r="A37" s="732" t="s">
        <v>1109</v>
      </c>
      <c r="B37" s="733">
        <v>55</v>
      </c>
      <c r="C37" s="733">
        <v>0.2</v>
      </c>
      <c r="D37" s="1128">
        <v>11</v>
      </c>
      <c r="E37" s="727"/>
      <c r="F37" s="1131"/>
      <c r="G37" s="947"/>
      <c r="H37" s="1128">
        <v>1.3843361344537817</v>
      </c>
      <c r="I37" s="1130">
        <f>K37*(H37*1000)</f>
        <v>1.3843361344537817</v>
      </c>
      <c r="J37" s="939">
        <v>1E-3</v>
      </c>
      <c r="K37" s="733">
        <v>1E-3</v>
      </c>
      <c r="L37" s="733">
        <v>0.17100000000000001</v>
      </c>
      <c r="M37" s="1129">
        <v>0</v>
      </c>
      <c r="N37" s="733"/>
      <c r="O37" s="733">
        <f>(1-0.32)*100</f>
        <v>68</v>
      </c>
      <c r="P37" s="1130">
        <f>(N37*100)/(100-O37)</f>
        <v>0</v>
      </c>
      <c r="Q37" s="1128"/>
      <c r="R37" s="939">
        <v>0.15</v>
      </c>
      <c r="S37" s="733">
        <v>1.2</v>
      </c>
      <c r="T37" s="733">
        <v>0.7</v>
      </c>
      <c r="U37" s="1101">
        <f t="shared" si="1"/>
        <v>0.68333333333333324</v>
      </c>
      <c r="V37" s="12"/>
    </row>
    <row r="38" spans="1:22" hidden="1">
      <c r="A38" s="732" t="s">
        <v>1698</v>
      </c>
      <c r="B38" s="733"/>
      <c r="C38" s="733">
        <v>0.24</v>
      </c>
      <c r="D38" s="1128">
        <v>15</v>
      </c>
      <c r="E38" s="727"/>
      <c r="F38" s="1131"/>
      <c r="G38" s="947"/>
      <c r="H38" s="1128">
        <v>0</v>
      </c>
      <c r="I38" s="1130">
        <v>0</v>
      </c>
      <c r="J38" s="939">
        <v>1.6E-2</v>
      </c>
      <c r="K38" s="733">
        <v>1.6E-2</v>
      </c>
      <c r="L38" s="733"/>
      <c r="M38" s="1129"/>
      <c r="N38" s="733"/>
      <c r="O38" s="733"/>
      <c r="P38" s="1130"/>
      <c r="Q38" s="1128"/>
      <c r="R38" s="939">
        <v>0.3</v>
      </c>
      <c r="S38" s="733">
        <v>0.75</v>
      </c>
      <c r="T38" s="733">
        <v>0.75</v>
      </c>
      <c r="U38" s="1101">
        <v>0.6</v>
      </c>
      <c r="V38" s="12" t="s">
        <v>1387</v>
      </c>
    </row>
    <row r="39" spans="1:22">
      <c r="A39" s="732" t="s">
        <v>1861</v>
      </c>
      <c r="B39" s="731">
        <v>90</v>
      </c>
      <c r="C39" s="731">
        <v>0.22</v>
      </c>
      <c r="D39" s="1400">
        <f>B39*C39</f>
        <v>19.8</v>
      </c>
      <c r="E39" s="727">
        <v>0.9</v>
      </c>
      <c r="F39" s="728">
        <f>B39*((1-E39)/E39)</f>
        <v>9.9999999999999964</v>
      </c>
      <c r="G39" s="1401">
        <v>0</v>
      </c>
      <c r="H39" s="729">
        <v>0</v>
      </c>
      <c r="I39" s="729">
        <f>K39*(D39*1000)</f>
        <v>0</v>
      </c>
      <c r="J39" s="1402">
        <v>1.4080000000000002E-2</v>
      </c>
      <c r="K39" s="1403">
        <v>0</v>
      </c>
      <c r="L39" s="1404">
        <v>0.01</v>
      </c>
      <c r="M39" s="734">
        <f>0.5*(K39*H39+J39*D39)*1000</f>
        <v>139.39200000000002</v>
      </c>
      <c r="N39" s="1405"/>
      <c r="O39" s="733"/>
      <c r="P39" s="729">
        <f>(N39*100)/(100-O39)</f>
        <v>0</v>
      </c>
      <c r="Q39" s="1406"/>
      <c r="R39" s="1407">
        <v>0.6</v>
      </c>
      <c r="S39" s="1408">
        <v>1.1000000000000001</v>
      </c>
      <c r="T39" s="1408">
        <v>1.05</v>
      </c>
      <c r="U39" s="68">
        <f t="shared" ref="U39:U40" si="2">AVERAGE(R39:T39)</f>
        <v>0.91666666666666663</v>
      </c>
      <c r="V39" s="12" t="s">
        <v>1387</v>
      </c>
    </row>
    <row r="40" spans="1:22">
      <c r="A40" s="732" t="s">
        <v>1108</v>
      </c>
      <c r="B40" s="731">
        <v>54</v>
      </c>
      <c r="C40" s="731">
        <v>0.25</v>
      </c>
      <c r="D40" s="1400">
        <f>B40*C40</f>
        <v>13.5</v>
      </c>
      <c r="E40" s="727">
        <v>0.9</v>
      </c>
      <c r="F40" s="728">
        <f>B40*((1-E40)/E40)</f>
        <v>5.9999999999999982</v>
      </c>
      <c r="G40" s="1401">
        <v>0</v>
      </c>
      <c r="H40" s="729">
        <v>0</v>
      </c>
      <c r="I40" s="729">
        <f>K40*(D40*1000)</f>
        <v>0</v>
      </c>
      <c r="J40" s="1402">
        <v>1.44E-2</v>
      </c>
      <c r="K40" s="1403">
        <v>0</v>
      </c>
      <c r="L40" s="1404">
        <v>0.01</v>
      </c>
      <c r="M40" s="734">
        <f>0.5*(K40*H40+J40*D40)*1000</f>
        <v>97.199999999999989</v>
      </c>
      <c r="N40" s="1405"/>
      <c r="O40" s="733"/>
      <c r="P40" s="729">
        <f>(N40*100)/(100-O40)</f>
        <v>0</v>
      </c>
      <c r="Q40" s="1406"/>
      <c r="R40" s="1407">
        <v>0.6</v>
      </c>
      <c r="S40" s="1408">
        <v>1.1000000000000001</v>
      </c>
      <c r="T40" s="1408">
        <v>1.05</v>
      </c>
      <c r="U40" s="68">
        <f t="shared" si="2"/>
        <v>0.91666666666666663</v>
      </c>
      <c r="V40" s="12" t="s">
        <v>1387</v>
      </c>
    </row>
    <row r="41" spans="1:22" hidden="1">
      <c r="A41" s="732"/>
      <c r="B41" s="733"/>
      <c r="C41" s="733"/>
      <c r="D41" s="729">
        <f>B41*C41</f>
        <v>0</v>
      </c>
      <c r="E41" s="727"/>
      <c r="F41" s="728" t="e">
        <f>B41*((1-E41)/E41)</f>
        <v>#DIV/0!</v>
      </c>
      <c r="G41" s="947"/>
      <c r="H41" s="729" t="e">
        <f>F41*G41</f>
        <v>#DIV/0!</v>
      </c>
      <c r="I41" s="729" t="e">
        <f>K41*(H41*1000)</f>
        <v>#DIV/0!</v>
      </c>
      <c r="J41" s="939"/>
      <c r="K41" s="733"/>
      <c r="L41" s="733"/>
      <c r="M41" s="734" t="e">
        <f>0.5*(K41*H41+J41*D41)*1000</f>
        <v>#DIV/0!</v>
      </c>
      <c r="N41" s="733"/>
      <c r="O41" s="733"/>
      <c r="P41" s="729"/>
      <c r="Q41" s="1128"/>
      <c r="R41" s="939"/>
      <c r="S41" s="733"/>
      <c r="T41" s="733"/>
      <c r="U41" s="68"/>
    </row>
    <row r="42" spans="1:22" hidden="1">
      <c r="A42" s="732"/>
      <c r="B42" s="733"/>
      <c r="C42" s="733"/>
      <c r="D42" s="729">
        <f>B42*C42</f>
        <v>0</v>
      </c>
      <c r="E42" s="727"/>
      <c r="F42" s="728" t="e">
        <f>B42*((1-E42)/E42)</f>
        <v>#DIV/0!</v>
      </c>
      <c r="G42" s="947"/>
      <c r="H42" s="729" t="e">
        <f>F42*G42</f>
        <v>#DIV/0!</v>
      </c>
      <c r="I42" s="729" t="e">
        <f>K42*(H42*1000)</f>
        <v>#DIV/0!</v>
      </c>
      <c r="J42" s="939"/>
      <c r="K42" s="733"/>
      <c r="L42" s="733"/>
      <c r="M42" s="734" t="e">
        <f>0.5*(K42*H42+J42*D42)*1000</f>
        <v>#DIV/0!</v>
      </c>
      <c r="N42" s="733"/>
      <c r="O42" s="733"/>
      <c r="P42" s="729"/>
      <c r="Q42" s="1128"/>
      <c r="R42" s="939"/>
      <c r="S42" s="733"/>
      <c r="T42" s="733"/>
      <c r="U42" s="68"/>
    </row>
    <row r="43" spans="1:22" hidden="1">
      <c r="A43" s="732"/>
      <c r="B43" s="733"/>
      <c r="C43" s="733"/>
      <c r="D43" s="729">
        <f>B43*C43</f>
        <v>0</v>
      </c>
      <c r="E43" s="727"/>
      <c r="F43" s="728" t="e">
        <f>B43*((1-E43)/E43)</f>
        <v>#DIV/0!</v>
      </c>
      <c r="G43" s="947"/>
      <c r="H43" s="729" t="e">
        <f>F43*G43</f>
        <v>#DIV/0!</v>
      </c>
      <c r="I43" s="729" t="e">
        <f>K43*(H43*1000)</f>
        <v>#DIV/0!</v>
      </c>
      <c r="J43" s="939"/>
      <c r="K43" s="733"/>
      <c r="L43" s="733"/>
      <c r="M43" s="734" t="e">
        <f>0.5*(K43*H43+J43*D43)*1000</f>
        <v>#DIV/0!</v>
      </c>
      <c r="N43" s="733"/>
      <c r="O43" s="733"/>
      <c r="P43" s="729"/>
      <c r="Q43" s="1128"/>
      <c r="R43" s="939"/>
      <c r="S43" s="733"/>
      <c r="T43" s="733"/>
      <c r="U43" s="68"/>
    </row>
    <row r="45" spans="1:22" hidden="1">
      <c r="A45" s="169" t="s">
        <v>1113</v>
      </c>
    </row>
    <row r="46" spans="1:22" hidden="1">
      <c r="A46" s="169" t="s">
        <v>1096</v>
      </c>
    </row>
    <row r="47" spans="1:22" hidden="1">
      <c r="A47" s="169" t="s">
        <v>1097</v>
      </c>
    </row>
    <row r="48" spans="1:22" hidden="1"/>
    <row r="49" spans="1:1" hidden="1"/>
    <row r="50" spans="1:1" hidden="1"/>
    <row r="51" spans="1:1" hidden="1"/>
    <row r="52" spans="1:1" hidden="1"/>
    <row r="53" spans="1:1" hidden="1">
      <c r="A53" s="364" t="s">
        <v>461</v>
      </c>
    </row>
    <row r="54" spans="1:1" hidden="1">
      <c r="A54" s="364" t="s">
        <v>637</v>
      </c>
    </row>
    <row r="55" spans="1:1" hidden="1">
      <c r="A55" s="164" t="s">
        <v>702</v>
      </c>
    </row>
    <row r="56" spans="1:1" hidden="1"/>
    <row r="57" spans="1:1" hidden="1"/>
    <row r="58" spans="1:1" hidden="1"/>
    <row r="59" spans="1:1" hidden="1"/>
  </sheetData>
  <autoFilter ref="A2:Q43">
    <filterColumn colId="0">
      <filters>
        <filter val="Guatemala"/>
        <filter val="Maize"/>
        <filter val="Natural pasture"/>
        <filter val="Pennisetum purpureum"/>
        <filter val="Purchased"/>
        <filter val="Rhodes"/>
      </filters>
    </filterColumn>
  </autoFilter>
  <sortState ref="A3:Z43">
    <sortCondition ref="A3"/>
  </sortState>
  <mergeCells count="1">
    <mergeCell ref="B1:D1"/>
  </mergeCells>
  <pageMargins left="0.7" right="0.7" top="0.75" bottom="0.75" header="0.3" footer="0.3"/>
  <pageSetup paperSize="9" orientation="portrait" r:id="rId1"/>
  <ignoredErrors>
    <ignoredError sqref="U21:U39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499984740745262"/>
  </sheetPr>
  <dimension ref="A1:V140"/>
  <sheetViews>
    <sheetView zoomScale="70" zoomScaleNormal="70" workbookViewId="0">
      <selection activeCell="A2" sqref="A2:G114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777" t="s">
        <v>1243</v>
      </c>
      <c r="B1" s="492" t="s">
        <v>917</v>
      </c>
      <c r="C1" s="492"/>
      <c r="D1" s="492"/>
      <c r="E1" s="492" t="s">
        <v>1339</v>
      </c>
      <c r="F1" s="492"/>
      <c r="G1" s="492"/>
      <c r="H1" s="492"/>
      <c r="I1" s="492"/>
    </row>
    <row r="2" spans="1:22" ht="94.5">
      <c r="A2" s="611" t="s">
        <v>811</v>
      </c>
      <c r="B2" s="730" t="s">
        <v>629</v>
      </c>
      <c r="C2" s="730" t="s">
        <v>916</v>
      </c>
      <c r="D2" s="730" t="s">
        <v>905</v>
      </c>
      <c r="E2" s="730" t="s">
        <v>1160</v>
      </c>
      <c r="F2" s="730" t="s">
        <v>1159</v>
      </c>
      <c r="G2" s="730" t="s">
        <v>816</v>
      </c>
      <c r="H2" s="470" t="s">
        <v>1105</v>
      </c>
      <c r="I2" s="730" t="s">
        <v>1106</v>
      </c>
      <c r="J2" s="1210" t="s">
        <v>1717</v>
      </c>
      <c r="K2" s="1210" t="s">
        <v>1718</v>
      </c>
      <c r="L2" s="1210" t="s">
        <v>1719</v>
      </c>
      <c r="M2" s="1210" t="s">
        <v>1720</v>
      </c>
      <c r="O2" s="778"/>
      <c r="P2" s="778"/>
      <c r="Q2" s="778"/>
    </row>
    <row r="3" spans="1:22" ht="16.5" hidden="1">
      <c r="A3" s="934" t="s">
        <v>1613</v>
      </c>
      <c r="B3" s="935">
        <v>27.800000000000004</v>
      </c>
      <c r="C3" s="935">
        <v>7.1</v>
      </c>
      <c r="D3" s="936">
        <v>2.5281243835616438</v>
      </c>
      <c r="E3" s="935">
        <v>6.2547945205479456</v>
      </c>
      <c r="F3" s="936">
        <f t="shared" ref="F3:F12" si="0">E3*B3/100</f>
        <v>1.7388328767123291</v>
      </c>
      <c r="G3" s="1332">
        <f t="shared" ref="G3:G12" si="1">C3*6.6/100</f>
        <v>0.46859999999999991</v>
      </c>
      <c r="H3" s="934"/>
      <c r="I3" s="937" t="s">
        <v>1603</v>
      </c>
      <c r="J3" s="935">
        <v>300</v>
      </c>
      <c r="K3" s="935">
        <v>0</v>
      </c>
      <c r="L3" s="935">
        <v>18</v>
      </c>
      <c r="M3" s="935">
        <v>6</v>
      </c>
    </row>
    <row r="4" spans="1:22" ht="16.5" hidden="1">
      <c r="A4" s="1187" t="s">
        <v>1774</v>
      </c>
      <c r="B4" s="931">
        <v>16</v>
      </c>
      <c r="C4" s="931">
        <v>10</v>
      </c>
      <c r="D4" s="936">
        <f>C4*(0.01*B4)</f>
        <v>1.6</v>
      </c>
      <c r="E4" s="931">
        <v>16.600000000000001</v>
      </c>
      <c r="F4" s="936">
        <f t="shared" si="0"/>
        <v>2.6560000000000001</v>
      </c>
      <c r="G4" s="1333">
        <f t="shared" si="1"/>
        <v>0.66</v>
      </c>
      <c r="H4" s="1189"/>
      <c r="I4" s="1190" t="s">
        <v>1773</v>
      </c>
      <c r="J4" s="931"/>
      <c r="K4" s="931"/>
      <c r="L4" s="931"/>
      <c r="M4" s="931"/>
    </row>
    <row r="5" spans="1:22" ht="16.5" hidden="1">
      <c r="A5" s="175" t="s">
        <v>1614</v>
      </c>
      <c r="B5" s="931">
        <v>30.3</v>
      </c>
      <c r="C5" s="931">
        <v>9.6715079999999993</v>
      </c>
      <c r="D5" s="490">
        <v>2.9304669239999996</v>
      </c>
      <c r="E5" s="931">
        <v>12.6</v>
      </c>
      <c r="F5" s="936">
        <f t="shared" si="0"/>
        <v>3.8177999999999996</v>
      </c>
      <c r="G5" s="1332">
        <f t="shared" si="1"/>
        <v>0.63831952799999991</v>
      </c>
      <c r="H5" s="175"/>
      <c r="I5" s="932" t="s">
        <v>1712</v>
      </c>
      <c r="J5" s="931">
        <v>300</v>
      </c>
      <c r="K5" s="931">
        <v>0</v>
      </c>
      <c r="L5" s="931">
        <v>18</v>
      </c>
      <c r="M5" s="931">
        <v>6</v>
      </c>
      <c r="R5" s="429"/>
      <c r="S5" s="429"/>
      <c r="T5" s="429"/>
      <c r="U5" s="429"/>
    </row>
    <row r="6" spans="1:22" ht="16.5" hidden="1">
      <c r="A6" s="175" t="s">
        <v>1615</v>
      </c>
      <c r="B6" s="931">
        <v>93</v>
      </c>
      <c r="C6" s="931">
        <v>7.4106360000000002</v>
      </c>
      <c r="D6" s="490">
        <v>6.8918914800000008</v>
      </c>
      <c r="E6" s="931">
        <v>7.6</v>
      </c>
      <c r="F6" s="936">
        <f t="shared" si="0"/>
        <v>7.0679999999999996</v>
      </c>
      <c r="G6" s="1332">
        <f t="shared" si="1"/>
        <v>0.48910197599999994</v>
      </c>
      <c r="H6" s="175"/>
      <c r="I6" s="932" t="s">
        <v>1712</v>
      </c>
      <c r="J6" s="931">
        <v>300</v>
      </c>
      <c r="K6" s="931">
        <v>0</v>
      </c>
      <c r="L6" s="931">
        <v>18</v>
      </c>
      <c r="M6" s="931">
        <v>6</v>
      </c>
      <c r="S6" s="779"/>
      <c r="U6" s="779"/>
      <c r="V6" s="779"/>
    </row>
    <row r="7" spans="1:22" ht="16.5" hidden="1">
      <c r="A7" s="175" t="s">
        <v>1616</v>
      </c>
      <c r="B7" s="931">
        <v>26</v>
      </c>
      <c r="C7" s="931">
        <v>7.2547945205479447</v>
      </c>
      <c r="D7" s="490">
        <v>1.886246575342466</v>
      </c>
      <c r="E7" s="931">
        <v>7.2547945205479447</v>
      </c>
      <c r="F7" s="936">
        <f t="shared" si="0"/>
        <v>1.8862465753424655</v>
      </c>
      <c r="G7" s="1332">
        <f t="shared" si="1"/>
        <v>0.47881643835616428</v>
      </c>
      <c r="H7" s="175"/>
      <c r="I7" s="932" t="s">
        <v>1604</v>
      </c>
      <c r="J7" s="931">
        <v>350</v>
      </c>
      <c r="K7" s="931">
        <v>20</v>
      </c>
      <c r="L7" s="931">
        <v>31</v>
      </c>
      <c r="M7" s="931">
        <v>8</v>
      </c>
      <c r="S7" s="779"/>
      <c r="U7" s="779"/>
      <c r="V7" s="779"/>
    </row>
    <row r="8" spans="1:22" hidden="1">
      <c r="A8" s="175" t="s">
        <v>1229</v>
      </c>
      <c r="B8" s="931">
        <v>26</v>
      </c>
      <c r="C8" s="931">
        <v>7.2547945205479447</v>
      </c>
      <c r="D8" s="490">
        <v>1.886246575342466</v>
      </c>
      <c r="E8" s="931">
        <v>8.2547945205479447</v>
      </c>
      <c r="F8" s="936">
        <f t="shared" si="0"/>
        <v>2.1462465753424653</v>
      </c>
      <c r="G8" s="1332">
        <f t="shared" si="1"/>
        <v>0.47881643835616428</v>
      </c>
      <c r="H8" s="175"/>
      <c r="I8" s="175" t="s">
        <v>1142</v>
      </c>
      <c r="J8" s="931">
        <v>350</v>
      </c>
      <c r="K8" s="931">
        <v>20</v>
      </c>
      <c r="L8" s="931">
        <v>31</v>
      </c>
      <c r="M8" s="931">
        <v>8</v>
      </c>
      <c r="S8" s="779"/>
      <c r="U8" s="779"/>
      <c r="V8" s="779"/>
    </row>
    <row r="9" spans="1:22" ht="16.5" hidden="1">
      <c r="A9" s="175" t="s">
        <v>1617</v>
      </c>
      <c r="B9" s="931">
        <v>30</v>
      </c>
      <c r="C9" s="931">
        <v>12.1</v>
      </c>
      <c r="D9" s="490">
        <v>3.63</v>
      </c>
      <c r="E9" s="931">
        <v>22</v>
      </c>
      <c r="F9" s="936">
        <f t="shared" si="0"/>
        <v>6.6</v>
      </c>
      <c r="G9" s="1332">
        <f t="shared" si="1"/>
        <v>0.79859999999999998</v>
      </c>
      <c r="H9" s="175"/>
      <c r="I9" s="932" t="s">
        <v>1605</v>
      </c>
      <c r="J9" s="931">
        <v>100</v>
      </c>
      <c r="K9" s="931">
        <v>100</v>
      </c>
      <c r="L9" s="931">
        <v>6</v>
      </c>
      <c r="M9" s="931">
        <v>6</v>
      </c>
      <c r="S9" s="779"/>
      <c r="U9" s="779"/>
      <c r="V9" s="779"/>
    </row>
    <row r="10" spans="1:22" ht="16.5" hidden="1">
      <c r="A10" s="175" t="s">
        <v>1618</v>
      </c>
      <c r="B10" s="931">
        <v>16.100000000000001</v>
      </c>
      <c r="C10" s="931">
        <v>10.006451999999999</v>
      </c>
      <c r="D10" s="490">
        <v>1.6110387719999997</v>
      </c>
      <c r="E10" s="931">
        <v>19.940000000000001</v>
      </c>
      <c r="F10" s="936">
        <f t="shared" si="0"/>
        <v>3.2103400000000004</v>
      </c>
      <c r="G10" s="1332">
        <f t="shared" si="1"/>
        <v>0.66042583199999993</v>
      </c>
      <c r="H10" s="175"/>
      <c r="I10" s="932" t="s">
        <v>1606</v>
      </c>
      <c r="J10" s="931"/>
      <c r="K10" s="931"/>
      <c r="L10" s="931"/>
      <c r="M10" s="931"/>
      <c r="S10" s="779"/>
      <c r="U10" s="779"/>
      <c r="V10" s="779"/>
    </row>
    <row r="11" spans="1:22" ht="16.5" hidden="1">
      <c r="A11" s="175" t="s">
        <v>1619</v>
      </c>
      <c r="B11" s="931">
        <v>27.9</v>
      </c>
      <c r="C11" s="931">
        <v>4.3124000000000002</v>
      </c>
      <c r="D11" s="490">
        <v>1.2031596</v>
      </c>
      <c r="E11" s="931">
        <v>5.45</v>
      </c>
      <c r="F11" s="936">
        <f t="shared" si="0"/>
        <v>1.5205500000000001</v>
      </c>
      <c r="G11" s="1332">
        <f t="shared" si="1"/>
        <v>0.28461839999999999</v>
      </c>
      <c r="H11" s="175"/>
      <c r="I11" s="932" t="s">
        <v>1606</v>
      </c>
      <c r="J11" s="931"/>
      <c r="K11" s="931"/>
      <c r="L11" s="931"/>
      <c r="M11" s="931"/>
      <c r="S11" s="779"/>
      <c r="U11" s="779"/>
      <c r="V11" s="779"/>
    </row>
    <row r="12" spans="1:22" ht="16.5" hidden="1">
      <c r="A12" s="175" t="s">
        <v>1620</v>
      </c>
      <c r="B12" s="931">
        <v>88.84</v>
      </c>
      <c r="C12" s="931">
        <v>10.76</v>
      </c>
      <c r="D12" s="490">
        <v>9.5591840000000001</v>
      </c>
      <c r="E12" s="931">
        <v>1.81</v>
      </c>
      <c r="F12" s="936">
        <f t="shared" si="0"/>
        <v>1.6080040000000002</v>
      </c>
      <c r="G12" s="1332">
        <f t="shared" si="1"/>
        <v>0.7101599999999999</v>
      </c>
      <c r="H12" s="175"/>
      <c r="I12" s="932" t="s">
        <v>1606</v>
      </c>
      <c r="J12" s="931"/>
      <c r="K12" s="931"/>
      <c r="L12" s="931"/>
      <c r="M12" s="931"/>
      <c r="S12" s="779"/>
      <c r="U12" s="779"/>
      <c r="V12" s="779"/>
    </row>
    <row r="13" spans="1:22" ht="16.5">
      <c r="A13" s="175" t="s">
        <v>1621</v>
      </c>
      <c r="B13" s="931">
        <v>90</v>
      </c>
      <c r="C13" s="931">
        <v>12.1</v>
      </c>
      <c r="D13" s="490">
        <f>B13*C13/100</f>
        <v>10.89</v>
      </c>
      <c r="E13" s="931">
        <v>16</v>
      </c>
      <c r="F13" s="936">
        <f t="shared" ref="F13:F20" si="2">E13*B13/100</f>
        <v>14.4</v>
      </c>
      <c r="G13" s="1399">
        <f t="shared" ref="G13:G20" si="3">C13*6.6/100</f>
        <v>0.79859999999999998</v>
      </c>
      <c r="H13" s="175">
        <v>1</v>
      </c>
      <c r="I13" s="932" t="s">
        <v>1113</v>
      </c>
      <c r="J13" s="931">
        <v>0</v>
      </c>
      <c r="K13" s="931">
        <v>0</v>
      </c>
      <c r="L13" s="931">
        <v>0</v>
      </c>
      <c r="M13" s="931">
        <v>0</v>
      </c>
      <c r="S13" s="779"/>
      <c r="U13" s="779"/>
      <c r="V13" s="779"/>
    </row>
    <row r="14" spans="1:22" ht="16.5" hidden="1">
      <c r="A14" s="175" t="s">
        <v>802</v>
      </c>
      <c r="B14" s="931">
        <v>90</v>
      </c>
      <c r="C14" s="931">
        <v>9.8808480000000003</v>
      </c>
      <c r="D14" s="490">
        <v>8.892763200000001</v>
      </c>
      <c r="E14" s="931">
        <v>18.399999999999999</v>
      </c>
      <c r="F14" s="936">
        <f t="shared" si="2"/>
        <v>16.559999999999999</v>
      </c>
      <c r="G14" s="1332">
        <f t="shared" si="3"/>
        <v>0.65213596800000007</v>
      </c>
      <c r="H14" s="175"/>
      <c r="I14" s="932" t="s">
        <v>987</v>
      </c>
      <c r="J14" s="931"/>
      <c r="K14" s="931"/>
      <c r="L14" s="931"/>
      <c r="M14" s="931"/>
      <c r="S14" s="779"/>
      <c r="U14" s="779"/>
      <c r="V14" s="779"/>
    </row>
    <row r="15" spans="1:22" ht="16.5" hidden="1">
      <c r="A15" s="175" t="s">
        <v>1622</v>
      </c>
      <c r="B15" s="931">
        <v>12.28</v>
      </c>
      <c r="C15" s="931">
        <v>10.45</v>
      </c>
      <c r="D15" s="490">
        <v>1.2832599999999998</v>
      </c>
      <c r="E15" s="931">
        <v>20.56</v>
      </c>
      <c r="F15" s="936">
        <f t="shared" si="2"/>
        <v>2.5247679999999999</v>
      </c>
      <c r="G15" s="1332">
        <f t="shared" si="3"/>
        <v>0.68969999999999987</v>
      </c>
      <c r="H15" s="175"/>
      <c r="I15" s="932" t="s">
        <v>987</v>
      </c>
      <c r="J15" s="931">
        <v>100</v>
      </c>
      <c r="K15" s="931">
        <v>100</v>
      </c>
      <c r="L15" s="931">
        <v>6</v>
      </c>
      <c r="M15" s="931">
        <v>6</v>
      </c>
      <c r="S15" s="779"/>
      <c r="U15" s="779"/>
      <c r="V15" s="779"/>
    </row>
    <row r="16" spans="1:22" ht="16.5" hidden="1">
      <c r="A16" s="175" t="s">
        <v>803</v>
      </c>
      <c r="B16" s="931">
        <v>89.83</v>
      </c>
      <c r="C16" s="931">
        <v>13.21</v>
      </c>
      <c r="D16" s="490">
        <v>11.866543000000002</v>
      </c>
      <c r="E16" s="931">
        <v>23.88</v>
      </c>
      <c r="F16" s="936">
        <f t="shared" si="2"/>
        <v>21.451403999999997</v>
      </c>
      <c r="G16" s="1332">
        <f t="shared" si="3"/>
        <v>0.87186000000000008</v>
      </c>
      <c r="H16" s="175"/>
      <c r="I16" s="932" t="s">
        <v>987</v>
      </c>
      <c r="J16" s="931"/>
      <c r="K16" s="931"/>
      <c r="L16" s="931"/>
      <c r="M16" s="931"/>
      <c r="S16" s="779"/>
      <c r="U16" s="779"/>
      <c r="V16" s="779"/>
    </row>
    <row r="17" spans="1:22" ht="16.5" hidden="1">
      <c r="A17" s="175" t="s">
        <v>804</v>
      </c>
      <c r="B17" s="931">
        <v>90.17</v>
      </c>
      <c r="C17" s="931">
        <v>14</v>
      </c>
      <c r="D17" s="490">
        <v>12.623800000000001</v>
      </c>
      <c r="E17" s="931">
        <v>22.53</v>
      </c>
      <c r="F17" s="936">
        <f t="shared" si="2"/>
        <v>20.315301000000002</v>
      </c>
      <c r="G17" s="1332">
        <f t="shared" si="3"/>
        <v>0.92399999999999993</v>
      </c>
      <c r="H17" s="175"/>
      <c r="I17" s="932" t="s">
        <v>987</v>
      </c>
      <c r="J17" s="931"/>
      <c r="K17" s="931"/>
      <c r="L17" s="931"/>
      <c r="M17" s="931"/>
      <c r="S17" s="779"/>
      <c r="U17" s="779"/>
      <c r="V17" s="779"/>
    </row>
    <row r="18" spans="1:22" ht="16.5" hidden="1">
      <c r="A18" s="13" t="s">
        <v>1623</v>
      </c>
      <c r="B18" s="933">
        <v>30</v>
      </c>
      <c r="C18" s="933">
        <v>9.4</v>
      </c>
      <c r="D18" s="40">
        <v>2.82</v>
      </c>
      <c r="E18" s="933">
        <v>24</v>
      </c>
      <c r="F18" s="490">
        <f t="shared" si="2"/>
        <v>7.2</v>
      </c>
      <c r="G18" s="1333">
        <f t="shared" si="3"/>
        <v>0.62039999999999995</v>
      </c>
      <c r="H18" s="175"/>
      <c r="I18" s="932" t="s">
        <v>1607</v>
      </c>
      <c r="J18" s="933">
        <v>300</v>
      </c>
      <c r="K18" s="933">
        <v>0</v>
      </c>
      <c r="L18" s="933">
        <v>18</v>
      </c>
      <c r="M18" s="933">
        <v>6</v>
      </c>
      <c r="S18" s="779"/>
      <c r="U18" s="779"/>
      <c r="V18" s="779"/>
    </row>
    <row r="19" spans="1:22" ht="16.5" hidden="1">
      <c r="A19" s="1187" t="s">
        <v>1721</v>
      </c>
      <c r="B19" s="931">
        <v>30.3</v>
      </c>
      <c r="C19" s="931">
        <v>9.6715079999999993</v>
      </c>
      <c r="D19" s="1188">
        <v>2.9304669239999996</v>
      </c>
      <c r="E19" s="931">
        <v>12.6</v>
      </c>
      <c r="F19" s="1219">
        <f t="shared" si="2"/>
        <v>3.8177999999999996</v>
      </c>
      <c r="G19" s="1332">
        <f t="shared" si="3"/>
        <v>0.63831952799999991</v>
      </c>
      <c r="H19" s="1189"/>
      <c r="I19" s="932" t="s">
        <v>1712</v>
      </c>
      <c r="J19" s="931">
        <v>50</v>
      </c>
      <c r="K19" s="931">
        <v>100</v>
      </c>
      <c r="L19" s="931">
        <v>6</v>
      </c>
      <c r="M19" s="931">
        <v>6</v>
      </c>
      <c r="S19" s="779"/>
      <c r="U19" s="779"/>
      <c r="V19" s="779"/>
    </row>
    <row r="20" spans="1:22" ht="16.5" hidden="1">
      <c r="A20" s="13" t="s">
        <v>1726</v>
      </c>
      <c r="B20" s="933">
        <v>33</v>
      </c>
      <c r="C20" s="933">
        <v>7.25</v>
      </c>
      <c r="D20" s="40">
        <f>C20*(0.01*B20)</f>
        <v>2.3925000000000001</v>
      </c>
      <c r="E20" s="933">
        <v>8</v>
      </c>
      <c r="F20" s="490">
        <f t="shared" si="2"/>
        <v>2.64</v>
      </c>
      <c r="G20" s="1333">
        <f t="shared" si="3"/>
        <v>0.47849999999999993</v>
      </c>
      <c r="H20" s="175"/>
      <c r="I20" s="932" t="s">
        <v>1685</v>
      </c>
      <c r="J20" s="933">
        <v>300</v>
      </c>
      <c r="K20" s="933">
        <v>0</v>
      </c>
      <c r="L20" s="933">
        <v>18</v>
      </c>
      <c r="M20" s="933">
        <v>6</v>
      </c>
      <c r="S20" s="779"/>
      <c r="U20" s="779"/>
      <c r="V20" s="779"/>
    </row>
    <row r="21" spans="1:22" ht="16.5" hidden="1">
      <c r="A21" s="1187" t="s">
        <v>1708</v>
      </c>
      <c r="B21" s="931">
        <v>24</v>
      </c>
      <c r="C21" s="931">
        <v>9.6999999999999993</v>
      </c>
      <c r="D21" s="1188">
        <v>2.3279999999999998</v>
      </c>
      <c r="E21" s="931">
        <v>9.9</v>
      </c>
      <c r="F21" s="1188">
        <v>2.3760000000000003</v>
      </c>
      <c r="G21" s="1333">
        <v>0.64019999999999999</v>
      </c>
      <c r="H21" s="1189"/>
      <c r="I21" s="1190" t="s">
        <v>1698</v>
      </c>
      <c r="J21" s="931">
        <v>350</v>
      </c>
      <c r="K21" s="931">
        <v>20</v>
      </c>
      <c r="L21" s="931">
        <v>31</v>
      </c>
      <c r="M21" s="931">
        <v>8</v>
      </c>
      <c r="S21" s="779"/>
      <c r="U21" s="779"/>
      <c r="V21" s="779"/>
    </row>
    <row r="22" spans="1:22" ht="16.5" hidden="1">
      <c r="A22" s="175" t="s">
        <v>1624</v>
      </c>
      <c r="B22" s="931">
        <v>30</v>
      </c>
      <c r="C22" s="931">
        <v>11.5</v>
      </c>
      <c r="D22" s="490">
        <v>3.45</v>
      </c>
      <c r="E22" s="931">
        <v>22.3</v>
      </c>
      <c r="F22" s="936">
        <f t="shared" ref="F22:F53" si="4">E22*B22/100</f>
        <v>6.69</v>
      </c>
      <c r="G22" s="1332">
        <f t="shared" ref="G22:G53" si="5">C22*6.6/100</f>
        <v>0.7589999999999999</v>
      </c>
      <c r="H22" s="175"/>
      <c r="I22" s="932" t="s">
        <v>1608</v>
      </c>
      <c r="J22" s="931">
        <v>50</v>
      </c>
      <c r="K22" s="931">
        <v>100</v>
      </c>
      <c r="L22" s="931">
        <v>6</v>
      </c>
      <c r="M22" s="931">
        <v>6</v>
      </c>
      <c r="S22" s="779"/>
      <c r="U22" s="779"/>
      <c r="V22" s="779"/>
    </row>
    <row r="23" spans="1:22" ht="16.5" hidden="1">
      <c r="A23" s="175" t="s">
        <v>805</v>
      </c>
      <c r="B23" s="931">
        <v>89.53</v>
      </c>
      <c r="C23" s="931">
        <v>7.99</v>
      </c>
      <c r="D23" s="490">
        <v>7.1534469999999999</v>
      </c>
      <c r="E23" s="931">
        <v>6.52</v>
      </c>
      <c r="F23" s="936">
        <f t="shared" si="4"/>
        <v>5.8373559999999998</v>
      </c>
      <c r="G23" s="1332">
        <f t="shared" si="5"/>
        <v>0.52734000000000003</v>
      </c>
      <c r="H23" s="175"/>
      <c r="I23" s="932" t="s">
        <v>646</v>
      </c>
      <c r="J23" s="931"/>
      <c r="K23" s="931"/>
      <c r="L23" s="931"/>
      <c r="M23" s="931"/>
    </row>
    <row r="24" spans="1:22" ht="16.5" hidden="1">
      <c r="A24" s="175" t="s">
        <v>806</v>
      </c>
      <c r="B24" s="931">
        <v>92.7</v>
      </c>
      <c r="C24" s="931">
        <v>21.185199999999998</v>
      </c>
      <c r="D24" s="490">
        <v>19.638680399999998</v>
      </c>
      <c r="E24" s="931">
        <v>33.200000000000003</v>
      </c>
      <c r="F24" s="936">
        <f t="shared" si="4"/>
        <v>30.776400000000002</v>
      </c>
      <c r="G24" s="1332">
        <f t="shared" si="5"/>
        <v>1.3982231999999999</v>
      </c>
      <c r="H24" s="175"/>
      <c r="I24" s="932" t="s">
        <v>646</v>
      </c>
      <c r="J24" s="931"/>
      <c r="K24" s="931"/>
      <c r="L24" s="931"/>
      <c r="M24" s="931"/>
    </row>
    <row r="25" spans="1:22" ht="16.5" hidden="1">
      <c r="A25" s="175" t="s">
        <v>807</v>
      </c>
      <c r="B25" s="931">
        <v>93.12</v>
      </c>
      <c r="C25" s="931">
        <v>6.56</v>
      </c>
      <c r="D25" s="490">
        <v>6.1086720000000003</v>
      </c>
      <c r="E25" s="931">
        <v>16.29</v>
      </c>
      <c r="F25" s="936">
        <f t="shared" si="4"/>
        <v>15.169248</v>
      </c>
      <c r="G25" s="1332">
        <f t="shared" si="5"/>
        <v>0.4329599999999999</v>
      </c>
      <c r="H25" s="175"/>
      <c r="I25" s="932" t="s">
        <v>646</v>
      </c>
      <c r="J25" s="931"/>
      <c r="K25" s="931"/>
      <c r="L25" s="931"/>
      <c r="M25" s="931"/>
    </row>
    <row r="26" spans="1:22" ht="16.5" hidden="1">
      <c r="A26" s="175" t="s">
        <v>1684</v>
      </c>
      <c r="B26" s="931">
        <v>30</v>
      </c>
      <c r="C26" s="931">
        <v>11</v>
      </c>
      <c r="D26" s="490">
        <f>C26*(0.01*B26)</f>
        <v>3.3</v>
      </c>
      <c r="E26" s="931">
        <v>15</v>
      </c>
      <c r="F26" s="936">
        <f t="shared" si="4"/>
        <v>4.5</v>
      </c>
      <c r="G26" s="1332">
        <f t="shared" si="5"/>
        <v>0.72599999999999998</v>
      </c>
      <c r="H26" s="175"/>
      <c r="I26" s="932" t="s">
        <v>1683</v>
      </c>
      <c r="J26" s="931"/>
      <c r="K26" s="931"/>
      <c r="L26" s="931"/>
      <c r="M26" s="931"/>
    </row>
    <row r="27" spans="1:22" ht="16.5" hidden="1">
      <c r="A27" s="175" t="s">
        <v>1625</v>
      </c>
      <c r="B27" s="931">
        <v>26</v>
      </c>
      <c r="C27" s="931">
        <v>6.1293150684931508</v>
      </c>
      <c r="D27" s="490">
        <v>1.5936219178082192</v>
      </c>
      <c r="E27" s="931">
        <v>6</v>
      </c>
      <c r="F27" s="936">
        <f t="shared" si="4"/>
        <v>1.56</v>
      </c>
      <c r="G27" s="1332">
        <f t="shared" si="5"/>
        <v>0.40453479452054791</v>
      </c>
      <c r="H27" s="175"/>
      <c r="I27" s="932" t="s">
        <v>1610</v>
      </c>
      <c r="J27" s="931">
        <v>300</v>
      </c>
      <c r="K27" s="931">
        <v>0</v>
      </c>
      <c r="L27" s="931">
        <v>18</v>
      </c>
      <c r="M27" s="931">
        <v>6</v>
      </c>
    </row>
    <row r="28" spans="1:22" ht="16.5" hidden="1">
      <c r="A28" s="175" t="s">
        <v>1695</v>
      </c>
      <c r="B28" s="931">
        <v>24</v>
      </c>
      <c r="C28" s="931">
        <v>6.0038356164383559</v>
      </c>
      <c r="D28" s="490">
        <v>1.4409205479452054</v>
      </c>
      <c r="E28" s="931">
        <v>6</v>
      </c>
      <c r="F28" s="936">
        <f t="shared" si="4"/>
        <v>1.44</v>
      </c>
      <c r="G28" s="1332">
        <f t="shared" si="5"/>
        <v>0.39625315068493144</v>
      </c>
      <c r="H28" s="175"/>
      <c r="I28" s="932" t="s">
        <v>1694</v>
      </c>
      <c r="J28" s="931">
        <v>300</v>
      </c>
      <c r="K28" s="931">
        <v>0</v>
      </c>
      <c r="L28" s="931">
        <v>18</v>
      </c>
      <c r="M28" s="931">
        <v>6</v>
      </c>
    </row>
    <row r="29" spans="1:22" ht="16.5" hidden="1">
      <c r="A29" s="175" t="s">
        <v>1626</v>
      </c>
      <c r="B29" s="931">
        <v>18.3</v>
      </c>
      <c r="C29" s="931">
        <v>11.43</v>
      </c>
      <c r="D29" s="490">
        <v>2.0916900000000003</v>
      </c>
      <c r="E29" s="931">
        <v>22.94</v>
      </c>
      <c r="F29" s="936">
        <f t="shared" si="4"/>
        <v>4.1980200000000005</v>
      </c>
      <c r="G29" s="1332">
        <f t="shared" si="5"/>
        <v>0.75437999999999983</v>
      </c>
      <c r="H29" s="175"/>
      <c r="I29" s="932" t="s">
        <v>1627</v>
      </c>
      <c r="J29" s="931">
        <v>100</v>
      </c>
      <c r="K29" s="931">
        <v>100</v>
      </c>
      <c r="L29" s="931">
        <v>6</v>
      </c>
      <c r="M29" s="931">
        <v>6</v>
      </c>
    </row>
    <row r="30" spans="1:22" ht="16.5" hidden="1">
      <c r="A30" s="175" t="s">
        <v>1244</v>
      </c>
      <c r="B30" s="931">
        <v>90</v>
      </c>
      <c r="C30" s="931">
        <v>9.2899999999999991</v>
      </c>
      <c r="D30" s="490">
        <v>8.3609999999999989</v>
      </c>
      <c r="E30" s="931">
        <v>16.600000000000001</v>
      </c>
      <c r="F30" s="936">
        <f t="shared" si="4"/>
        <v>14.940000000000003</v>
      </c>
      <c r="G30" s="1332">
        <f t="shared" si="5"/>
        <v>0.61313999999999991</v>
      </c>
      <c r="H30" s="175"/>
      <c r="I30" s="932" t="s">
        <v>1627</v>
      </c>
      <c r="J30" s="931">
        <v>50</v>
      </c>
      <c r="K30" s="931">
        <v>50</v>
      </c>
      <c r="L30" s="931">
        <v>10</v>
      </c>
      <c r="M30" s="931">
        <v>10</v>
      </c>
    </row>
    <row r="31" spans="1:22" ht="16.5" hidden="1">
      <c r="A31" s="175" t="s">
        <v>1245</v>
      </c>
      <c r="B31" s="931">
        <v>27.83</v>
      </c>
      <c r="C31" s="931">
        <v>7.4400000000000013</v>
      </c>
      <c r="D31" s="490">
        <v>2.0705519999999997</v>
      </c>
      <c r="E31" s="931">
        <v>17.510000000000002</v>
      </c>
      <c r="F31" s="936">
        <f t="shared" si="4"/>
        <v>4.8730330000000004</v>
      </c>
      <c r="G31" s="1332">
        <f t="shared" si="5"/>
        <v>0.49104000000000009</v>
      </c>
      <c r="H31" s="175"/>
      <c r="I31" s="932" t="s">
        <v>1627</v>
      </c>
      <c r="J31" s="931">
        <v>50</v>
      </c>
      <c r="K31" s="931">
        <v>50</v>
      </c>
      <c r="L31" s="931">
        <v>10</v>
      </c>
      <c r="M31" s="931">
        <v>10</v>
      </c>
    </row>
    <row r="32" spans="1:22" ht="16.5" hidden="1">
      <c r="A32" s="175" t="s">
        <v>1628</v>
      </c>
      <c r="B32" s="931">
        <v>26.2</v>
      </c>
      <c r="C32" s="931">
        <v>9.5</v>
      </c>
      <c r="D32" s="490">
        <v>2.4889999999999999</v>
      </c>
      <c r="E32" s="931">
        <v>19.93</v>
      </c>
      <c r="F32" s="936">
        <f t="shared" si="4"/>
        <v>5.2216599999999991</v>
      </c>
      <c r="G32" s="1332">
        <f t="shared" si="5"/>
        <v>0.627</v>
      </c>
      <c r="H32" s="175"/>
      <c r="I32" s="932" t="s">
        <v>915</v>
      </c>
      <c r="J32" s="931">
        <v>50</v>
      </c>
      <c r="K32" s="931">
        <v>100</v>
      </c>
      <c r="L32" s="931">
        <v>6</v>
      </c>
      <c r="M32" s="931">
        <v>6</v>
      </c>
    </row>
    <row r="33" spans="1:13" ht="16.5" hidden="1">
      <c r="A33" s="175" t="s">
        <v>1494</v>
      </c>
      <c r="B33" s="931">
        <v>90.6</v>
      </c>
      <c r="C33" s="931">
        <v>9.0853560000000009</v>
      </c>
      <c r="D33" s="490">
        <f t="shared" ref="D33:D41" si="6">B33*C33/100</f>
        <v>8.231332536</v>
      </c>
      <c r="E33" s="931">
        <v>18.600000000000001</v>
      </c>
      <c r="F33" s="936">
        <f t="shared" si="4"/>
        <v>16.851600000000001</v>
      </c>
      <c r="G33" s="1332">
        <f t="shared" si="5"/>
        <v>0.59963349600000004</v>
      </c>
      <c r="H33" s="175"/>
      <c r="I33" s="932" t="s">
        <v>1542</v>
      </c>
      <c r="J33" s="931"/>
      <c r="K33" s="931"/>
      <c r="L33" s="931"/>
      <c r="M33" s="931"/>
    </row>
    <row r="34" spans="1:13" ht="16.5" hidden="1">
      <c r="A34" s="175" t="s">
        <v>1495</v>
      </c>
      <c r="B34" s="931">
        <v>91.7</v>
      </c>
      <c r="C34" s="931">
        <v>9.3784320000000001</v>
      </c>
      <c r="D34" s="490">
        <f t="shared" si="6"/>
        <v>8.6000221440000004</v>
      </c>
      <c r="E34" s="931">
        <v>18.899999999999999</v>
      </c>
      <c r="F34" s="936">
        <f t="shared" si="4"/>
        <v>17.331299999999999</v>
      </c>
      <c r="G34" s="1332">
        <f t="shared" si="5"/>
        <v>0.61897651200000003</v>
      </c>
      <c r="H34" s="175"/>
      <c r="I34" s="932" t="s">
        <v>1542</v>
      </c>
      <c r="J34" s="931"/>
      <c r="K34" s="931"/>
      <c r="L34" s="931"/>
      <c r="M34" s="931"/>
    </row>
    <row r="35" spans="1:13" ht="16.5" hidden="1">
      <c r="A35" s="175" t="s">
        <v>1496</v>
      </c>
      <c r="B35" s="931">
        <v>44.1</v>
      </c>
      <c r="C35" s="931">
        <v>9.5459040000000002</v>
      </c>
      <c r="D35" s="490">
        <f t="shared" si="6"/>
        <v>4.2097436640000003</v>
      </c>
      <c r="E35" s="931">
        <v>19.5</v>
      </c>
      <c r="F35" s="936">
        <f t="shared" si="4"/>
        <v>8.5995000000000008</v>
      </c>
      <c r="G35" s="1332">
        <f t="shared" si="5"/>
        <v>0.63002966399999993</v>
      </c>
      <c r="H35" s="175"/>
      <c r="I35" s="932" t="s">
        <v>1542</v>
      </c>
      <c r="J35" s="931"/>
      <c r="K35" s="931"/>
      <c r="L35" s="931"/>
      <c r="M35" s="931"/>
    </row>
    <row r="36" spans="1:13" ht="16.5" hidden="1">
      <c r="A36" s="175" t="s">
        <v>1497</v>
      </c>
      <c r="B36" s="931">
        <v>93.85</v>
      </c>
      <c r="C36" s="931">
        <v>5.57</v>
      </c>
      <c r="D36" s="490">
        <f t="shared" si="6"/>
        <v>5.2274450000000003</v>
      </c>
      <c r="E36" s="931">
        <v>6.44</v>
      </c>
      <c r="F36" s="936">
        <f t="shared" si="4"/>
        <v>6.0439400000000001</v>
      </c>
      <c r="G36" s="1332">
        <f t="shared" si="5"/>
        <v>0.36762</v>
      </c>
      <c r="H36" s="175"/>
      <c r="I36" s="932" t="s">
        <v>1543</v>
      </c>
      <c r="J36" s="931"/>
      <c r="K36" s="931"/>
      <c r="L36" s="931"/>
      <c r="M36" s="931"/>
    </row>
    <row r="37" spans="1:13" ht="16.5" hidden="1">
      <c r="A37" s="175" t="s">
        <v>1498</v>
      </c>
      <c r="B37" s="931">
        <v>90</v>
      </c>
      <c r="C37" s="931">
        <v>19</v>
      </c>
      <c r="D37" s="490">
        <f t="shared" si="6"/>
        <v>17.100000000000001</v>
      </c>
      <c r="E37" s="931">
        <v>30</v>
      </c>
      <c r="F37" s="936">
        <f t="shared" si="4"/>
        <v>27</v>
      </c>
      <c r="G37" s="1332">
        <f t="shared" si="5"/>
        <v>1.254</v>
      </c>
      <c r="H37" s="175"/>
      <c r="I37" s="932" t="s">
        <v>1543</v>
      </c>
      <c r="J37" s="931"/>
      <c r="K37" s="931"/>
      <c r="L37" s="931"/>
      <c r="M37" s="931"/>
    </row>
    <row r="38" spans="1:13" ht="16.5" hidden="1">
      <c r="A38" s="175" t="s">
        <v>1499</v>
      </c>
      <c r="B38" s="931">
        <v>91.89</v>
      </c>
      <c r="C38" s="931">
        <v>7.36</v>
      </c>
      <c r="D38" s="490">
        <f t="shared" si="6"/>
        <v>6.7631040000000011</v>
      </c>
      <c r="E38" s="931">
        <v>5.54</v>
      </c>
      <c r="F38" s="936">
        <f t="shared" si="4"/>
        <v>5.090706</v>
      </c>
      <c r="G38" s="1332">
        <f t="shared" si="5"/>
        <v>0.48576000000000003</v>
      </c>
      <c r="H38" s="175"/>
      <c r="I38" s="932" t="s">
        <v>1543</v>
      </c>
      <c r="J38" s="931"/>
      <c r="K38" s="931"/>
      <c r="L38" s="931"/>
      <c r="M38" s="931"/>
    </row>
    <row r="39" spans="1:13" ht="16.5" hidden="1">
      <c r="A39" s="175" t="s">
        <v>1701</v>
      </c>
      <c r="B39" s="931">
        <v>87</v>
      </c>
      <c r="C39" s="931">
        <v>9.127224</v>
      </c>
      <c r="D39" s="490">
        <f t="shared" si="6"/>
        <v>7.9406848800000001</v>
      </c>
      <c r="E39" s="931">
        <v>5.9</v>
      </c>
      <c r="F39" s="936">
        <f t="shared" si="4"/>
        <v>5.1330000000000009</v>
      </c>
      <c r="G39" s="1332">
        <f t="shared" si="5"/>
        <v>0.60239678399999996</v>
      </c>
      <c r="H39" s="175"/>
      <c r="I39" s="932" t="s">
        <v>1113</v>
      </c>
      <c r="J39" s="931"/>
      <c r="K39" s="931"/>
      <c r="L39" s="931"/>
      <c r="M39" s="931"/>
    </row>
    <row r="40" spans="1:13" ht="16.5" hidden="1">
      <c r="A40" s="175" t="s">
        <v>1500</v>
      </c>
      <c r="B40" s="931">
        <v>90.1</v>
      </c>
      <c r="C40" s="931">
        <v>7.5781080000000003</v>
      </c>
      <c r="D40" s="490">
        <f t="shared" si="6"/>
        <v>6.8278753080000003</v>
      </c>
      <c r="E40" s="931">
        <v>2.8</v>
      </c>
      <c r="F40" s="936">
        <f t="shared" si="4"/>
        <v>2.5227999999999997</v>
      </c>
      <c r="G40" s="1333">
        <f t="shared" si="5"/>
        <v>0.50015512799999995</v>
      </c>
      <c r="H40" s="175"/>
      <c r="I40" s="932" t="s">
        <v>378</v>
      </c>
      <c r="J40" s="931"/>
      <c r="K40" s="931"/>
      <c r="L40" s="931"/>
      <c r="M40" s="931"/>
    </row>
    <row r="41" spans="1:13" ht="16.5" hidden="1">
      <c r="A41" s="175" t="s">
        <v>1501</v>
      </c>
      <c r="B41" s="931">
        <v>89</v>
      </c>
      <c r="C41" s="931">
        <v>13.020948000000001</v>
      </c>
      <c r="D41" s="490">
        <f t="shared" si="6"/>
        <v>11.58864372</v>
      </c>
      <c r="E41" s="931">
        <v>10</v>
      </c>
      <c r="F41" s="936">
        <f t="shared" si="4"/>
        <v>8.9</v>
      </c>
      <c r="G41" s="1332">
        <f t="shared" si="5"/>
        <v>0.85938256800000001</v>
      </c>
      <c r="H41" s="175"/>
      <c r="I41" s="932" t="s">
        <v>378</v>
      </c>
      <c r="J41" s="931"/>
      <c r="K41" s="931"/>
      <c r="L41" s="931"/>
      <c r="M41" s="931"/>
    </row>
    <row r="42" spans="1:13" ht="16.5" hidden="1">
      <c r="A42" s="175" t="s">
        <v>1700</v>
      </c>
      <c r="B42" s="931">
        <v>82</v>
      </c>
      <c r="C42" s="931">
        <v>10.215792</v>
      </c>
      <c r="D42" s="490">
        <v>8.3769494400000006</v>
      </c>
      <c r="E42" s="931">
        <v>8.9</v>
      </c>
      <c r="F42" s="936">
        <f t="shared" si="4"/>
        <v>7.2980000000000009</v>
      </c>
      <c r="G42" s="1332">
        <f t="shared" si="5"/>
        <v>0.67424227200000009</v>
      </c>
      <c r="H42" s="175"/>
      <c r="I42" s="932" t="s">
        <v>378</v>
      </c>
      <c r="J42" s="931"/>
      <c r="K42" s="931"/>
      <c r="L42" s="931"/>
      <c r="M42" s="931"/>
    </row>
    <row r="43" spans="1:13" ht="16.5" hidden="1">
      <c r="A43" s="175" t="s">
        <v>1502</v>
      </c>
      <c r="B43" s="931">
        <v>34.6</v>
      </c>
      <c r="C43" s="931">
        <v>10.885680000000001</v>
      </c>
      <c r="D43" s="490">
        <f>B43*C43/100</f>
        <v>3.7664452800000006</v>
      </c>
      <c r="E43" s="931">
        <v>8.65</v>
      </c>
      <c r="F43" s="936">
        <f t="shared" si="4"/>
        <v>2.9929000000000001</v>
      </c>
      <c r="G43" s="1332">
        <f t="shared" si="5"/>
        <v>0.71845488000000002</v>
      </c>
      <c r="H43" s="175"/>
      <c r="I43" s="932" t="s">
        <v>1697</v>
      </c>
      <c r="J43" s="931"/>
      <c r="K43" s="931">
        <v>1680</v>
      </c>
      <c r="L43" s="931"/>
      <c r="M43" s="931">
        <v>200</v>
      </c>
    </row>
    <row r="44" spans="1:13" ht="16.5">
      <c r="A44" s="175" t="s">
        <v>1862</v>
      </c>
      <c r="B44" s="931">
        <v>22</v>
      </c>
      <c r="C44" s="931">
        <v>8.1999999999999993</v>
      </c>
      <c r="D44" s="490">
        <f>B44*C44/100</f>
        <v>1.8039999999999998</v>
      </c>
      <c r="E44" s="931">
        <v>5.5</v>
      </c>
      <c r="F44" s="936">
        <f t="shared" si="4"/>
        <v>1.21</v>
      </c>
      <c r="G44" s="1399">
        <f t="shared" si="5"/>
        <v>0.5411999999999999</v>
      </c>
      <c r="H44" s="13">
        <v>0</v>
      </c>
      <c r="I44" s="932" t="s">
        <v>1861</v>
      </c>
      <c r="J44" s="931">
        <v>300</v>
      </c>
      <c r="K44" s="931">
        <v>0</v>
      </c>
      <c r="L44" s="931">
        <v>18</v>
      </c>
      <c r="M44" s="931">
        <v>6</v>
      </c>
    </row>
    <row r="45" spans="1:13" ht="16.5" hidden="1">
      <c r="A45" s="175" t="s">
        <v>1504</v>
      </c>
      <c r="B45" s="931">
        <v>90</v>
      </c>
      <c r="C45" s="931">
        <v>15</v>
      </c>
      <c r="D45" s="490">
        <f>B45*C45/100</f>
        <v>13.5</v>
      </c>
      <c r="E45" s="931">
        <v>9</v>
      </c>
      <c r="F45" s="936">
        <f t="shared" si="4"/>
        <v>8.1</v>
      </c>
      <c r="G45" s="1332">
        <f t="shared" si="5"/>
        <v>0.99</v>
      </c>
      <c r="H45" s="175"/>
      <c r="I45" s="932" t="s">
        <v>378</v>
      </c>
      <c r="J45" s="931">
        <v>50</v>
      </c>
      <c r="K45" s="931">
        <v>30</v>
      </c>
      <c r="L45" s="931">
        <v>5</v>
      </c>
      <c r="M45" s="931">
        <v>10</v>
      </c>
    </row>
    <row r="46" spans="1:13" ht="16.5" hidden="1">
      <c r="A46" s="1172" t="s">
        <v>1693</v>
      </c>
      <c r="B46" s="1173">
        <v>26.2</v>
      </c>
      <c r="C46" s="1173">
        <v>10.6</v>
      </c>
      <c r="D46" s="1174">
        <f>C46*(0.01*B46)</f>
        <v>2.7772000000000001</v>
      </c>
      <c r="E46" s="1173">
        <v>24.3</v>
      </c>
      <c r="F46" s="936">
        <f t="shared" si="4"/>
        <v>6.3666</v>
      </c>
      <c r="G46" s="1332">
        <f t="shared" si="5"/>
        <v>0.69959999999999989</v>
      </c>
      <c r="H46" s="1175"/>
      <c r="I46" s="1176" t="s">
        <v>1682</v>
      </c>
      <c r="J46" s="931">
        <v>50</v>
      </c>
      <c r="K46" s="931">
        <v>30</v>
      </c>
      <c r="L46" s="931">
        <v>5</v>
      </c>
      <c r="M46" s="931">
        <v>10</v>
      </c>
    </row>
    <row r="47" spans="1:13" ht="16.5" hidden="1">
      <c r="A47" s="175" t="s">
        <v>1629</v>
      </c>
      <c r="B47" s="931">
        <v>20.966999999999999</v>
      </c>
      <c r="C47" s="931">
        <v>10.8</v>
      </c>
      <c r="D47" s="490">
        <v>2.2644359999999999</v>
      </c>
      <c r="E47" s="931">
        <v>15.77</v>
      </c>
      <c r="F47" s="936">
        <f t="shared" si="4"/>
        <v>3.3064958999999998</v>
      </c>
      <c r="G47" s="1332">
        <f t="shared" si="5"/>
        <v>0.71279999999999999</v>
      </c>
      <c r="H47" s="175"/>
      <c r="I47" s="932" t="s">
        <v>1246</v>
      </c>
      <c r="J47" s="931">
        <v>50</v>
      </c>
      <c r="K47" s="931">
        <v>30</v>
      </c>
      <c r="L47" s="931">
        <v>5</v>
      </c>
      <c r="M47" s="931">
        <v>10</v>
      </c>
    </row>
    <row r="48" spans="1:13" ht="16.5" hidden="1">
      <c r="A48" s="175" t="s">
        <v>1505</v>
      </c>
      <c r="B48" s="931">
        <v>20.966999999999999</v>
      </c>
      <c r="C48" s="931">
        <v>10.8</v>
      </c>
      <c r="D48" s="490">
        <f>B48*C48/100</f>
        <v>2.2644359999999999</v>
      </c>
      <c r="E48" s="931">
        <v>15.77</v>
      </c>
      <c r="F48" s="936">
        <f t="shared" si="4"/>
        <v>3.3064958999999998</v>
      </c>
      <c r="G48" s="1332">
        <f t="shared" si="5"/>
        <v>0.71279999999999999</v>
      </c>
      <c r="H48" s="175"/>
      <c r="I48" s="932" t="s">
        <v>1246</v>
      </c>
      <c r="J48" s="931">
        <v>50</v>
      </c>
      <c r="K48" s="931">
        <v>30</v>
      </c>
      <c r="L48" s="931">
        <v>5</v>
      </c>
      <c r="M48" s="931">
        <v>10</v>
      </c>
    </row>
    <row r="49" spans="1:13" ht="16.5" hidden="1">
      <c r="A49" s="175" t="s">
        <v>1247</v>
      </c>
      <c r="B49" s="931">
        <v>90.6</v>
      </c>
      <c r="C49" s="931">
        <v>10.89</v>
      </c>
      <c r="D49" s="490">
        <f>B49*C49/100</f>
        <v>9.866340000000001</v>
      </c>
      <c r="E49" s="931">
        <v>14.8</v>
      </c>
      <c r="F49" s="936">
        <f t="shared" si="4"/>
        <v>13.408799999999999</v>
      </c>
      <c r="G49" s="1332">
        <f t="shared" si="5"/>
        <v>0.71873999999999993</v>
      </c>
      <c r="H49" s="175"/>
      <c r="I49" s="932" t="s">
        <v>1246</v>
      </c>
      <c r="J49" s="931">
        <v>50</v>
      </c>
      <c r="K49" s="931">
        <v>30</v>
      </c>
      <c r="L49" s="931">
        <v>5</v>
      </c>
      <c r="M49" s="931">
        <v>10</v>
      </c>
    </row>
    <row r="50" spans="1:13" ht="16.5" hidden="1">
      <c r="A50" s="175" t="s">
        <v>1506</v>
      </c>
      <c r="B50" s="931">
        <v>92.37</v>
      </c>
      <c r="C50" s="931">
        <v>14.193</v>
      </c>
      <c r="D50" s="490">
        <f>B50*C50/100</f>
        <v>13.110074099999999</v>
      </c>
      <c r="E50" s="931">
        <v>27.3</v>
      </c>
      <c r="F50" s="936">
        <f t="shared" si="4"/>
        <v>25.217010000000002</v>
      </c>
      <c r="G50" s="1332">
        <f t="shared" si="5"/>
        <v>0.93673799999999985</v>
      </c>
      <c r="H50" s="175"/>
      <c r="I50" s="932" t="s">
        <v>1246</v>
      </c>
      <c r="J50" s="931">
        <v>50</v>
      </c>
      <c r="K50" s="931">
        <v>30</v>
      </c>
      <c r="L50" s="931">
        <v>5</v>
      </c>
      <c r="M50" s="931">
        <v>10</v>
      </c>
    </row>
    <row r="51" spans="1:13" ht="16.5" hidden="1">
      <c r="A51" s="175" t="s">
        <v>1507</v>
      </c>
      <c r="B51" s="931">
        <v>28.4</v>
      </c>
      <c r="C51" s="931">
        <v>10</v>
      </c>
      <c r="D51" s="490">
        <f>B51*C51/100</f>
        <v>2.84</v>
      </c>
      <c r="E51" s="931">
        <v>19.399999999999999</v>
      </c>
      <c r="F51" s="936">
        <f t="shared" si="4"/>
        <v>5.5095999999999989</v>
      </c>
      <c r="G51" s="1332">
        <f t="shared" si="5"/>
        <v>0.66</v>
      </c>
      <c r="H51" s="175"/>
      <c r="I51" s="932" t="s">
        <v>1556</v>
      </c>
      <c r="J51" s="931">
        <v>50</v>
      </c>
      <c r="K51" s="931">
        <v>30</v>
      </c>
      <c r="L51" s="931">
        <v>5</v>
      </c>
      <c r="M51" s="931">
        <v>10</v>
      </c>
    </row>
    <row r="52" spans="1:13" ht="16.5" hidden="1">
      <c r="A52" s="175" t="s">
        <v>1144</v>
      </c>
      <c r="B52" s="931">
        <v>0</v>
      </c>
      <c r="C52" s="931">
        <v>0</v>
      </c>
      <c r="D52" s="490">
        <v>0</v>
      </c>
      <c r="E52" s="931">
        <v>0</v>
      </c>
      <c r="F52" s="936">
        <f t="shared" si="4"/>
        <v>0</v>
      </c>
      <c r="G52" s="1332">
        <f t="shared" si="5"/>
        <v>0</v>
      </c>
      <c r="H52" s="175"/>
      <c r="I52" s="932" t="s">
        <v>1144</v>
      </c>
      <c r="J52" s="931">
        <v>50</v>
      </c>
      <c r="K52" s="931">
        <v>30</v>
      </c>
      <c r="L52" s="931">
        <v>5</v>
      </c>
      <c r="M52" s="931">
        <v>10</v>
      </c>
    </row>
    <row r="53" spans="1:13" ht="16.5" hidden="1">
      <c r="A53" s="175" t="s">
        <v>1508</v>
      </c>
      <c r="B53" s="931">
        <v>60</v>
      </c>
      <c r="C53" s="931">
        <v>5</v>
      </c>
      <c r="D53" s="490">
        <f t="shared" ref="D53:D64" si="7">B53*C53/100</f>
        <v>3</v>
      </c>
      <c r="E53" s="931">
        <v>6</v>
      </c>
      <c r="F53" s="936">
        <f t="shared" si="4"/>
        <v>3.6</v>
      </c>
      <c r="G53" s="1332">
        <f t="shared" si="5"/>
        <v>0.33</v>
      </c>
      <c r="H53" s="175"/>
      <c r="I53" s="932" t="s">
        <v>1107</v>
      </c>
      <c r="J53" s="931">
        <v>50</v>
      </c>
      <c r="K53" s="931">
        <v>30</v>
      </c>
      <c r="L53" s="931">
        <v>5</v>
      </c>
      <c r="M53" s="931">
        <v>10</v>
      </c>
    </row>
    <row r="54" spans="1:13" ht="16.5">
      <c r="A54" s="175" t="s">
        <v>1503</v>
      </c>
      <c r="B54" s="931">
        <v>87</v>
      </c>
      <c r="C54" s="931">
        <v>6.9</v>
      </c>
      <c r="D54" s="490">
        <f t="shared" si="7"/>
        <v>6.003000000000001</v>
      </c>
      <c r="E54" s="931">
        <v>3.9</v>
      </c>
      <c r="F54" s="936">
        <f t="shared" ref="F54:F85" si="8">E54*B54/100</f>
        <v>3.3930000000000002</v>
      </c>
      <c r="G54" s="1399">
        <f t="shared" ref="G54:G85" si="9">C54*6.6/100</f>
        <v>0.45539999999999997</v>
      </c>
      <c r="H54" s="175">
        <v>0</v>
      </c>
      <c r="I54" s="932" t="s">
        <v>378</v>
      </c>
      <c r="J54" s="931">
        <v>50</v>
      </c>
      <c r="K54" s="931">
        <v>30</v>
      </c>
      <c r="L54" s="931">
        <v>5</v>
      </c>
      <c r="M54" s="931">
        <v>10</v>
      </c>
    </row>
    <row r="55" spans="1:13" ht="16.5" hidden="1">
      <c r="A55" s="175" t="s">
        <v>1702</v>
      </c>
      <c r="B55" s="931">
        <v>89</v>
      </c>
      <c r="C55" s="931">
        <v>12.267324</v>
      </c>
      <c r="D55" s="490">
        <f t="shared" si="7"/>
        <v>10.917918360000002</v>
      </c>
      <c r="E55" s="931">
        <v>13.6</v>
      </c>
      <c r="F55" s="936">
        <f t="shared" si="8"/>
        <v>12.103999999999999</v>
      </c>
      <c r="G55" s="1332">
        <f t="shared" si="9"/>
        <v>0.80964338400000002</v>
      </c>
      <c r="H55" s="175"/>
      <c r="I55" s="932" t="s">
        <v>1544</v>
      </c>
      <c r="J55" s="931"/>
      <c r="K55" s="931"/>
      <c r="L55" s="931"/>
      <c r="M55" s="931"/>
    </row>
    <row r="56" spans="1:13" ht="16.5" hidden="1">
      <c r="A56" s="175" t="s">
        <v>1703</v>
      </c>
      <c r="B56" s="931">
        <v>26.77</v>
      </c>
      <c r="C56" s="931">
        <v>10.1</v>
      </c>
      <c r="D56" s="490">
        <f t="shared" si="7"/>
        <v>2.70377</v>
      </c>
      <c r="E56" s="931">
        <v>9.9</v>
      </c>
      <c r="F56" s="936">
        <f t="shared" si="8"/>
        <v>2.6502300000000001</v>
      </c>
      <c r="G56" s="1332">
        <f t="shared" si="9"/>
        <v>0.66659999999999997</v>
      </c>
      <c r="H56" s="175"/>
      <c r="I56" s="932" t="s">
        <v>1544</v>
      </c>
      <c r="J56" s="931"/>
      <c r="K56" s="931"/>
      <c r="L56" s="931"/>
      <c r="M56" s="931"/>
    </row>
    <row r="57" spans="1:13" ht="16.5" hidden="1">
      <c r="A57" s="175" t="s">
        <v>1704</v>
      </c>
      <c r="B57" s="931">
        <v>90.7</v>
      </c>
      <c r="C57" s="931">
        <v>7.9967879999999996</v>
      </c>
      <c r="D57" s="490">
        <f t="shared" si="7"/>
        <v>7.2530867160000003</v>
      </c>
      <c r="E57" s="931">
        <v>9.5</v>
      </c>
      <c r="F57" s="936">
        <f t="shared" si="8"/>
        <v>8.6165000000000003</v>
      </c>
      <c r="G57" s="1332">
        <f t="shared" si="9"/>
        <v>0.52778800799999992</v>
      </c>
      <c r="H57" s="175"/>
      <c r="I57" s="932" t="s">
        <v>1544</v>
      </c>
      <c r="J57" s="931"/>
      <c r="K57" s="931"/>
      <c r="L57" s="931"/>
      <c r="M57" s="931"/>
    </row>
    <row r="58" spans="1:13" ht="16.5" hidden="1">
      <c r="A58" s="175" t="s">
        <v>1705</v>
      </c>
      <c r="B58" s="931">
        <v>92.4</v>
      </c>
      <c r="C58" s="931">
        <v>5.3172360000000003</v>
      </c>
      <c r="D58" s="490">
        <f t="shared" si="7"/>
        <v>4.9131260640000001</v>
      </c>
      <c r="E58" s="931">
        <v>4.0999999999999996</v>
      </c>
      <c r="F58" s="936">
        <f t="shared" si="8"/>
        <v>3.7883999999999998</v>
      </c>
      <c r="G58" s="1332">
        <f t="shared" si="9"/>
        <v>0.35093757600000003</v>
      </c>
      <c r="H58" s="175"/>
      <c r="I58" s="932" t="s">
        <v>1544</v>
      </c>
      <c r="J58" s="931"/>
      <c r="K58" s="931"/>
      <c r="L58" s="931"/>
      <c r="M58" s="931"/>
    </row>
    <row r="59" spans="1:13" ht="16.5" hidden="1">
      <c r="A59" s="175" t="s">
        <v>1706</v>
      </c>
      <c r="B59" s="931">
        <v>91</v>
      </c>
      <c r="C59" s="931">
        <v>15.28182</v>
      </c>
      <c r="D59" s="490">
        <f t="shared" si="7"/>
        <v>13.906456200000001</v>
      </c>
      <c r="E59" s="931">
        <v>16.2</v>
      </c>
      <c r="F59" s="936">
        <f t="shared" si="8"/>
        <v>14.742000000000001</v>
      </c>
      <c r="G59" s="1332">
        <f t="shared" si="9"/>
        <v>1.0086001199999999</v>
      </c>
      <c r="H59" s="175"/>
      <c r="I59" s="932" t="s">
        <v>1113</v>
      </c>
      <c r="J59" s="931"/>
      <c r="K59" s="931"/>
      <c r="L59" s="931"/>
      <c r="M59" s="931"/>
    </row>
    <row r="60" spans="1:13" ht="16.5" hidden="1">
      <c r="A60" s="175" t="s">
        <v>1707</v>
      </c>
      <c r="B60" s="931">
        <v>36.4</v>
      </c>
      <c r="C60" s="931">
        <v>8.9178840000000008</v>
      </c>
      <c r="D60" s="490">
        <f t="shared" si="7"/>
        <v>3.2461097759999999</v>
      </c>
      <c r="E60" s="931">
        <v>12.7</v>
      </c>
      <c r="F60" s="936">
        <f t="shared" si="8"/>
        <v>4.6227999999999998</v>
      </c>
      <c r="G60" s="1332">
        <f t="shared" si="9"/>
        <v>0.58858034400000003</v>
      </c>
      <c r="H60" s="175"/>
      <c r="I60" s="932" t="s">
        <v>1544</v>
      </c>
      <c r="J60" s="931"/>
      <c r="K60" s="931"/>
      <c r="L60" s="931"/>
      <c r="M60" s="931"/>
    </row>
    <row r="61" spans="1:13" ht="16.5" hidden="1">
      <c r="A61" s="175" t="s">
        <v>1510</v>
      </c>
      <c r="B61" s="931">
        <v>90</v>
      </c>
      <c r="C61" s="931">
        <v>6.6988799999999999</v>
      </c>
      <c r="D61" s="490">
        <f t="shared" si="7"/>
        <v>6.0289919999999997</v>
      </c>
      <c r="E61" s="931">
        <v>4.4000000000000004</v>
      </c>
      <c r="F61" s="936">
        <f t="shared" si="8"/>
        <v>3.9600000000000004</v>
      </c>
      <c r="G61" s="1332">
        <f t="shared" si="9"/>
        <v>0.44212607999999998</v>
      </c>
      <c r="H61" s="175"/>
      <c r="I61" s="932" t="s">
        <v>1544</v>
      </c>
      <c r="J61" s="931"/>
      <c r="K61" s="931"/>
      <c r="L61" s="931"/>
      <c r="M61" s="931"/>
    </row>
    <row r="62" spans="1:13" ht="16.5" hidden="1">
      <c r="A62" s="175" t="s">
        <v>1511</v>
      </c>
      <c r="B62" s="931">
        <v>27.4</v>
      </c>
      <c r="C62" s="931">
        <v>8.6248079999999998</v>
      </c>
      <c r="D62" s="490">
        <f t="shared" si="7"/>
        <v>2.363197392</v>
      </c>
      <c r="E62" s="931">
        <v>10.1</v>
      </c>
      <c r="F62" s="936">
        <f t="shared" si="8"/>
        <v>2.7673999999999994</v>
      </c>
      <c r="G62" s="1332">
        <f t="shared" si="9"/>
        <v>0.56923732799999993</v>
      </c>
      <c r="H62" s="175"/>
      <c r="I62" s="932" t="s">
        <v>1545</v>
      </c>
      <c r="J62" s="931"/>
      <c r="K62" s="931"/>
      <c r="L62" s="931"/>
      <c r="M62" s="931"/>
    </row>
    <row r="63" spans="1:13" ht="16.5" hidden="1">
      <c r="A63" s="175" t="s">
        <v>1512</v>
      </c>
      <c r="B63" s="931">
        <v>90.6</v>
      </c>
      <c r="C63" s="931">
        <v>8.1642600000000005</v>
      </c>
      <c r="D63" s="490">
        <f t="shared" si="7"/>
        <v>7.39681956</v>
      </c>
      <c r="E63" s="931">
        <v>8.4</v>
      </c>
      <c r="F63" s="936">
        <f t="shared" si="8"/>
        <v>7.6103999999999994</v>
      </c>
      <c r="G63" s="1332">
        <f t="shared" si="9"/>
        <v>0.53884116000000004</v>
      </c>
      <c r="H63" s="175"/>
      <c r="I63" s="932" t="s">
        <v>1545</v>
      </c>
      <c r="J63" s="931"/>
      <c r="K63" s="931"/>
      <c r="L63" s="931"/>
      <c r="M63" s="931"/>
    </row>
    <row r="64" spans="1:13" ht="16.5" hidden="1">
      <c r="A64" s="175" t="s">
        <v>1513</v>
      </c>
      <c r="B64" s="931">
        <v>42.85</v>
      </c>
      <c r="C64" s="931">
        <v>7.49437</v>
      </c>
      <c r="D64" s="490">
        <f t="shared" si="7"/>
        <v>3.2113375450000001</v>
      </c>
      <c r="E64" s="931">
        <v>16.149999999999999</v>
      </c>
      <c r="F64" s="936">
        <f t="shared" si="8"/>
        <v>6.9202749999999993</v>
      </c>
      <c r="G64" s="1332">
        <f t="shared" si="9"/>
        <v>0.49462841999999996</v>
      </c>
      <c r="H64" s="175"/>
      <c r="I64" s="932" t="s">
        <v>1545</v>
      </c>
      <c r="J64" s="931"/>
      <c r="K64" s="931"/>
      <c r="L64" s="931"/>
      <c r="M64" s="931"/>
    </row>
    <row r="65" spans="1:13" ht="16.5" hidden="1">
      <c r="A65" s="175" t="s">
        <v>1630</v>
      </c>
      <c r="B65" s="931">
        <v>26</v>
      </c>
      <c r="C65" s="931">
        <v>7.543013698630137</v>
      </c>
      <c r="D65" s="490">
        <v>1.9611835616438356</v>
      </c>
      <c r="E65" s="931">
        <v>9.882191780821918</v>
      </c>
      <c r="F65" s="936">
        <f t="shared" si="8"/>
        <v>2.5693698630136987</v>
      </c>
      <c r="G65" s="1332">
        <f t="shared" si="9"/>
        <v>0.49783890410958903</v>
      </c>
      <c r="H65" s="175"/>
      <c r="I65" s="932" t="s">
        <v>1248</v>
      </c>
      <c r="J65" s="931">
        <v>350</v>
      </c>
      <c r="K65" s="931">
        <v>20</v>
      </c>
      <c r="L65" s="931">
        <v>31</v>
      </c>
      <c r="M65" s="931">
        <v>8</v>
      </c>
    </row>
    <row r="66" spans="1:13" hidden="1">
      <c r="A66" s="175" t="s">
        <v>1514</v>
      </c>
      <c r="B66" s="931">
        <v>26</v>
      </c>
      <c r="C66" s="931">
        <v>7.58</v>
      </c>
      <c r="D66" s="490">
        <f>B66*C66/100</f>
        <v>1.9708000000000001</v>
      </c>
      <c r="E66" s="931">
        <v>10</v>
      </c>
      <c r="F66" s="936">
        <f t="shared" si="8"/>
        <v>2.6</v>
      </c>
      <c r="G66" s="1332">
        <f t="shared" si="9"/>
        <v>0.50027999999999995</v>
      </c>
      <c r="H66" s="175"/>
      <c r="I66" s="175" t="s">
        <v>1248</v>
      </c>
      <c r="J66" s="931">
        <v>350</v>
      </c>
      <c r="K66" s="931">
        <v>20</v>
      </c>
      <c r="L66" s="931">
        <v>31</v>
      </c>
      <c r="M66" s="931">
        <v>8</v>
      </c>
    </row>
    <row r="67" spans="1:13" ht="16.5" hidden="1">
      <c r="A67" s="175" t="s">
        <v>1631</v>
      </c>
      <c r="B67" s="931">
        <v>28</v>
      </c>
      <c r="C67" s="931">
        <v>7.543013698630137</v>
      </c>
      <c r="D67" s="490">
        <v>2.1120438356164386</v>
      </c>
      <c r="E67" s="931">
        <v>8.2547945205479447</v>
      </c>
      <c r="F67" s="936">
        <f t="shared" si="8"/>
        <v>2.3113424657534245</v>
      </c>
      <c r="G67" s="1332">
        <f t="shared" si="9"/>
        <v>0.49783890410958903</v>
      </c>
      <c r="H67" s="175"/>
      <c r="I67" s="932" t="s">
        <v>1249</v>
      </c>
      <c r="J67" s="931">
        <v>350</v>
      </c>
      <c r="K67" s="931">
        <v>20</v>
      </c>
      <c r="L67" s="931">
        <v>31</v>
      </c>
      <c r="M67" s="931">
        <v>8</v>
      </c>
    </row>
    <row r="68" spans="1:13" ht="16.5" hidden="1">
      <c r="A68" s="175" t="s">
        <v>1515</v>
      </c>
      <c r="B68" s="931">
        <v>86</v>
      </c>
      <c r="C68" s="931">
        <v>9.4621680000000001</v>
      </c>
      <c r="D68" s="490">
        <f>B68*C68/100</f>
        <v>8.1374644800000002</v>
      </c>
      <c r="E68" s="931">
        <v>6.4</v>
      </c>
      <c r="F68" s="936">
        <f t="shared" si="8"/>
        <v>5.5039999999999996</v>
      </c>
      <c r="G68" s="1332">
        <f t="shared" si="9"/>
        <v>0.62450308799999998</v>
      </c>
      <c r="H68" s="175"/>
      <c r="I68" s="932" t="s">
        <v>1546</v>
      </c>
      <c r="J68" s="931"/>
      <c r="K68" s="931"/>
      <c r="L68" s="931"/>
      <c r="M68" s="931"/>
    </row>
    <row r="69" spans="1:13" ht="16.5" hidden="1">
      <c r="A69" s="175" t="s">
        <v>1516</v>
      </c>
      <c r="B69" s="931">
        <v>90.34</v>
      </c>
      <c r="C69" s="931">
        <v>12.43</v>
      </c>
      <c r="D69" s="490">
        <f>B69*C69/100</f>
        <v>11.229262</v>
      </c>
      <c r="E69" s="931">
        <v>13.88</v>
      </c>
      <c r="F69" s="936">
        <f t="shared" si="8"/>
        <v>12.539192</v>
      </c>
      <c r="G69" s="1332">
        <f t="shared" si="9"/>
        <v>0.82038</v>
      </c>
      <c r="H69" s="175"/>
      <c r="I69" s="932" t="s">
        <v>1546</v>
      </c>
      <c r="J69" s="931"/>
      <c r="K69" s="931"/>
      <c r="L69" s="931"/>
      <c r="M69" s="931"/>
    </row>
    <row r="70" spans="1:13" ht="16.5" hidden="1">
      <c r="A70" s="175" t="s">
        <v>1517</v>
      </c>
      <c r="B70" s="931">
        <v>25</v>
      </c>
      <c r="C70" s="931">
        <v>8.5500000000000007</v>
      </c>
      <c r="D70" s="490">
        <f>B70*C70/100</f>
        <v>2.1375000000000002</v>
      </c>
      <c r="E70" s="931">
        <v>13.81</v>
      </c>
      <c r="F70" s="936">
        <f t="shared" si="8"/>
        <v>3.4525000000000001</v>
      </c>
      <c r="G70" s="1332">
        <f t="shared" si="9"/>
        <v>0.56430000000000002</v>
      </c>
      <c r="H70" s="175"/>
      <c r="I70" s="932" t="s">
        <v>1546</v>
      </c>
      <c r="J70" s="931"/>
      <c r="K70" s="931"/>
      <c r="L70" s="931"/>
      <c r="M70" s="931"/>
    </row>
    <row r="71" spans="1:13" ht="16.5">
      <c r="A71" s="175" t="s">
        <v>1509</v>
      </c>
      <c r="B71" s="931">
        <v>60</v>
      </c>
      <c r="C71" s="931">
        <v>5</v>
      </c>
      <c r="D71" s="490">
        <f>B71*C71/100</f>
        <v>3</v>
      </c>
      <c r="E71" s="931">
        <v>6</v>
      </c>
      <c r="F71" s="936">
        <f t="shared" si="8"/>
        <v>3.6</v>
      </c>
      <c r="G71" s="1399">
        <f t="shared" si="9"/>
        <v>0.33</v>
      </c>
      <c r="H71" s="175">
        <v>1</v>
      </c>
      <c r="I71" s="932" t="s">
        <v>1107</v>
      </c>
      <c r="J71" s="931">
        <v>0</v>
      </c>
      <c r="K71" s="931">
        <v>0</v>
      </c>
      <c r="L71" s="931">
        <v>0</v>
      </c>
      <c r="M71" s="931">
        <v>0</v>
      </c>
    </row>
    <row r="72" spans="1:13" ht="16.5" hidden="1">
      <c r="A72" s="175" t="s">
        <v>1723</v>
      </c>
      <c r="B72" s="1173">
        <v>19.5</v>
      </c>
      <c r="C72" s="1173">
        <v>7.5</v>
      </c>
      <c r="D72" s="1174">
        <f>C72*B72/100</f>
        <v>1.4624999999999999</v>
      </c>
      <c r="E72" s="1173">
        <v>6.5</v>
      </c>
      <c r="F72" s="936">
        <f t="shared" si="8"/>
        <v>1.2675000000000001</v>
      </c>
      <c r="G72" s="1334">
        <f t="shared" si="9"/>
        <v>0.495</v>
      </c>
      <c r="H72" s="1175"/>
      <c r="I72" s="932" t="s">
        <v>1725</v>
      </c>
      <c r="J72" s="1173">
        <v>300</v>
      </c>
      <c r="K72" s="1173">
        <v>0</v>
      </c>
      <c r="L72" s="1173">
        <v>18</v>
      </c>
      <c r="M72" s="1173">
        <v>6</v>
      </c>
    </row>
    <row r="73" spans="1:13" ht="16.5" hidden="1">
      <c r="A73" s="175" t="s">
        <v>1250</v>
      </c>
      <c r="B73" s="931">
        <v>91.69</v>
      </c>
      <c r="C73" s="931">
        <v>7.9967879999999987</v>
      </c>
      <c r="D73" s="490">
        <v>7.3322549171999993</v>
      </c>
      <c r="E73" s="931">
        <v>16.3</v>
      </c>
      <c r="F73" s="936">
        <f t="shared" si="8"/>
        <v>14.94547</v>
      </c>
      <c r="G73" s="1332">
        <f t="shared" si="9"/>
        <v>0.52778800799999981</v>
      </c>
      <c r="H73" s="175"/>
      <c r="I73" s="932" t="s">
        <v>1251</v>
      </c>
      <c r="J73" s="931"/>
      <c r="K73" s="931"/>
      <c r="L73" s="931"/>
      <c r="M73" s="931"/>
    </row>
    <row r="74" spans="1:13" ht="16.5" hidden="1">
      <c r="A74" s="175" t="s">
        <v>1518</v>
      </c>
      <c r="B74" s="931">
        <v>89.4</v>
      </c>
      <c r="C74" s="931">
        <v>11.08</v>
      </c>
      <c r="D74" s="490">
        <f>B74*C74/100</f>
        <v>9.905520000000001</v>
      </c>
      <c r="E74" s="931">
        <v>19.39</v>
      </c>
      <c r="F74" s="936">
        <f t="shared" si="8"/>
        <v>17.33466</v>
      </c>
      <c r="G74" s="1332">
        <f t="shared" si="9"/>
        <v>0.73128000000000004</v>
      </c>
      <c r="H74" s="175"/>
      <c r="I74" s="932" t="s">
        <v>1251</v>
      </c>
      <c r="J74" s="931"/>
      <c r="K74" s="931"/>
      <c r="L74" s="931"/>
      <c r="M74" s="931"/>
    </row>
    <row r="75" spans="1:13" ht="16.5" hidden="1">
      <c r="A75" s="175" t="s">
        <v>1519</v>
      </c>
      <c r="B75" s="931">
        <v>68.7</v>
      </c>
      <c r="C75" s="931">
        <v>11.5</v>
      </c>
      <c r="D75" s="490">
        <f>B75*C75/100</f>
        <v>7.900500000000001</v>
      </c>
      <c r="E75" s="931">
        <v>21.6</v>
      </c>
      <c r="F75" s="936">
        <f t="shared" si="8"/>
        <v>14.8392</v>
      </c>
      <c r="G75" s="1332">
        <f t="shared" si="9"/>
        <v>0.7589999999999999</v>
      </c>
      <c r="H75" s="175"/>
      <c r="I75" s="932" t="s">
        <v>1251</v>
      </c>
      <c r="J75" s="931"/>
      <c r="K75" s="931"/>
      <c r="L75" s="931"/>
      <c r="M75" s="931"/>
    </row>
    <row r="76" spans="1:13" ht="16.5" hidden="1">
      <c r="A76" s="175" t="s">
        <v>1252</v>
      </c>
      <c r="B76" s="931">
        <v>20.6</v>
      </c>
      <c r="C76" s="931">
        <v>11.5137</v>
      </c>
      <c r="D76" s="490">
        <v>2.3718222000000004</v>
      </c>
      <c r="E76" s="931">
        <v>9.1</v>
      </c>
      <c r="F76" s="936">
        <f t="shared" si="8"/>
        <v>1.8746</v>
      </c>
      <c r="G76" s="1332">
        <f t="shared" si="9"/>
        <v>0.75990420000000003</v>
      </c>
      <c r="H76" s="175"/>
      <c r="I76" s="932" t="s">
        <v>1253</v>
      </c>
      <c r="J76" s="931"/>
      <c r="K76" s="931"/>
      <c r="L76" s="931"/>
      <c r="M76" s="931"/>
    </row>
    <row r="77" spans="1:13" ht="16.5" hidden="1">
      <c r="A77" s="175" t="s">
        <v>1520</v>
      </c>
      <c r="B77" s="931">
        <v>35.119999999999997</v>
      </c>
      <c r="C77" s="931">
        <v>8.2200000000000006</v>
      </c>
      <c r="D77" s="490">
        <f>B77*C77/100</f>
        <v>2.8868640000000001</v>
      </c>
      <c r="E77" s="931">
        <v>7.94</v>
      </c>
      <c r="F77" s="936">
        <f t="shared" si="8"/>
        <v>2.7885279999999999</v>
      </c>
      <c r="G77" s="1332">
        <f t="shared" si="9"/>
        <v>0.54252</v>
      </c>
      <c r="H77" s="175"/>
      <c r="I77" s="932" t="s">
        <v>1253</v>
      </c>
      <c r="J77" s="931"/>
      <c r="K77" s="931"/>
      <c r="L77" s="931"/>
      <c r="M77" s="931"/>
    </row>
    <row r="78" spans="1:13" ht="16.5" hidden="1">
      <c r="A78" s="175" t="s">
        <v>1521</v>
      </c>
      <c r="B78" s="931">
        <v>15.44</v>
      </c>
      <c r="C78" s="931">
        <v>10.25</v>
      </c>
      <c r="D78" s="490">
        <f>B78*C78/100</f>
        <v>1.5826</v>
      </c>
      <c r="E78" s="931">
        <v>6.96</v>
      </c>
      <c r="F78" s="936">
        <f t="shared" si="8"/>
        <v>1.074624</v>
      </c>
      <c r="G78" s="1332">
        <f t="shared" si="9"/>
        <v>0.67649999999999988</v>
      </c>
      <c r="H78" s="175"/>
      <c r="I78" s="932" t="s">
        <v>1547</v>
      </c>
      <c r="J78" s="931"/>
      <c r="K78" s="931"/>
      <c r="L78" s="931"/>
      <c r="M78" s="931"/>
    </row>
    <row r="79" spans="1:13" ht="16.5" hidden="1">
      <c r="A79" s="175" t="s">
        <v>1522</v>
      </c>
      <c r="B79" s="931">
        <v>16.34</v>
      </c>
      <c r="C79" s="931">
        <v>12.99</v>
      </c>
      <c r="D79" s="490">
        <f>B79*C79/100</f>
        <v>2.122566</v>
      </c>
      <c r="E79" s="931">
        <v>14.13</v>
      </c>
      <c r="F79" s="936">
        <f t="shared" si="8"/>
        <v>2.3088420000000003</v>
      </c>
      <c r="G79" s="1332">
        <f t="shared" si="9"/>
        <v>0.85733999999999999</v>
      </c>
      <c r="H79" s="175"/>
      <c r="I79" s="932" t="s">
        <v>1547</v>
      </c>
      <c r="J79" s="931"/>
      <c r="K79" s="931"/>
      <c r="L79" s="931"/>
      <c r="M79" s="931"/>
    </row>
    <row r="80" spans="1:13" ht="16.5" hidden="1">
      <c r="A80" s="175" t="s">
        <v>1632</v>
      </c>
      <c r="B80" s="931">
        <v>78.7</v>
      </c>
      <c r="C80" s="931">
        <v>8.1642600000000005</v>
      </c>
      <c r="D80" s="490">
        <v>6.4252726200000012</v>
      </c>
      <c r="E80" s="931">
        <v>17.78</v>
      </c>
      <c r="F80" s="936">
        <f t="shared" si="8"/>
        <v>13.99286</v>
      </c>
      <c r="G80" s="1332">
        <f t="shared" si="9"/>
        <v>0.53884116000000004</v>
      </c>
      <c r="H80" s="175"/>
      <c r="I80" s="932" t="s">
        <v>1113</v>
      </c>
      <c r="J80" s="931"/>
      <c r="K80" s="931"/>
      <c r="L80" s="931"/>
      <c r="M80" s="931"/>
    </row>
    <row r="81" spans="1:13" ht="16.5" hidden="1">
      <c r="A81" s="175" t="s">
        <v>1523</v>
      </c>
      <c r="B81" s="931">
        <v>22.73</v>
      </c>
      <c r="C81" s="931">
        <v>9.91</v>
      </c>
      <c r="D81" s="490">
        <f>B81*C81/100</f>
        <v>2.2525430000000002</v>
      </c>
      <c r="E81" s="931">
        <v>15.44</v>
      </c>
      <c r="F81" s="936">
        <f t="shared" si="8"/>
        <v>3.5095119999999995</v>
      </c>
      <c r="G81" s="1332">
        <f t="shared" si="9"/>
        <v>0.65405999999999986</v>
      </c>
      <c r="H81" s="175"/>
      <c r="I81" s="932" t="s">
        <v>1548</v>
      </c>
      <c r="J81" s="931"/>
      <c r="K81" s="931"/>
      <c r="L81" s="931"/>
      <c r="M81" s="931"/>
    </row>
    <row r="82" spans="1:13" ht="16.5" hidden="1">
      <c r="A82" s="175" t="s">
        <v>1524</v>
      </c>
      <c r="B82" s="931">
        <v>19.600000000000001</v>
      </c>
      <c r="C82" s="931">
        <v>10.425132</v>
      </c>
      <c r="D82" s="490">
        <f>B82*C82/100</f>
        <v>2.043325872</v>
      </c>
      <c r="E82" s="931">
        <v>20.8</v>
      </c>
      <c r="F82" s="936">
        <f t="shared" si="8"/>
        <v>4.0768000000000004</v>
      </c>
      <c r="G82" s="1332">
        <f t="shared" si="9"/>
        <v>0.68805871200000002</v>
      </c>
      <c r="H82" s="175"/>
      <c r="I82" s="932" t="s">
        <v>1549</v>
      </c>
      <c r="J82" s="931"/>
      <c r="K82" s="931"/>
      <c r="L82" s="931"/>
      <c r="M82" s="931"/>
    </row>
    <row r="83" spans="1:13" ht="16.5" hidden="1">
      <c r="A83" s="175" t="s">
        <v>1525</v>
      </c>
      <c r="B83" s="931">
        <v>88.4</v>
      </c>
      <c r="C83" s="931">
        <v>8.3317320000000006</v>
      </c>
      <c r="D83" s="490">
        <f>B83*C83/100</f>
        <v>7.3652510880000008</v>
      </c>
      <c r="E83" s="931">
        <v>15</v>
      </c>
      <c r="F83" s="936">
        <f t="shared" si="8"/>
        <v>13.26</v>
      </c>
      <c r="G83" s="1332">
        <f t="shared" si="9"/>
        <v>0.54989431199999994</v>
      </c>
      <c r="H83" s="175"/>
      <c r="I83" s="932" t="s">
        <v>1549</v>
      </c>
      <c r="J83" s="931"/>
      <c r="K83" s="931"/>
      <c r="L83" s="931"/>
      <c r="M83" s="931"/>
    </row>
    <row r="84" spans="1:13" ht="16.5">
      <c r="A84" s="175" t="s">
        <v>1722</v>
      </c>
      <c r="B84" s="931">
        <v>15</v>
      </c>
      <c r="C84" s="931">
        <v>9.8808480000000003</v>
      </c>
      <c r="D84" s="490">
        <f>B84*C84/100</f>
        <v>1.4821271999999999</v>
      </c>
      <c r="E84" s="931">
        <v>11</v>
      </c>
      <c r="F84" s="936">
        <f t="shared" si="8"/>
        <v>1.65</v>
      </c>
      <c r="G84" s="1399">
        <f t="shared" si="9"/>
        <v>0.65213596800000007</v>
      </c>
      <c r="H84" s="175">
        <v>0</v>
      </c>
      <c r="I84" s="932" t="s">
        <v>1724</v>
      </c>
      <c r="J84" s="931">
        <v>300</v>
      </c>
      <c r="K84" s="931">
        <v>0</v>
      </c>
      <c r="L84" s="931">
        <v>18</v>
      </c>
      <c r="M84" s="931">
        <v>6</v>
      </c>
    </row>
    <row r="85" spans="1:13" ht="16.5" hidden="1">
      <c r="A85" s="175" t="s">
        <v>808</v>
      </c>
      <c r="B85" s="931">
        <v>92.4</v>
      </c>
      <c r="C85" s="931">
        <v>9.1</v>
      </c>
      <c r="D85" s="490">
        <v>8.4084000000000003</v>
      </c>
      <c r="E85" s="931">
        <v>7.7</v>
      </c>
      <c r="F85" s="936">
        <f t="shared" si="8"/>
        <v>7.1147999999999998</v>
      </c>
      <c r="G85" s="1332">
        <f t="shared" si="9"/>
        <v>0.60059999999999991</v>
      </c>
      <c r="H85" s="175"/>
      <c r="I85" s="932" t="s">
        <v>1108</v>
      </c>
      <c r="J85" s="931">
        <v>300</v>
      </c>
      <c r="K85" s="931">
        <v>0</v>
      </c>
      <c r="L85" s="931">
        <v>18</v>
      </c>
      <c r="M85" s="931">
        <v>6</v>
      </c>
    </row>
    <row r="86" spans="1:13" ht="16.5" hidden="1">
      <c r="A86" s="175" t="s">
        <v>1634</v>
      </c>
      <c r="B86" s="931">
        <v>91</v>
      </c>
      <c r="C86" s="931">
        <v>10.425132</v>
      </c>
      <c r="D86" s="490">
        <v>9.486870119999999</v>
      </c>
      <c r="E86" s="931">
        <v>14</v>
      </c>
      <c r="F86" s="936">
        <f t="shared" ref="F86:F114" si="10">E86*B86/100</f>
        <v>12.74</v>
      </c>
      <c r="G86" s="1332">
        <f t="shared" ref="G86:G114" si="11">C86*6.6/100</f>
        <v>0.68805871200000002</v>
      </c>
      <c r="H86" s="175"/>
      <c r="I86" s="932" t="s">
        <v>1113</v>
      </c>
      <c r="J86" s="931">
        <v>300</v>
      </c>
      <c r="K86" s="931">
        <v>0</v>
      </c>
      <c r="L86" s="931">
        <v>18</v>
      </c>
      <c r="M86" s="931">
        <v>6</v>
      </c>
    </row>
    <row r="87" spans="1:13" ht="16.5" hidden="1">
      <c r="A87" s="175" t="s">
        <v>1635</v>
      </c>
      <c r="B87" s="931">
        <v>92</v>
      </c>
      <c r="C87" s="931">
        <v>1.4235120000000001</v>
      </c>
      <c r="D87" s="490">
        <v>1.3096310400000002</v>
      </c>
      <c r="E87" s="931">
        <v>3.1</v>
      </c>
      <c r="F87" s="936">
        <f t="shared" si="10"/>
        <v>2.8519999999999999</v>
      </c>
      <c r="G87" s="1332">
        <f t="shared" si="11"/>
        <v>9.3951791999999992E-2</v>
      </c>
      <c r="H87" s="175"/>
      <c r="I87" s="932" t="s">
        <v>645</v>
      </c>
      <c r="J87" s="931">
        <v>300</v>
      </c>
      <c r="K87" s="931">
        <v>0</v>
      </c>
      <c r="L87" s="931">
        <v>18</v>
      </c>
      <c r="M87" s="931">
        <v>6</v>
      </c>
    </row>
    <row r="88" spans="1:13" ht="16.5" hidden="1">
      <c r="A88" s="175" t="s">
        <v>1636</v>
      </c>
      <c r="B88" s="931">
        <v>91.88</v>
      </c>
      <c r="C88" s="931">
        <v>5.64</v>
      </c>
      <c r="D88" s="490">
        <v>5.1820319999999995</v>
      </c>
      <c r="E88" s="931">
        <v>3.85</v>
      </c>
      <c r="F88" s="936">
        <f t="shared" si="10"/>
        <v>3.5373800000000002</v>
      </c>
      <c r="G88" s="1332">
        <f t="shared" si="11"/>
        <v>0.37223999999999996</v>
      </c>
      <c r="H88" s="175"/>
      <c r="I88" s="932" t="s">
        <v>645</v>
      </c>
      <c r="J88" s="931">
        <v>300</v>
      </c>
      <c r="K88" s="931">
        <v>0</v>
      </c>
      <c r="L88" s="931">
        <v>18</v>
      </c>
      <c r="M88" s="931">
        <v>6</v>
      </c>
    </row>
    <row r="89" spans="1:13" ht="16.5" hidden="1">
      <c r="A89" s="175" t="s">
        <v>1526</v>
      </c>
      <c r="B89" s="931">
        <v>28.9</v>
      </c>
      <c r="C89" s="931">
        <v>8.5399999999999991</v>
      </c>
      <c r="D89" s="490">
        <f>B89*C89/100</f>
        <v>2.4680599999999995</v>
      </c>
      <c r="E89" s="931">
        <v>21.3</v>
      </c>
      <c r="F89" s="936">
        <f t="shared" si="10"/>
        <v>6.1556999999999995</v>
      </c>
      <c r="G89" s="1332">
        <f t="shared" si="11"/>
        <v>0.56363999999999992</v>
      </c>
      <c r="H89" s="13"/>
      <c r="I89" s="932" t="s">
        <v>1550</v>
      </c>
      <c r="J89" s="931">
        <v>300</v>
      </c>
      <c r="K89" s="931">
        <v>0</v>
      </c>
      <c r="L89" s="931">
        <v>18</v>
      </c>
      <c r="M89" s="931">
        <v>6</v>
      </c>
    </row>
    <row r="90" spans="1:13" ht="16.5" hidden="1">
      <c r="A90" s="175" t="s">
        <v>1527</v>
      </c>
      <c r="B90" s="931">
        <v>26.1</v>
      </c>
      <c r="C90" s="931">
        <v>11.220624000000001</v>
      </c>
      <c r="D90" s="490">
        <f>B90*C90/100</f>
        <v>2.9285828640000005</v>
      </c>
      <c r="E90" s="931">
        <v>21.3</v>
      </c>
      <c r="F90" s="936">
        <f t="shared" si="10"/>
        <v>5.5593000000000004</v>
      </c>
      <c r="G90" s="1332">
        <f t="shared" si="11"/>
        <v>0.74056118400000004</v>
      </c>
      <c r="H90" s="13"/>
      <c r="I90" s="932" t="s">
        <v>1551</v>
      </c>
      <c r="J90" s="931">
        <v>300</v>
      </c>
      <c r="K90" s="931">
        <v>0</v>
      </c>
      <c r="L90" s="931">
        <v>18</v>
      </c>
      <c r="M90" s="931">
        <v>6</v>
      </c>
    </row>
    <row r="91" spans="1:13" ht="16.5" hidden="1">
      <c r="A91" s="175" t="s">
        <v>1528</v>
      </c>
      <c r="B91" s="931">
        <v>92.6</v>
      </c>
      <c r="C91" s="931">
        <v>8.0386559999999996</v>
      </c>
      <c r="D91" s="490">
        <f>B91*C91/100</f>
        <v>7.4437954559999993</v>
      </c>
      <c r="E91" s="931">
        <v>6</v>
      </c>
      <c r="F91" s="936">
        <f t="shared" si="10"/>
        <v>5.5559999999999992</v>
      </c>
      <c r="G91" s="1332">
        <f t="shared" si="11"/>
        <v>0.53055129599999995</v>
      </c>
      <c r="H91" s="13"/>
      <c r="I91" s="932" t="s">
        <v>1551</v>
      </c>
      <c r="J91" s="931">
        <v>300</v>
      </c>
      <c r="K91" s="931">
        <v>0</v>
      </c>
      <c r="L91" s="931">
        <v>18</v>
      </c>
      <c r="M91" s="931">
        <v>6</v>
      </c>
    </row>
    <row r="92" spans="1:13" ht="16.5" hidden="1">
      <c r="A92" s="175" t="s">
        <v>1254</v>
      </c>
      <c r="B92" s="931">
        <v>85</v>
      </c>
      <c r="C92" s="931">
        <v>7.0338240000000001</v>
      </c>
      <c r="D92" s="490">
        <v>5.9787504</v>
      </c>
      <c r="E92" s="931">
        <v>4.9000000000000004</v>
      </c>
      <c r="F92" s="936">
        <f t="shared" si="10"/>
        <v>4.1650000000000009</v>
      </c>
      <c r="G92" s="1332">
        <f t="shared" si="11"/>
        <v>0.46423238399999994</v>
      </c>
      <c r="H92" s="175"/>
      <c r="I92" s="932" t="s">
        <v>644</v>
      </c>
      <c r="J92" s="931">
        <v>300</v>
      </c>
      <c r="K92" s="931">
        <v>0</v>
      </c>
      <c r="L92" s="931">
        <v>18</v>
      </c>
      <c r="M92" s="931">
        <v>6</v>
      </c>
    </row>
    <row r="93" spans="1:13" ht="16.5" hidden="1">
      <c r="A93" s="175" t="s">
        <v>1637</v>
      </c>
      <c r="B93" s="931">
        <v>29.46</v>
      </c>
      <c r="C93" s="931">
        <v>12.31</v>
      </c>
      <c r="D93" s="490">
        <v>3.6265260000000001</v>
      </c>
      <c r="E93" s="931">
        <v>9.24</v>
      </c>
      <c r="F93" s="936">
        <f t="shared" si="10"/>
        <v>2.7221039999999999</v>
      </c>
      <c r="G93" s="1332">
        <f t="shared" si="11"/>
        <v>0.81245999999999996</v>
      </c>
      <c r="H93" s="175"/>
      <c r="I93" s="932" t="s">
        <v>644</v>
      </c>
      <c r="J93" s="931">
        <v>300</v>
      </c>
      <c r="K93" s="931">
        <v>0</v>
      </c>
      <c r="L93" s="931">
        <v>18</v>
      </c>
      <c r="M93" s="931">
        <v>6</v>
      </c>
    </row>
    <row r="94" spans="1:13" ht="16.5" hidden="1">
      <c r="A94" s="175" t="s">
        <v>1529</v>
      </c>
      <c r="B94" s="931">
        <v>90</v>
      </c>
      <c r="C94" s="931">
        <v>12.392927999999999</v>
      </c>
      <c r="D94" s="490">
        <f t="shared" ref="D94:D99" si="12">B94*C94/100</f>
        <v>11.153635199999998</v>
      </c>
      <c r="E94" s="931">
        <v>12.6</v>
      </c>
      <c r="F94" s="936">
        <f t="shared" si="10"/>
        <v>11.34</v>
      </c>
      <c r="G94" s="1332">
        <f t="shared" si="11"/>
        <v>0.81793324799999989</v>
      </c>
      <c r="H94" s="13"/>
      <c r="I94" s="932" t="s">
        <v>644</v>
      </c>
      <c r="J94" s="931">
        <v>300</v>
      </c>
      <c r="K94" s="931">
        <v>0</v>
      </c>
      <c r="L94" s="931">
        <v>18</v>
      </c>
      <c r="M94" s="931">
        <v>6</v>
      </c>
    </row>
    <row r="95" spans="1:13" ht="16.5" hidden="1">
      <c r="A95" s="175" t="s">
        <v>1255</v>
      </c>
      <c r="B95" s="931">
        <v>30</v>
      </c>
      <c r="C95" s="931">
        <v>9.043488</v>
      </c>
      <c r="D95" s="490">
        <f t="shared" si="12"/>
        <v>2.7130464000000001</v>
      </c>
      <c r="E95" s="931">
        <v>9.39</v>
      </c>
      <c r="F95" s="936">
        <f t="shared" si="10"/>
        <v>2.8170000000000006</v>
      </c>
      <c r="G95" s="1332">
        <f t="shared" si="11"/>
        <v>0.59687020800000001</v>
      </c>
      <c r="H95" s="13"/>
      <c r="I95" s="932" t="s">
        <v>644</v>
      </c>
      <c r="J95" s="931">
        <v>300</v>
      </c>
      <c r="K95" s="931">
        <v>0</v>
      </c>
      <c r="L95" s="931">
        <v>18</v>
      </c>
      <c r="M95" s="931">
        <v>6</v>
      </c>
    </row>
    <row r="96" spans="1:13" ht="16.5" hidden="1">
      <c r="A96" s="175" t="s">
        <v>1530</v>
      </c>
      <c r="B96" s="931">
        <v>88</v>
      </c>
      <c r="C96" s="931">
        <v>6.3220679999999998</v>
      </c>
      <c r="D96" s="490">
        <f t="shared" si="12"/>
        <v>5.5634198399999999</v>
      </c>
      <c r="E96" s="931">
        <v>5.2</v>
      </c>
      <c r="F96" s="936">
        <f t="shared" si="10"/>
        <v>4.5760000000000005</v>
      </c>
      <c r="G96" s="1332">
        <f t="shared" si="11"/>
        <v>0.41725648799999993</v>
      </c>
      <c r="H96" s="13"/>
      <c r="I96" s="932" t="s">
        <v>1552</v>
      </c>
      <c r="J96" s="931">
        <v>300</v>
      </c>
      <c r="K96" s="931">
        <v>0</v>
      </c>
      <c r="L96" s="931">
        <v>18</v>
      </c>
      <c r="M96" s="931">
        <v>6</v>
      </c>
    </row>
    <row r="97" spans="1:13" ht="16.5" hidden="1">
      <c r="A97" s="175" t="s">
        <v>1531</v>
      </c>
      <c r="B97" s="931">
        <v>89</v>
      </c>
      <c r="C97" s="931">
        <v>13.188420000000001</v>
      </c>
      <c r="D97" s="490">
        <f t="shared" si="12"/>
        <v>11.737693799999999</v>
      </c>
      <c r="E97" s="931">
        <v>49.6</v>
      </c>
      <c r="F97" s="936">
        <f t="shared" si="10"/>
        <v>44.144000000000005</v>
      </c>
      <c r="G97" s="1332">
        <f t="shared" si="11"/>
        <v>0.87043572000000002</v>
      </c>
      <c r="H97" s="13"/>
      <c r="I97" s="932" t="s">
        <v>1552</v>
      </c>
      <c r="J97" s="931">
        <v>300</v>
      </c>
      <c r="K97" s="931">
        <v>0</v>
      </c>
      <c r="L97" s="931">
        <v>18</v>
      </c>
      <c r="M97" s="931">
        <v>6</v>
      </c>
    </row>
    <row r="98" spans="1:13" ht="16.5" hidden="1">
      <c r="A98" s="175" t="s">
        <v>1532</v>
      </c>
      <c r="B98" s="931">
        <v>90.3</v>
      </c>
      <c r="C98" s="931">
        <v>12.476664</v>
      </c>
      <c r="D98" s="490">
        <f t="shared" si="12"/>
        <v>11.266427591999999</v>
      </c>
      <c r="E98" s="931">
        <v>12.2</v>
      </c>
      <c r="F98" s="936">
        <f t="shared" si="10"/>
        <v>11.016599999999999</v>
      </c>
      <c r="G98" s="1332">
        <f t="shared" si="11"/>
        <v>0.82345982399999995</v>
      </c>
      <c r="H98" s="13"/>
      <c r="I98" s="932" t="s">
        <v>1552</v>
      </c>
      <c r="J98" s="931">
        <v>300</v>
      </c>
      <c r="K98" s="931">
        <v>0</v>
      </c>
      <c r="L98" s="931">
        <v>18</v>
      </c>
      <c r="M98" s="931">
        <v>6</v>
      </c>
    </row>
    <row r="99" spans="1:13" ht="16.5" hidden="1">
      <c r="A99" s="175" t="s">
        <v>1533</v>
      </c>
      <c r="B99" s="931">
        <v>86.4</v>
      </c>
      <c r="C99" s="931">
        <v>14.23512</v>
      </c>
      <c r="D99" s="490">
        <f t="shared" si="12"/>
        <v>12.299143680000002</v>
      </c>
      <c r="E99" s="931">
        <v>40.299999999999997</v>
      </c>
      <c r="F99" s="936">
        <f t="shared" si="10"/>
        <v>34.819200000000002</v>
      </c>
      <c r="G99" s="1332">
        <f t="shared" si="11"/>
        <v>0.93951792000000001</v>
      </c>
      <c r="H99" s="13"/>
      <c r="I99" s="932" t="s">
        <v>1552</v>
      </c>
      <c r="J99" s="931">
        <v>300</v>
      </c>
      <c r="K99" s="931">
        <v>0</v>
      </c>
      <c r="L99" s="931">
        <v>18</v>
      </c>
      <c r="M99" s="931">
        <v>6</v>
      </c>
    </row>
    <row r="100" spans="1:13" ht="16.5" hidden="1">
      <c r="A100" s="175" t="s">
        <v>1638</v>
      </c>
      <c r="B100" s="931">
        <v>19.420000000000002</v>
      </c>
      <c r="C100" s="931">
        <v>9.5459040000000002</v>
      </c>
      <c r="D100" s="490">
        <v>1.8538145568000002</v>
      </c>
      <c r="E100" s="931">
        <v>18.690000000000001</v>
      </c>
      <c r="F100" s="936">
        <f t="shared" si="10"/>
        <v>3.6295980000000001</v>
      </c>
      <c r="G100" s="1332">
        <f t="shared" si="11"/>
        <v>0.63002966399999993</v>
      </c>
      <c r="H100" s="175"/>
      <c r="I100" s="932" t="s">
        <v>1256</v>
      </c>
      <c r="J100" s="931">
        <v>300</v>
      </c>
      <c r="K100" s="931">
        <v>0</v>
      </c>
      <c r="L100" s="931">
        <v>18</v>
      </c>
      <c r="M100" s="931">
        <v>6</v>
      </c>
    </row>
    <row r="101" spans="1:13" ht="16.5" hidden="1">
      <c r="A101" s="175" t="s">
        <v>1534</v>
      </c>
      <c r="B101" s="931">
        <v>29</v>
      </c>
      <c r="C101" s="931">
        <v>6.9</v>
      </c>
      <c r="D101" s="490">
        <f>B101*C101/100</f>
        <v>2.0010000000000003</v>
      </c>
      <c r="E101" s="931">
        <v>5.9</v>
      </c>
      <c r="F101" s="936">
        <f t="shared" si="10"/>
        <v>1.7110000000000003</v>
      </c>
      <c r="G101" s="1332">
        <f t="shared" si="11"/>
        <v>0.45539999999999997</v>
      </c>
      <c r="H101" s="13"/>
      <c r="I101" s="932" t="s">
        <v>1113</v>
      </c>
      <c r="J101" s="931">
        <v>300</v>
      </c>
      <c r="K101" s="931">
        <v>0</v>
      </c>
      <c r="L101" s="931">
        <v>18</v>
      </c>
      <c r="M101" s="931">
        <v>6</v>
      </c>
    </row>
    <row r="102" spans="1:13" ht="16.5" hidden="1">
      <c r="A102" s="175" t="s">
        <v>809</v>
      </c>
      <c r="B102" s="931">
        <v>96.27</v>
      </c>
      <c r="C102" s="931">
        <v>7.4400000000000013</v>
      </c>
      <c r="D102" s="490">
        <v>7.1624879999999997</v>
      </c>
      <c r="E102" s="931">
        <v>3.6899999999999995</v>
      </c>
      <c r="F102" s="936">
        <f t="shared" si="10"/>
        <v>3.5523629999999993</v>
      </c>
      <c r="G102" s="1332">
        <f t="shared" si="11"/>
        <v>0.49104000000000009</v>
      </c>
      <c r="H102" s="175"/>
      <c r="I102" s="932" t="s">
        <v>1109</v>
      </c>
      <c r="J102" s="931">
        <v>300</v>
      </c>
      <c r="K102" s="931">
        <v>0</v>
      </c>
      <c r="L102" s="931">
        <v>18</v>
      </c>
      <c r="M102" s="931">
        <v>6</v>
      </c>
    </row>
    <row r="103" spans="1:13" ht="16.5" hidden="1">
      <c r="A103" s="175" t="s">
        <v>1696</v>
      </c>
      <c r="B103" s="1173">
        <v>23.2</v>
      </c>
      <c r="C103" s="1173">
        <v>9</v>
      </c>
      <c r="D103" s="1174">
        <f>C103*B103/100</f>
        <v>2.0879999999999996</v>
      </c>
      <c r="E103" s="1173">
        <v>4.3</v>
      </c>
      <c r="F103" s="936">
        <f t="shared" si="10"/>
        <v>0.99759999999999993</v>
      </c>
      <c r="G103" s="1334">
        <f t="shared" si="11"/>
        <v>0.59399999999999997</v>
      </c>
      <c r="H103" s="1175"/>
      <c r="I103" s="932" t="s">
        <v>1109</v>
      </c>
      <c r="J103" s="931">
        <v>300</v>
      </c>
      <c r="K103" s="931">
        <v>0</v>
      </c>
      <c r="L103" s="931">
        <v>18</v>
      </c>
      <c r="M103" s="931">
        <v>6</v>
      </c>
    </row>
    <row r="104" spans="1:13" ht="16.5" hidden="1">
      <c r="A104" s="175" t="s">
        <v>810</v>
      </c>
      <c r="B104" s="931">
        <v>74.3</v>
      </c>
      <c r="C104" s="931">
        <v>10.885680000000001</v>
      </c>
      <c r="D104" s="490">
        <v>8.088060239999999</v>
      </c>
      <c r="E104" s="931">
        <v>5.8</v>
      </c>
      <c r="F104" s="936">
        <f t="shared" si="10"/>
        <v>4.3094000000000001</v>
      </c>
      <c r="G104" s="1332">
        <f t="shared" si="11"/>
        <v>0.71845488000000002</v>
      </c>
      <c r="H104" s="175"/>
      <c r="I104" s="932" t="s">
        <v>1113</v>
      </c>
      <c r="J104" s="931">
        <v>300</v>
      </c>
      <c r="K104" s="931">
        <v>0</v>
      </c>
      <c r="L104" s="931">
        <v>18</v>
      </c>
      <c r="M104" s="931">
        <v>6</v>
      </c>
    </row>
    <row r="105" spans="1:13" ht="16.5" hidden="1">
      <c r="A105" s="175" t="s">
        <v>1639</v>
      </c>
      <c r="B105" s="931">
        <v>29</v>
      </c>
      <c r="C105" s="931">
        <v>6.9</v>
      </c>
      <c r="D105" s="490">
        <v>2.0010000000000003</v>
      </c>
      <c r="E105" s="931">
        <v>5.9</v>
      </c>
      <c r="F105" s="936">
        <f t="shared" si="10"/>
        <v>1.7110000000000003</v>
      </c>
      <c r="G105" s="1332">
        <f t="shared" si="11"/>
        <v>0.45539999999999997</v>
      </c>
      <c r="H105" s="175"/>
      <c r="I105" s="932" t="s">
        <v>1109</v>
      </c>
      <c r="J105" s="931">
        <v>300</v>
      </c>
      <c r="K105" s="931">
        <v>0</v>
      </c>
      <c r="L105" s="931">
        <v>18</v>
      </c>
      <c r="M105" s="931">
        <v>6</v>
      </c>
    </row>
    <row r="106" spans="1:13" ht="16.5" hidden="1">
      <c r="A106" s="175" t="s">
        <v>1257</v>
      </c>
      <c r="B106" s="931">
        <v>85</v>
      </c>
      <c r="C106" s="931">
        <v>7</v>
      </c>
      <c r="D106" s="490">
        <v>5.95</v>
      </c>
      <c r="E106" s="931">
        <v>5.5</v>
      </c>
      <c r="F106" s="936">
        <f t="shared" si="10"/>
        <v>4.6749999999999998</v>
      </c>
      <c r="G106" s="1332">
        <f t="shared" si="11"/>
        <v>0.46199999999999997</v>
      </c>
      <c r="H106" s="175"/>
      <c r="I106" s="932" t="s">
        <v>1109</v>
      </c>
      <c r="J106" s="931">
        <v>300</v>
      </c>
      <c r="K106" s="931">
        <v>0</v>
      </c>
      <c r="L106" s="931">
        <v>18</v>
      </c>
      <c r="M106" s="931">
        <v>6</v>
      </c>
    </row>
    <row r="107" spans="1:13" ht="16.5" hidden="1">
      <c r="A107" s="175" t="s">
        <v>1535</v>
      </c>
      <c r="B107" s="931">
        <v>94.9</v>
      </c>
      <c r="C107" s="931">
        <v>9.127224</v>
      </c>
      <c r="D107" s="490">
        <f t="shared" ref="D107:D114" si="13">B107*C107/100</f>
        <v>8.6617355760000017</v>
      </c>
      <c r="E107" s="931">
        <v>17.899999999999999</v>
      </c>
      <c r="F107" s="936">
        <f t="shared" si="10"/>
        <v>16.987100000000002</v>
      </c>
      <c r="G107" s="1332">
        <f t="shared" si="11"/>
        <v>0.60239678399999996</v>
      </c>
      <c r="H107" s="13"/>
      <c r="I107" s="932" t="s">
        <v>1113</v>
      </c>
      <c r="J107" s="931">
        <v>300</v>
      </c>
      <c r="K107" s="931">
        <v>0</v>
      </c>
      <c r="L107" s="931">
        <v>18</v>
      </c>
      <c r="M107" s="931">
        <v>6</v>
      </c>
    </row>
    <row r="108" spans="1:13" ht="16.5" hidden="1">
      <c r="A108" s="175" t="s">
        <v>1536</v>
      </c>
      <c r="B108" s="931">
        <v>10.8</v>
      </c>
      <c r="C108" s="931">
        <v>10.01</v>
      </c>
      <c r="D108" s="490">
        <f t="shared" si="13"/>
        <v>1.08108</v>
      </c>
      <c r="E108" s="931">
        <v>19.399999999999999</v>
      </c>
      <c r="F108" s="936">
        <f t="shared" si="10"/>
        <v>2.0952000000000002</v>
      </c>
      <c r="G108" s="1332">
        <f t="shared" si="11"/>
        <v>0.66065999999999991</v>
      </c>
      <c r="H108" s="13"/>
      <c r="I108" s="932" t="s">
        <v>1553</v>
      </c>
      <c r="J108" s="931">
        <v>300</v>
      </c>
      <c r="K108" s="931">
        <v>0</v>
      </c>
      <c r="L108" s="931">
        <v>18</v>
      </c>
      <c r="M108" s="931">
        <v>6</v>
      </c>
    </row>
    <row r="109" spans="1:13" ht="16.5" hidden="1">
      <c r="A109" s="175" t="s">
        <v>1537</v>
      </c>
      <c r="B109" s="931">
        <v>59</v>
      </c>
      <c r="C109" s="931">
        <v>13.58</v>
      </c>
      <c r="D109" s="490">
        <f t="shared" si="13"/>
        <v>8.0122</v>
      </c>
      <c r="E109" s="931">
        <v>5.0999999999999996</v>
      </c>
      <c r="F109" s="936">
        <f t="shared" si="10"/>
        <v>3.0089999999999999</v>
      </c>
      <c r="G109" s="1332">
        <f t="shared" si="11"/>
        <v>0.89627999999999997</v>
      </c>
      <c r="H109" s="13"/>
      <c r="I109" s="932" t="s">
        <v>1553</v>
      </c>
      <c r="J109" s="931">
        <v>300</v>
      </c>
      <c r="K109" s="931">
        <v>0</v>
      </c>
      <c r="L109" s="931">
        <v>18</v>
      </c>
      <c r="M109" s="931">
        <v>6</v>
      </c>
    </row>
    <row r="110" spans="1:13" ht="16.5" hidden="1">
      <c r="A110" s="175" t="s">
        <v>1538</v>
      </c>
      <c r="B110" s="931">
        <v>87.1</v>
      </c>
      <c r="C110" s="931">
        <v>11.35</v>
      </c>
      <c r="D110" s="490">
        <f t="shared" si="13"/>
        <v>9.8858499999999996</v>
      </c>
      <c r="E110" s="931">
        <v>4.5999999999999996</v>
      </c>
      <c r="F110" s="936">
        <f t="shared" si="10"/>
        <v>4.0065999999999997</v>
      </c>
      <c r="G110" s="1332">
        <f t="shared" si="11"/>
        <v>0.74909999999999999</v>
      </c>
      <c r="H110" s="13"/>
      <c r="I110" s="932" t="s">
        <v>1553</v>
      </c>
      <c r="J110" s="931">
        <v>300</v>
      </c>
      <c r="K110" s="931">
        <v>0</v>
      </c>
      <c r="L110" s="931">
        <v>18</v>
      </c>
      <c r="M110" s="931">
        <v>6</v>
      </c>
    </row>
    <row r="111" spans="1:13" ht="16.5" hidden="1">
      <c r="A111" s="175" t="s">
        <v>1539</v>
      </c>
      <c r="B111" s="931">
        <v>10.8</v>
      </c>
      <c r="C111" s="931">
        <v>10.01</v>
      </c>
      <c r="D111" s="490">
        <f t="shared" si="13"/>
        <v>1.08108</v>
      </c>
      <c r="E111" s="931">
        <v>19.399999999999999</v>
      </c>
      <c r="F111" s="936">
        <f t="shared" si="10"/>
        <v>2.0952000000000002</v>
      </c>
      <c r="G111" s="1332">
        <f t="shared" si="11"/>
        <v>0.66065999999999991</v>
      </c>
      <c r="H111" s="13"/>
      <c r="I111" s="932" t="s">
        <v>1553</v>
      </c>
      <c r="J111" s="931">
        <v>300</v>
      </c>
      <c r="K111" s="931">
        <v>0</v>
      </c>
      <c r="L111" s="931">
        <v>18</v>
      </c>
      <c r="M111" s="931">
        <v>6</v>
      </c>
    </row>
    <row r="112" spans="1:13" ht="16.5" hidden="1">
      <c r="A112" s="175" t="s">
        <v>1540</v>
      </c>
      <c r="B112" s="931">
        <v>44.08</v>
      </c>
      <c r="C112" s="931">
        <v>7.43</v>
      </c>
      <c r="D112" s="490">
        <f t="shared" si="13"/>
        <v>3.2751439999999996</v>
      </c>
      <c r="E112" s="931">
        <v>21</v>
      </c>
      <c r="F112" s="936">
        <f t="shared" si="10"/>
        <v>9.2568000000000001</v>
      </c>
      <c r="G112" s="1332">
        <f t="shared" si="11"/>
        <v>0.49037999999999998</v>
      </c>
      <c r="H112" s="13"/>
      <c r="I112" s="932" t="s">
        <v>1554</v>
      </c>
      <c r="J112" s="931">
        <v>300</v>
      </c>
      <c r="K112" s="931">
        <v>0</v>
      </c>
      <c r="L112" s="931">
        <v>18</v>
      </c>
      <c r="M112" s="931">
        <v>6</v>
      </c>
    </row>
    <row r="113" spans="1:13" ht="16.5" hidden="1">
      <c r="A113" s="175" t="s">
        <v>1541</v>
      </c>
      <c r="B113" s="931">
        <v>15</v>
      </c>
      <c r="C113" s="931">
        <v>9.1</v>
      </c>
      <c r="D113" s="490">
        <f t="shared" si="13"/>
        <v>1.365</v>
      </c>
      <c r="E113" s="931">
        <v>22.5</v>
      </c>
      <c r="F113" s="936">
        <f t="shared" si="10"/>
        <v>3.375</v>
      </c>
      <c r="G113" s="1332">
        <f t="shared" si="11"/>
        <v>0.60059999999999991</v>
      </c>
      <c r="H113" s="13"/>
      <c r="I113" s="932" t="s">
        <v>1555</v>
      </c>
      <c r="J113" s="931">
        <v>300</v>
      </c>
      <c r="K113" s="931">
        <v>0</v>
      </c>
      <c r="L113" s="931">
        <v>18</v>
      </c>
      <c r="M113" s="931">
        <v>6</v>
      </c>
    </row>
    <row r="114" spans="1:13" ht="16.5">
      <c r="A114" s="175" t="s">
        <v>1633</v>
      </c>
      <c r="B114" s="931">
        <v>24.9</v>
      </c>
      <c r="C114" s="931">
        <v>8.1</v>
      </c>
      <c r="D114" s="490">
        <f t="shared" si="13"/>
        <v>2.0168999999999997</v>
      </c>
      <c r="E114" s="931">
        <v>10.1</v>
      </c>
      <c r="F114" s="936">
        <f t="shared" si="10"/>
        <v>2.5148999999999999</v>
      </c>
      <c r="G114" s="1399">
        <f t="shared" si="11"/>
        <v>0.53459999999999996</v>
      </c>
      <c r="H114" s="175">
        <v>0</v>
      </c>
      <c r="I114" s="932" t="s">
        <v>1108</v>
      </c>
      <c r="J114" s="931">
        <v>300</v>
      </c>
      <c r="K114" s="931">
        <v>0</v>
      </c>
      <c r="L114" s="931">
        <v>18</v>
      </c>
      <c r="M114" s="931">
        <v>6</v>
      </c>
    </row>
    <row r="115" spans="1:13" ht="16.5">
      <c r="A115" s="492"/>
      <c r="B115" s="493"/>
      <c r="C115" s="493"/>
      <c r="D115" s="493"/>
      <c r="E115" s="493"/>
      <c r="F115" s="493"/>
      <c r="G115" s="493"/>
      <c r="I115" s="780"/>
    </row>
    <row r="116" spans="1:13" ht="16.5">
      <c r="A116" s="492"/>
      <c r="B116" s="493"/>
      <c r="C116" s="493"/>
      <c r="D116" s="493"/>
      <c r="E116" s="493"/>
      <c r="F116" s="493"/>
      <c r="G116" s="493"/>
      <c r="I116" s="780"/>
    </row>
    <row r="117" spans="1:13" ht="16.5">
      <c r="A117" s="492"/>
      <c r="B117" s="493"/>
      <c r="C117" s="493"/>
      <c r="D117" s="493"/>
      <c r="E117" s="493"/>
      <c r="F117" s="493"/>
      <c r="G117" s="493"/>
      <c r="I117" s="780"/>
    </row>
    <row r="118" spans="1:13" ht="16.5">
      <c r="A118" s="492"/>
      <c r="B118" s="493"/>
      <c r="C118" s="493"/>
      <c r="D118" s="493"/>
      <c r="E118" s="493"/>
      <c r="F118" s="493"/>
      <c r="G118" s="493"/>
      <c r="I118" s="780"/>
    </row>
    <row r="119" spans="1:13" ht="16.5">
      <c r="A119" s="492"/>
      <c r="B119" s="493"/>
      <c r="C119" s="493"/>
      <c r="D119" s="493"/>
      <c r="E119" s="493"/>
      <c r="F119" s="493"/>
      <c r="G119" s="493"/>
      <c r="I119" s="780"/>
    </row>
    <row r="120" spans="1:13" ht="16.5">
      <c r="A120" s="492"/>
      <c r="B120" s="493"/>
      <c r="C120" s="493"/>
      <c r="D120" s="493"/>
      <c r="E120" s="493"/>
      <c r="F120" s="493"/>
      <c r="G120" s="493"/>
      <c r="I120" s="780"/>
    </row>
    <row r="121" spans="1:13" ht="16.5">
      <c r="A121" s="492"/>
      <c r="B121" s="493"/>
      <c r="C121" s="493"/>
      <c r="D121" s="493"/>
      <c r="E121" s="493"/>
      <c r="F121" s="493"/>
      <c r="G121" s="493"/>
      <c r="I121" s="780"/>
    </row>
    <row r="122" spans="1:13" ht="16.5">
      <c r="A122" s="492"/>
      <c r="B122" s="493"/>
      <c r="C122" s="493"/>
      <c r="D122" s="493"/>
      <c r="E122" s="493"/>
      <c r="F122" s="493"/>
      <c r="G122" s="493"/>
      <c r="I122" s="780"/>
    </row>
    <row r="123" spans="1:13" ht="16.5">
      <c r="A123" s="492"/>
      <c r="B123" s="493"/>
      <c r="C123" s="493"/>
      <c r="D123" s="493"/>
      <c r="E123" s="493"/>
      <c r="F123" s="493"/>
      <c r="G123" s="493"/>
      <c r="I123" s="780"/>
    </row>
    <row r="124" spans="1:13" ht="16.5">
      <c r="A124" s="492"/>
      <c r="B124" s="493"/>
      <c r="C124" s="493"/>
      <c r="D124" s="493"/>
      <c r="E124" s="493"/>
      <c r="F124" s="493"/>
      <c r="G124" s="493"/>
      <c r="I124" s="780"/>
    </row>
    <row r="125" spans="1:13" ht="16.5">
      <c r="A125" s="492"/>
      <c r="B125" s="493"/>
      <c r="C125" s="493"/>
      <c r="D125" s="493"/>
      <c r="E125" s="493"/>
      <c r="F125" s="493"/>
      <c r="G125" s="493"/>
      <c r="I125" s="780"/>
    </row>
    <row r="126" spans="1:13" ht="16.5">
      <c r="A126" s="492"/>
      <c r="B126" s="493"/>
      <c r="C126" s="493"/>
      <c r="D126" s="493"/>
      <c r="E126" s="493"/>
      <c r="F126" s="493"/>
      <c r="G126" s="493"/>
      <c r="I126" s="780"/>
    </row>
    <row r="127" spans="1:13" ht="16.5">
      <c r="A127" s="492"/>
      <c r="B127" s="493"/>
      <c r="C127" s="493"/>
      <c r="D127" s="493"/>
      <c r="E127" s="493"/>
      <c r="F127" s="493"/>
      <c r="G127" s="493"/>
      <c r="I127" s="780"/>
    </row>
    <row r="128" spans="1:13" ht="16.5">
      <c r="A128" s="492"/>
      <c r="B128" s="493"/>
      <c r="C128" s="493"/>
      <c r="D128" s="493"/>
      <c r="E128" s="493"/>
      <c r="F128" s="493"/>
      <c r="G128" s="493"/>
      <c r="I128" s="780"/>
    </row>
    <row r="129" spans="1:9" ht="16.5">
      <c r="A129" s="492"/>
      <c r="B129" s="493"/>
      <c r="C129" s="493"/>
      <c r="D129" s="493"/>
      <c r="E129" s="493"/>
      <c r="F129" s="493"/>
      <c r="G129" s="493"/>
      <c r="I129" s="780"/>
    </row>
    <row r="130" spans="1:9" ht="16.5">
      <c r="A130" s="492"/>
      <c r="B130" s="493"/>
      <c r="C130" s="493"/>
      <c r="D130" s="493"/>
      <c r="E130" s="493"/>
      <c r="F130" s="493"/>
      <c r="G130" s="493"/>
      <c r="I130" s="780"/>
    </row>
    <row r="131" spans="1:9" ht="16.5">
      <c r="A131" s="492"/>
      <c r="B131" s="493"/>
      <c r="C131" s="493"/>
      <c r="D131" s="493"/>
      <c r="E131" s="493"/>
      <c r="F131" s="493"/>
      <c r="G131" s="493"/>
      <c r="I131" s="780"/>
    </row>
    <row r="132" spans="1:9" ht="16.5">
      <c r="A132" s="492"/>
      <c r="B132" s="493"/>
      <c r="C132" s="493"/>
      <c r="D132" s="493"/>
      <c r="E132" s="493"/>
      <c r="F132" s="493"/>
      <c r="G132" s="493"/>
      <c r="I132" s="780"/>
    </row>
    <row r="133" spans="1:9" ht="16.5">
      <c r="A133" s="492"/>
      <c r="B133" s="493"/>
      <c r="C133" s="493"/>
      <c r="D133" s="493"/>
      <c r="E133" s="493"/>
      <c r="F133" s="493"/>
      <c r="G133" s="493"/>
      <c r="I133" s="780"/>
    </row>
    <row r="134" spans="1:9" ht="16.5">
      <c r="A134" s="492"/>
      <c r="B134" s="493"/>
      <c r="C134" s="493"/>
      <c r="D134" s="493"/>
      <c r="E134" s="493"/>
      <c r="F134" s="493"/>
      <c r="G134" s="493"/>
      <c r="I134" s="780"/>
    </row>
    <row r="135" spans="1:9" ht="16.5">
      <c r="A135" s="492"/>
      <c r="B135" s="493"/>
      <c r="C135" s="493"/>
      <c r="D135" s="493"/>
      <c r="E135" s="493"/>
      <c r="F135" s="493"/>
      <c r="G135" s="493"/>
      <c r="I135" s="780"/>
    </row>
    <row r="136" spans="1:9" ht="16.5">
      <c r="A136" s="492"/>
      <c r="B136" s="493"/>
      <c r="C136" s="493"/>
      <c r="D136" s="493"/>
      <c r="E136" s="493"/>
      <c r="F136" s="493"/>
      <c r="G136" s="493"/>
      <c r="I136" s="780"/>
    </row>
    <row r="137" spans="1:9" ht="16.5">
      <c r="A137" s="492"/>
      <c r="B137" s="493"/>
      <c r="C137" s="493"/>
      <c r="D137" s="493"/>
      <c r="E137" s="493"/>
      <c r="F137" s="493"/>
      <c r="G137" s="493"/>
      <c r="I137" s="780"/>
    </row>
    <row r="138" spans="1:9" ht="16.5">
      <c r="A138" s="492"/>
      <c r="B138" s="493"/>
      <c r="C138" s="493"/>
      <c r="D138" s="493"/>
      <c r="E138" s="493"/>
      <c r="F138" s="493"/>
      <c r="G138" s="493"/>
      <c r="I138" s="780"/>
    </row>
    <row r="139" spans="1:9" ht="16.5">
      <c r="A139" s="492"/>
      <c r="B139" s="493"/>
      <c r="C139" s="493"/>
      <c r="D139" s="493"/>
      <c r="E139" s="493"/>
      <c r="F139" s="493"/>
      <c r="G139" s="493"/>
      <c r="I139" s="780"/>
    </row>
    <row r="140" spans="1:9" ht="16.5">
      <c r="A140" s="492"/>
      <c r="B140" s="493"/>
      <c r="C140" s="493"/>
      <c r="D140" s="493"/>
      <c r="E140" s="493"/>
      <c r="F140" s="493"/>
      <c r="G140" s="493"/>
      <c r="I140" s="780"/>
    </row>
  </sheetData>
  <sheetProtection selectLockedCells="1"/>
  <pageMargins left="0.75" right="0.75" top="1" bottom="1" header="0.5" footer="0.5"/>
  <pageSetup paperSize="9" orientation="portrait" horizontalDpi="4294967292" verticalDpi="4294967292" r:id="rId1"/>
  <ignoredErrors>
    <ignoredError sqref="F13:F114" calculatedColumn="1"/>
  </ignoredErrors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3"/>
  <sheetViews>
    <sheetView workbookViewId="0">
      <selection activeCell="F10" sqref="F10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27" customFormat="1">
      <c r="A1" s="527" t="s">
        <v>1180</v>
      </c>
      <c r="B1" s="528"/>
    </row>
    <row r="2" spans="1:5">
      <c r="B2" s="37"/>
      <c r="C2" s="37"/>
      <c r="D2" s="37"/>
      <c r="E2" s="37"/>
    </row>
    <row r="3" spans="1:5">
      <c r="B3" s="605" t="s">
        <v>1183</v>
      </c>
      <c r="C3" s="13" t="s">
        <v>1316</v>
      </c>
      <c r="D3" s="13" t="s">
        <v>1184</v>
      </c>
    </row>
    <row r="4" spans="1:5">
      <c r="B4" s="17" t="s">
        <v>1188</v>
      </c>
      <c r="C4" s="594">
        <v>5.7999999999999996E-3</v>
      </c>
      <c r="D4" s="1193" t="s">
        <v>1711</v>
      </c>
    </row>
    <row r="5" spans="1:5">
      <c r="B5" s="17" t="s">
        <v>1189</v>
      </c>
      <c r="C5" s="371"/>
      <c r="D5" s="1193"/>
    </row>
    <row r="6" spans="1:5">
      <c r="B6" s="17" t="s">
        <v>1190</v>
      </c>
      <c r="C6" s="371"/>
      <c r="D6" s="1193"/>
    </row>
    <row r="7" spans="1:5">
      <c r="B7" s="17" t="s">
        <v>1191</v>
      </c>
      <c r="C7" s="371">
        <v>3</v>
      </c>
      <c r="D7" s="1193" t="s">
        <v>1711</v>
      </c>
    </row>
    <row r="8" spans="1:5">
      <c r="B8" s="17" t="s">
        <v>1192</v>
      </c>
      <c r="C8" s="371"/>
      <c r="D8" s="1193"/>
    </row>
    <row r="9" spans="1:5">
      <c r="B9" s="17" t="s">
        <v>1193</v>
      </c>
      <c r="C9" s="371"/>
      <c r="D9" s="1193"/>
    </row>
    <row r="10" spans="1:5">
      <c r="B10" s="17" t="s">
        <v>1202</v>
      </c>
      <c r="C10" s="371">
        <v>0.35</v>
      </c>
      <c r="D10" s="1193" t="s">
        <v>1711</v>
      </c>
    </row>
    <row r="11" spans="1:5">
      <c r="B11" s="17" t="s">
        <v>1203</v>
      </c>
      <c r="C11" s="371"/>
      <c r="D11" s="1193"/>
    </row>
    <row r="12" spans="1:5">
      <c r="B12" s="17" t="s">
        <v>1194</v>
      </c>
      <c r="C12" s="371">
        <v>3.5</v>
      </c>
      <c r="D12" s="1193" t="s">
        <v>1710</v>
      </c>
    </row>
    <row r="13" spans="1:5">
      <c r="B13" s="595" t="s">
        <v>1667</v>
      </c>
      <c r="C13" s="371"/>
      <c r="D13" s="1193"/>
    </row>
    <row r="14" spans="1:5" s="1194" customFormat="1">
      <c r="B14" s="595" t="s">
        <v>1033</v>
      </c>
      <c r="C14" s="371">
        <v>0.47</v>
      </c>
      <c r="D14" s="1193" t="s">
        <v>1711</v>
      </c>
    </row>
    <row r="15" spans="1:5" s="1194" customFormat="1">
      <c r="B15" s="595" t="s">
        <v>1036</v>
      </c>
      <c r="C15" s="371"/>
      <c r="D15" s="1193" t="s">
        <v>1711</v>
      </c>
    </row>
    <row r="17" spans="2:3" s="661" customFormat="1">
      <c r="B17" s="661" t="s">
        <v>1236</v>
      </c>
    </row>
    <row r="18" spans="2:3" s="660" customFormat="1">
      <c r="B18" s="660" t="s">
        <v>1237</v>
      </c>
      <c r="C18" s="702">
        <v>52.09</v>
      </c>
    </row>
    <row r="20" spans="2:3" s="527" customFormat="1">
      <c r="B20" s="527" t="s">
        <v>1148</v>
      </c>
    </row>
    <row r="22" spans="2:3">
      <c r="B22" t="s">
        <v>1195</v>
      </c>
      <c r="C22" s="700">
        <v>0.1</v>
      </c>
    </row>
    <row r="23" spans="2:3">
      <c r="B23" t="s">
        <v>1196</v>
      </c>
      <c r="C23" s="701">
        <v>10</v>
      </c>
    </row>
  </sheetData>
  <sheetProtection selectLockedCells="1"/>
  <sortState ref="B3:E37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J351"/>
  <sheetViews>
    <sheetView topLeftCell="A56" workbookViewId="0">
      <selection activeCell="D95" sqref="D95"/>
    </sheetView>
  </sheetViews>
  <sheetFormatPr defaultColWidth="11" defaultRowHeight="15.75"/>
  <cols>
    <col min="1" max="1" width="33.375" style="145" customWidth="1"/>
    <col min="2" max="2" width="43" style="145" customWidth="1"/>
    <col min="3" max="3" width="25.125" style="145" customWidth="1"/>
    <col min="4" max="4" width="54.75" style="145" customWidth="1"/>
    <col min="5" max="5" width="21.75" style="145" customWidth="1"/>
    <col min="6" max="6" width="24.625" style="145" customWidth="1"/>
    <col min="7" max="7" width="16.375" style="145" customWidth="1"/>
    <col min="8" max="8" width="12.125" style="145" customWidth="1"/>
    <col min="9" max="9" width="102.25" style="145" bestFit="1" customWidth="1"/>
    <col min="10" max="10" width="22" style="145" customWidth="1"/>
    <col min="11" max="12" width="11" style="145" customWidth="1"/>
    <col min="13" max="13" width="13" style="145" customWidth="1"/>
    <col min="14" max="14" width="11" style="230" customWidth="1"/>
    <col min="15" max="15" width="16" style="145" customWidth="1"/>
    <col min="16" max="16" width="10.125" style="145" bestFit="1" customWidth="1"/>
    <col min="17" max="25" width="10.125" style="145" customWidth="1"/>
    <col min="26" max="26" width="11" style="145"/>
    <col min="27" max="27" width="15.375" style="231" bestFit="1" customWidth="1"/>
    <col min="28" max="28" width="11" style="145"/>
    <col min="29" max="29" width="11.375" style="145" bestFit="1" customWidth="1"/>
    <col min="30" max="35" width="11" style="145"/>
    <col min="36" max="36" width="15.375" style="229" bestFit="1" customWidth="1"/>
    <col min="37" max="16384" width="11" style="145"/>
  </cols>
  <sheetData>
    <row r="1" spans="1:11">
      <c r="A1" s="145" t="s">
        <v>79</v>
      </c>
    </row>
    <row r="2" spans="1:11">
      <c r="A2" s="145" t="s">
        <v>69</v>
      </c>
      <c r="I2" s="1118"/>
      <c r="J2" s="1160"/>
      <c r="K2" s="1118"/>
    </row>
    <row r="3" spans="1:11">
      <c r="A3" s="1299" t="s">
        <v>96</v>
      </c>
      <c r="I3" s="1118"/>
      <c r="J3" s="1160"/>
      <c r="K3" s="1118"/>
    </row>
    <row r="4" spans="1:11">
      <c r="A4" s="228" t="s">
        <v>1642</v>
      </c>
      <c r="I4" s="1118"/>
      <c r="J4" s="1160"/>
      <c r="K4" s="1118"/>
    </row>
    <row r="5" spans="1:11">
      <c r="A5" s="228" t="s">
        <v>1823</v>
      </c>
      <c r="I5" s="1118"/>
      <c r="J5" s="1160"/>
      <c r="K5" s="1118"/>
    </row>
    <row r="6" spans="1:11">
      <c r="I6" s="1118"/>
      <c r="J6" s="1160"/>
      <c r="K6" s="1118"/>
    </row>
    <row r="7" spans="1:11">
      <c r="A7" s="145" t="s">
        <v>78</v>
      </c>
      <c r="I7" s="1118"/>
      <c r="J7" s="1160"/>
      <c r="K7" s="1118"/>
    </row>
    <row r="8" spans="1:11">
      <c r="I8" s="1118"/>
      <c r="J8" s="1160"/>
      <c r="K8" s="1118"/>
    </row>
    <row r="9" spans="1:11">
      <c r="A9" s="228" t="s">
        <v>1828</v>
      </c>
      <c r="B9" s="1299" t="s">
        <v>1831</v>
      </c>
      <c r="C9" s="1299" t="s">
        <v>1830</v>
      </c>
      <c r="D9" s="228" t="s">
        <v>1829</v>
      </c>
      <c r="E9" s="228" t="s">
        <v>0</v>
      </c>
      <c r="F9" s="1299" t="s">
        <v>77</v>
      </c>
      <c r="G9" s="1299" t="s">
        <v>76</v>
      </c>
      <c r="I9" s="1118"/>
      <c r="J9" s="1160"/>
      <c r="K9" s="1118"/>
    </row>
    <row r="10" spans="1:11">
      <c r="A10" s="228" t="s">
        <v>1642</v>
      </c>
      <c r="B10" s="1342" t="s">
        <v>1818</v>
      </c>
      <c r="C10" s="1299" t="s">
        <v>91</v>
      </c>
      <c r="D10" s="1344" t="str">
        <f>A10 &amp;"|" &amp;B10</f>
        <v>LATIN AMERICA|Cows (local)</v>
      </c>
      <c r="E10" s="228">
        <v>64</v>
      </c>
      <c r="F10" s="1299" t="s">
        <v>55</v>
      </c>
      <c r="G10" s="1299" t="s">
        <v>92</v>
      </c>
      <c r="I10" s="1118"/>
      <c r="J10" s="1160"/>
      <c r="K10" s="1118"/>
    </row>
    <row r="11" spans="1:11">
      <c r="A11" s="228" t="s">
        <v>1642</v>
      </c>
      <c r="B11" s="1342" t="s">
        <v>1819</v>
      </c>
      <c r="C11" s="1299" t="s">
        <v>75</v>
      </c>
      <c r="D11" s="1344" t="str">
        <f t="shared" ref="D11:D54" si="0">A11 &amp;"|" &amp;B11</f>
        <v>LATIN AMERICA|Cows (improved)</v>
      </c>
      <c r="E11" s="228">
        <v>72</v>
      </c>
      <c r="F11" s="1299" t="s">
        <v>55</v>
      </c>
      <c r="G11" s="1299" t="s">
        <v>642</v>
      </c>
      <c r="I11" s="1118"/>
      <c r="J11" s="1160"/>
      <c r="K11" s="1118"/>
    </row>
    <row r="12" spans="1:11">
      <c r="A12" s="228" t="s">
        <v>1642</v>
      </c>
      <c r="B12" s="1342" t="s">
        <v>1068</v>
      </c>
      <c r="C12" s="1299" t="s">
        <v>93</v>
      </c>
      <c r="D12" s="1344" t="str">
        <f t="shared" si="0"/>
        <v>LATIN AMERICA|Adult cattle - male</v>
      </c>
      <c r="E12" s="1297">
        <v>61</v>
      </c>
      <c r="F12" s="1299" t="s">
        <v>55</v>
      </c>
      <c r="G12" s="1299" t="s">
        <v>92</v>
      </c>
      <c r="I12" s="1118"/>
      <c r="J12" s="1160"/>
      <c r="K12" s="1118"/>
    </row>
    <row r="13" spans="1:11">
      <c r="A13" s="228" t="s">
        <v>1642</v>
      </c>
      <c r="B13" s="1342" t="s">
        <v>1019</v>
      </c>
      <c r="C13" s="1299" t="s">
        <v>94</v>
      </c>
      <c r="D13" s="1344" t="str">
        <f t="shared" si="0"/>
        <v>LATIN AMERICA|Steers/heifers</v>
      </c>
      <c r="E13" s="1297">
        <v>61</v>
      </c>
      <c r="F13" s="1299" t="s">
        <v>55</v>
      </c>
      <c r="G13" s="1299" t="s">
        <v>92</v>
      </c>
      <c r="I13" s="1118"/>
      <c r="J13" s="1160"/>
      <c r="K13" s="1118"/>
    </row>
    <row r="14" spans="1:11">
      <c r="A14" s="228" t="s">
        <v>1642</v>
      </c>
      <c r="B14" s="1342" t="s">
        <v>631</v>
      </c>
      <c r="C14" s="1299" t="s">
        <v>95</v>
      </c>
      <c r="D14" s="1344" t="str">
        <f t="shared" si="0"/>
        <v>LATIN AMERICA|Calves</v>
      </c>
      <c r="E14" s="1297">
        <v>49</v>
      </c>
      <c r="F14" s="1299" t="s">
        <v>55</v>
      </c>
      <c r="G14" s="1299" t="s">
        <v>92</v>
      </c>
      <c r="I14" s="1118"/>
      <c r="J14" s="1160"/>
      <c r="K14" s="1118"/>
    </row>
    <row r="15" spans="1:11">
      <c r="A15" s="228" t="s">
        <v>1642</v>
      </c>
      <c r="B15" s="1342" t="s">
        <v>1820</v>
      </c>
      <c r="C15" s="1299" t="s">
        <v>93</v>
      </c>
      <c r="D15" s="1344" t="str">
        <f t="shared" si="0"/>
        <v>LATIN AMERICA|Buffalo (dairy)</v>
      </c>
      <c r="E15" s="1297">
        <v>61</v>
      </c>
      <c r="F15" s="1299" t="s">
        <v>55</v>
      </c>
      <c r="G15" s="1299" t="s">
        <v>92</v>
      </c>
      <c r="I15" s="1118"/>
      <c r="J15" s="1160"/>
      <c r="K15" s="1118"/>
    </row>
    <row r="16" spans="1:11" ht="15" customHeight="1">
      <c r="A16" s="228" t="s">
        <v>1642</v>
      </c>
      <c r="B16" s="1342" t="s">
        <v>1771</v>
      </c>
      <c r="C16" s="1299" t="s">
        <v>95</v>
      </c>
      <c r="D16" s="1344" t="str">
        <f t="shared" si="0"/>
        <v>LATIN AMERICA|Buffalo steers/heifers</v>
      </c>
      <c r="E16" s="1297">
        <v>49</v>
      </c>
      <c r="F16" s="1299" t="s">
        <v>55</v>
      </c>
      <c r="G16" s="1299" t="s">
        <v>74</v>
      </c>
      <c r="I16" s="1118"/>
      <c r="J16" s="1160"/>
      <c r="K16" s="1118"/>
    </row>
    <row r="17" spans="1:11" ht="15" customHeight="1">
      <c r="A17" s="228" t="s">
        <v>1642</v>
      </c>
      <c r="B17" s="1342" t="s">
        <v>1772</v>
      </c>
      <c r="C17" s="1299" t="s">
        <v>95</v>
      </c>
      <c r="D17" s="1344" t="str">
        <f t="shared" si="0"/>
        <v>LATIN AMERICA|Buffalo calves</v>
      </c>
      <c r="E17" s="1297">
        <v>49</v>
      </c>
      <c r="F17" s="1299" t="s">
        <v>55</v>
      </c>
      <c r="G17" s="1299" t="s">
        <v>74</v>
      </c>
      <c r="I17" s="1118"/>
      <c r="J17" s="1118"/>
      <c r="K17" s="1118"/>
    </row>
    <row r="18" spans="1:11" ht="15" customHeight="1">
      <c r="A18" s="228" t="s">
        <v>1642</v>
      </c>
      <c r="B18" s="1342" t="s">
        <v>1775</v>
      </c>
      <c r="C18" s="1299" t="s">
        <v>48</v>
      </c>
      <c r="D18" s="1344" t="str">
        <f t="shared" si="0"/>
        <v>LATIN AMERICA|Sheep/Goats - Ewes/Does</v>
      </c>
      <c r="E18" s="1297">
        <v>5</v>
      </c>
      <c r="F18" s="1299" t="s">
        <v>55</v>
      </c>
      <c r="G18" s="1299" t="s">
        <v>74</v>
      </c>
      <c r="I18" s="1118"/>
      <c r="J18" s="1118"/>
      <c r="K18" s="1118"/>
    </row>
    <row r="19" spans="1:11" ht="15" customHeight="1">
      <c r="A19" s="228" t="s">
        <v>1642</v>
      </c>
      <c r="B19" s="1342" t="s">
        <v>1777</v>
      </c>
      <c r="C19" s="1299" t="s">
        <v>48</v>
      </c>
      <c r="D19" s="1344" t="str">
        <f t="shared" si="0"/>
        <v>LATIN AMERICA|Sheep/Goats - Breeding Rams/Bucks</v>
      </c>
      <c r="E19" s="1297">
        <v>5</v>
      </c>
      <c r="F19" s="1299" t="s">
        <v>55</v>
      </c>
      <c r="G19" s="1299" t="s">
        <v>92</v>
      </c>
      <c r="I19" s="1336"/>
      <c r="J19" s="1118"/>
      <c r="K19" s="1118"/>
    </row>
    <row r="20" spans="1:11">
      <c r="A20" s="228" t="s">
        <v>1642</v>
      </c>
      <c r="B20" s="1342" t="s">
        <v>1776</v>
      </c>
      <c r="C20" s="1299" t="s">
        <v>48</v>
      </c>
      <c r="D20" s="1344" t="str">
        <f t="shared" si="0"/>
        <v>LATIN AMERICA|Sheep/Goats - Fattening Rams/Bucks</v>
      </c>
      <c r="E20" s="1297">
        <v>5</v>
      </c>
      <c r="F20" s="1299" t="s">
        <v>55</v>
      </c>
      <c r="G20" s="1299" t="s">
        <v>92</v>
      </c>
      <c r="I20" s="1336"/>
      <c r="J20" s="1118"/>
      <c r="K20" s="1118"/>
    </row>
    <row r="21" spans="1:11">
      <c r="A21" s="228" t="s">
        <v>1642</v>
      </c>
      <c r="B21" s="1342" t="s">
        <v>1778</v>
      </c>
      <c r="C21" s="1299" t="s">
        <v>48</v>
      </c>
      <c r="D21" s="1344" t="str">
        <f t="shared" si="0"/>
        <v>LATIN AMERICA|Sheep/Goats - Lambs/Kids</v>
      </c>
      <c r="E21" s="1297">
        <v>5</v>
      </c>
      <c r="F21" s="1299" t="s">
        <v>55</v>
      </c>
      <c r="G21" s="1299" t="s">
        <v>92</v>
      </c>
      <c r="I21" s="1336"/>
      <c r="J21" s="1118"/>
      <c r="K21" s="1118"/>
    </row>
    <row r="22" spans="1:11">
      <c r="A22" s="228" t="s">
        <v>1642</v>
      </c>
      <c r="B22" s="1342" t="s">
        <v>1672</v>
      </c>
      <c r="C22" s="1299" t="s">
        <v>1660</v>
      </c>
      <c r="D22" s="1344" t="str">
        <f t="shared" si="0"/>
        <v>LATIN AMERICA|Pigs - lactating/pregnant sows</v>
      </c>
      <c r="E22" s="1297">
        <v>1</v>
      </c>
      <c r="F22" s="1299" t="s">
        <v>55</v>
      </c>
      <c r="G22" s="1299" t="s">
        <v>74</v>
      </c>
      <c r="I22" s="1336"/>
      <c r="J22" s="1118"/>
      <c r="K22" s="1118"/>
    </row>
    <row r="23" spans="1:11">
      <c r="A23" s="228" t="s">
        <v>1642</v>
      </c>
      <c r="B23" s="1342" t="s">
        <v>1671</v>
      </c>
      <c r="C23" s="1299" t="s">
        <v>1660</v>
      </c>
      <c r="D23" s="1344" t="str">
        <f t="shared" si="0"/>
        <v>LATIN AMERICA|Pigs - dry sows/boars</v>
      </c>
      <c r="E23" s="1297">
        <v>1</v>
      </c>
      <c r="F23" s="1299" t="s">
        <v>55</v>
      </c>
      <c r="G23" s="1299" t="s">
        <v>74</v>
      </c>
      <c r="I23" s="1337"/>
      <c r="J23" s="1118"/>
      <c r="K23" s="1118"/>
    </row>
    <row r="24" spans="1:11">
      <c r="A24" s="228" t="s">
        <v>1642</v>
      </c>
      <c r="B24" s="1342" t="s">
        <v>1670</v>
      </c>
      <c r="C24" s="1299" t="s">
        <v>1660</v>
      </c>
      <c r="D24" s="1344" t="str">
        <f t="shared" si="0"/>
        <v>LATIN AMERICA|Pigs - growers</v>
      </c>
      <c r="E24" s="1297">
        <v>1</v>
      </c>
      <c r="F24" s="1299" t="s">
        <v>55</v>
      </c>
      <c r="G24" s="1299" t="s">
        <v>74</v>
      </c>
      <c r="I24" s="1337"/>
      <c r="J24" s="1118"/>
      <c r="K24" s="1118"/>
    </row>
    <row r="25" spans="1:11">
      <c r="A25" s="1299" t="s">
        <v>96</v>
      </c>
      <c r="B25" s="1342" t="s">
        <v>1818</v>
      </c>
      <c r="C25" s="1299" t="s">
        <v>91</v>
      </c>
      <c r="D25" s="1344" t="str">
        <f t="shared" si="0"/>
        <v>AFRICA|Cows (local)</v>
      </c>
      <c r="E25" s="1299">
        <v>32</v>
      </c>
      <c r="F25" s="1299" t="s">
        <v>55</v>
      </c>
      <c r="G25" s="1299" t="s">
        <v>92</v>
      </c>
      <c r="I25" s="1337"/>
      <c r="J25" s="1118"/>
      <c r="K25" s="1118"/>
    </row>
    <row r="26" spans="1:11">
      <c r="A26" s="1299" t="s">
        <v>96</v>
      </c>
      <c r="B26" s="1342" t="s">
        <v>1819</v>
      </c>
      <c r="C26" s="1299" t="s">
        <v>75</v>
      </c>
      <c r="D26" s="1344" t="str">
        <f t="shared" si="0"/>
        <v>AFRICA|Cows (improved)</v>
      </c>
      <c r="E26" s="1299">
        <v>46</v>
      </c>
      <c r="F26" s="1299" t="s">
        <v>55</v>
      </c>
      <c r="G26" s="1299" t="s">
        <v>642</v>
      </c>
      <c r="I26" s="1337"/>
      <c r="J26" s="1118"/>
      <c r="K26" s="1118"/>
    </row>
    <row r="27" spans="1:11">
      <c r="A27" s="1299" t="s">
        <v>96</v>
      </c>
      <c r="B27" s="1342" t="s">
        <v>1068</v>
      </c>
      <c r="C27" s="1299" t="s">
        <v>93</v>
      </c>
      <c r="D27" s="1344" t="str">
        <f t="shared" si="0"/>
        <v>AFRICA|Adult cattle - male</v>
      </c>
      <c r="E27" s="1299">
        <v>41</v>
      </c>
      <c r="F27" s="1299" t="s">
        <v>55</v>
      </c>
      <c r="G27" s="1299" t="s">
        <v>92</v>
      </c>
      <c r="H27" s="1118"/>
      <c r="I27" s="1337"/>
      <c r="J27" s="1118"/>
      <c r="K27" s="1118"/>
    </row>
    <row r="28" spans="1:11">
      <c r="A28" s="1299" t="s">
        <v>96</v>
      </c>
      <c r="B28" s="1342" t="s">
        <v>1019</v>
      </c>
      <c r="C28" s="1299" t="s">
        <v>94</v>
      </c>
      <c r="D28" s="1344" t="str">
        <f t="shared" si="0"/>
        <v>AFRICA|Steers/heifers</v>
      </c>
      <c r="E28" s="1299">
        <v>41</v>
      </c>
      <c r="F28" s="1299" t="s">
        <v>55</v>
      </c>
      <c r="G28" s="1299" t="s">
        <v>92</v>
      </c>
      <c r="H28" s="1118"/>
      <c r="I28" s="1118"/>
      <c r="J28" s="1118"/>
      <c r="K28" s="1118"/>
    </row>
    <row r="29" spans="1:11">
      <c r="A29" s="1299" t="s">
        <v>96</v>
      </c>
      <c r="B29" s="1342" t="s">
        <v>631</v>
      </c>
      <c r="C29" s="1299" t="s">
        <v>95</v>
      </c>
      <c r="D29" s="1344" t="str">
        <f t="shared" si="0"/>
        <v>AFRICA|Calves</v>
      </c>
      <c r="E29" s="1297">
        <v>16</v>
      </c>
      <c r="F29" s="1299" t="s">
        <v>55</v>
      </c>
      <c r="G29" s="1299" t="s">
        <v>92</v>
      </c>
      <c r="H29" s="1118"/>
      <c r="I29" s="1118"/>
      <c r="J29" s="1118"/>
      <c r="K29" s="1118"/>
    </row>
    <row r="30" spans="1:11">
      <c r="A30" s="1299" t="s">
        <v>96</v>
      </c>
      <c r="B30" s="1342" t="s">
        <v>1820</v>
      </c>
      <c r="C30" s="1299" t="s">
        <v>93</v>
      </c>
      <c r="D30" s="1344" t="str">
        <f t="shared" si="0"/>
        <v>AFRICA|Buffalo (dairy)</v>
      </c>
      <c r="E30" s="1297">
        <v>49</v>
      </c>
      <c r="F30" s="1299" t="s">
        <v>55</v>
      </c>
      <c r="G30" s="1299" t="s">
        <v>92</v>
      </c>
      <c r="H30" s="1336"/>
      <c r="I30" s="1118"/>
      <c r="J30" s="1118"/>
      <c r="K30" s="1118"/>
    </row>
    <row r="31" spans="1:11">
      <c r="A31" s="1299" t="s">
        <v>96</v>
      </c>
      <c r="B31" s="1342" t="s">
        <v>1771</v>
      </c>
      <c r="C31" s="1299" t="s">
        <v>95</v>
      </c>
      <c r="D31" s="1344" t="str">
        <f t="shared" si="0"/>
        <v>AFRICA|Buffalo steers/heifers</v>
      </c>
      <c r="E31" s="1297">
        <v>16</v>
      </c>
      <c r="F31" s="1299" t="s">
        <v>55</v>
      </c>
      <c r="G31" s="1299" t="s">
        <v>74</v>
      </c>
      <c r="H31" s="1336"/>
      <c r="I31" s="1118"/>
      <c r="J31" s="1118"/>
      <c r="K31" s="1118"/>
    </row>
    <row r="32" spans="1:11">
      <c r="A32" s="1299" t="s">
        <v>96</v>
      </c>
      <c r="B32" s="1342" t="s">
        <v>1772</v>
      </c>
      <c r="C32" s="1299" t="s">
        <v>95</v>
      </c>
      <c r="D32" s="1344" t="str">
        <f t="shared" si="0"/>
        <v>AFRICA|Buffalo calves</v>
      </c>
      <c r="E32" s="1297">
        <v>16</v>
      </c>
      <c r="F32" s="1299" t="s">
        <v>55</v>
      </c>
      <c r="G32" s="1299" t="s">
        <v>74</v>
      </c>
      <c r="H32" s="1336"/>
      <c r="I32" s="1118"/>
      <c r="J32" s="1118"/>
      <c r="K32" s="1118"/>
    </row>
    <row r="33" spans="1:11">
      <c r="A33" s="1299" t="s">
        <v>96</v>
      </c>
      <c r="B33" s="1342" t="s">
        <v>1775</v>
      </c>
      <c r="C33" s="1299" t="s">
        <v>48</v>
      </c>
      <c r="D33" s="1344" t="str">
        <f t="shared" si="0"/>
        <v>AFRICA|Sheep/Goats - Ewes/Does</v>
      </c>
      <c r="E33" s="1297">
        <v>5</v>
      </c>
      <c r="F33" s="1299" t="s">
        <v>55</v>
      </c>
      <c r="G33" s="1299" t="s">
        <v>74</v>
      </c>
      <c r="H33" s="1336"/>
      <c r="I33" s="1118"/>
      <c r="J33" s="1118"/>
      <c r="K33" s="1118"/>
    </row>
    <row r="34" spans="1:11">
      <c r="A34" s="1299" t="s">
        <v>96</v>
      </c>
      <c r="B34" s="1342" t="s">
        <v>1777</v>
      </c>
      <c r="C34" s="1299" t="s">
        <v>48</v>
      </c>
      <c r="D34" s="1344" t="str">
        <f t="shared" si="0"/>
        <v>AFRICA|Sheep/Goats - Breeding Rams/Bucks</v>
      </c>
      <c r="E34" s="1297">
        <v>5</v>
      </c>
      <c r="F34" s="1299" t="s">
        <v>55</v>
      </c>
      <c r="G34" s="1299" t="s">
        <v>92</v>
      </c>
      <c r="H34" s="1337"/>
      <c r="I34" s="1118"/>
      <c r="J34" s="1118"/>
      <c r="K34" s="1118"/>
    </row>
    <row r="35" spans="1:11">
      <c r="A35" s="1299" t="s">
        <v>96</v>
      </c>
      <c r="B35" s="1342" t="s">
        <v>1776</v>
      </c>
      <c r="C35" s="1299" t="s">
        <v>48</v>
      </c>
      <c r="D35" s="1344" t="str">
        <f t="shared" si="0"/>
        <v>AFRICA|Sheep/Goats - Fattening Rams/Bucks</v>
      </c>
      <c r="E35" s="1297">
        <v>5</v>
      </c>
      <c r="F35" s="1299" t="s">
        <v>55</v>
      </c>
      <c r="G35" s="1299" t="s">
        <v>92</v>
      </c>
      <c r="H35" s="1337"/>
      <c r="I35" s="1118"/>
      <c r="J35" s="1118"/>
      <c r="K35" s="1118"/>
    </row>
    <row r="36" spans="1:11">
      <c r="A36" s="1299" t="s">
        <v>96</v>
      </c>
      <c r="B36" s="1342" t="s">
        <v>1778</v>
      </c>
      <c r="C36" s="1299" t="s">
        <v>48</v>
      </c>
      <c r="D36" s="1344" t="str">
        <f t="shared" si="0"/>
        <v>AFRICA|Sheep/Goats - Lambs/Kids</v>
      </c>
      <c r="E36" s="1297">
        <v>5</v>
      </c>
      <c r="F36" s="1299" t="s">
        <v>55</v>
      </c>
      <c r="G36" s="1299" t="s">
        <v>92</v>
      </c>
      <c r="H36" s="1337"/>
      <c r="I36" s="1118"/>
      <c r="J36" s="1118"/>
      <c r="K36" s="1118"/>
    </row>
    <row r="37" spans="1:11">
      <c r="A37" s="1299" t="s">
        <v>96</v>
      </c>
      <c r="B37" s="1342" t="s">
        <v>1672</v>
      </c>
      <c r="C37" s="1299" t="s">
        <v>1660</v>
      </c>
      <c r="D37" s="1344" t="str">
        <f t="shared" si="0"/>
        <v>AFRICA|Pigs - lactating/pregnant sows</v>
      </c>
      <c r="E37" s="1297">
        <v>1</v>
      </c>
      <c r="F37" s="1299" t="s">
        <v>55</v>
      </c>
      <c r="G37" s="1299" t="s">
        <v>74</v>
      </c>
      <c r="H37" s="1118"/>
      <c r="I37" s="1118"/>
      <c r="J37" s="1118"/>
      <c r="K37" s="1118"/>
    </row>
    <row r="38" spans="1:11">
      <c r="A38" s="1299" t="s">
        <v>96</v>
      </c>
      <c r="B38" s="1342" t="s">
        <v>1671</v>
      </c>
      <c r="C38" s="1299" t="s">
        <v>1660</v>
      </c>
      <c r="D38" s="1344" t="str">
        <f t="shared" si="0"/>
        <v>AFRICA|Pigs - dry sows/boars</v>
      </c>
      <c r="E38" s="1297">
        <v>1</v>
      </c>
      <c r="F38" s="1299" t="s">
        <v>55</v>
      </c>
      <c r="G38" s="1299" t="s">
        <v>74</v>
      </c>
      <c r="H38" s="1118"/>
      <c r="I38" s="1118"/>
      <c r="J38" s="1118"/>
      <c r="K38" s="1118"/>
    </row>
    <row r="39" spans="1:11">
      <c r="A39" s="1299" t="s">
        <v>96</v>
      </c>
      <c r="B39" s="1342" t="s">
        <v>1670</v>
      </c>
      <c r="C39" s="1299" t="s">
        <v>1660</v>
      </c>
      <c r="D39" s="1344" t="str">
        <f t="shared" si="0"/>
        <v>AFRICA|Pigs - growers</v>
      </c>
      <c r="E39" s="1297">
        <v>1</v>
      </c>
      <c r="F39" s="1299" t="s">
        <v>55</v>
      </c>
      <c r="G39" s="1299" t="s">
        <v>74</v>
      </c>
      <c r="I39" s="1118"/>
      <c r="J39" s="1118"/>
      <c r="K39" s="1118"/>
    </row>
    <row r="40" spans="1:11">
      <c r="A40" s="228" t="s">
        <v>1823</v>
      </c>
      <c r="B40" s="1342" t="s">
        <v>1818</v>
      </c>
      <c r="C40" s="1299" t="s">
        <v>91</v>
      </c>
      <c r="D40" s="1344" t="str">
        <f t="shared" si="0"/>
        <v>ASIA|Cows (local)</v>
      </c>
      <c r="E40" s="1297">
        <v>50</v>
      </c>
      <c r="F40" s="1299" t="s">
        <v>55</v>
      </c>
      <c r="G40" s="1299" t="s">
        <v>92</v>
      </c>
      <c r="I40" s="1118"/>
      <c r="J40" s="1118"/>
      <c r="K40" s="1118"/>
    </row>
    <row r="41" spans="1:11">
      <c r="A41" s="228" t="s">
        <v>1823</v>
      </c>
      <c r="B41" s="1342" t="s">
        <v>1819</v>
      </c>
      <c r="C41" s="1299" t="s">
        <v>75</v>
      </c>
      <c r="D41" s="1344" t="str">
        <f t="shared" si="0"/>
        <v>ASIA|Cows (improved)</v>
      </c>
      <c r="E41" s="1297">
        <v>68</v>
      </c>
      <c r="F41" s="1299" t="s">
        <v>55</v>
      </c>
      <c r="G41" s="1299" t="s">
        <v>642</v>
      </c>
      <c r="I41" s="1118"/>
      <c r="J41" s="1118"/>
      <c r="K41" s="1118"/>
    </row>
    <row r="42" spans="1:11">
      <c r="A42" s="228" t="s">
        <v>1823</v>
      </c>
      <c r="B42" s="1342" t="s">
        <v>1068</v>
      </c>
      <c r="C42" s="1299" t="s">
        <v>93</v>
      </c>
      <c r="D42" s="1344" t="str">
        <f t="shared" si="0"/>
        <v>ASIA|Adult cattle - male</v>
      </c>
      <c r="E42" s="228">
        <v>59</v>
      </c>
      <c r="F42" s="1299" t="s">
        <v>55</v>
      </c>
      <c r="G42" s="1299" t="s">
        <v>92</v>
      </c>
      <c r="I42" s="1118"/>
      <c r="J42" s="1118"/>
      <c r="K42" s="1118"/>
    </row>
    <row r="43" spans="1:11">
      <c r="A43" s="228" t="s">
        <v>1823</v>
      </c>
      <c r="B43" s="1342" t="s">
        <v>1019</v>
      </c>
      <c r="C43" s="1299" t="s">
        <v>94</v>
      </c>
      <c r="D43" s="1344" t="str">
        <f t="shared" si="0"/>
        <v>ASIA|Steers/heifers</v>
      </c>
      <c r="E43" s="1299">
        <v>46</v>
      </c>
      <c r="F43" s="1299" t="s">
        <v>55</v>
      </c>
      <c r="G43" s="1299" t="s">
        <v>92</v>
      </c>
      <c r="I43" s="1118"/>
      <c r="J43" s="1118"/>
      <c r="K43" s="1118"/>
    </row>
    <row r="44" spans="1:11">
      <c r="A44" s="228" t="s">
        <v>1823</v>
      </c>
      <c r="B44" s="1342" t="s">
        <v>631</v>
      </c>
      <c r="C44" s="1299" t="s">
        <v>95</v>
      </c>
      <c r="D44" s="1344" t="str">
        <f t="shared" si="0"/>
        <v>ASIA|Calves</v>
      </c>
      <c r="E44" s="1299">
        <v>36</v>
      </c>
      <c r="F44" s="1299" t="s">
        <v>55</v>
      </c>
      <c r="G44" s="1299" t="s">
        <v>92</v>
      </c>
      <c r="I44" s="1118"/>
      <c r="J44" s="1118"/>
      <c r="K44" s="1118"/>
    </row>
    <row r="45" spans="1:11">
      <c r="A45" s="228" t="s">
        <v>1823</v>
      </c>
      <c r="B45" s="1342" t="s">
        <v>1820</v>
      </c>
      <c r="C45" s="1299" t="s">
        <v>93</v>
      </c>
      <c r="D45" s="1344" t="str">
        <f t="shared" si="0"/>
        <v>ASIA|Buffalo (dairy)</v>
      </c>
      <c r="E45" s="1299">
        <v>59</v>
      </c>
      <c r="F45" s="1299" t="s">
        <v>55</v>
      </c>
      <c r="G45" s="1299" t="s">
        <v>92</v>
      </c>
      <c r="I45" s="1118"/>
      <c r="J45" s="1118"/>
      <c r="K45" s="1118"/>
    </row>
    <row r="46" spans="1:11">
      <c r="A46" s="228" t="s">
        <v>1823</v>
      </c>
      <c r="B46" s="1342" t="s">
        <v>1771</v>
      </c>
      <c r="C46" s="1299" t="s">
        <v>95</v>
      </c>
      <c r="D46" s="1344" t="str">
        <f t="shared" si="0"/>
        <v>ASIA|Buffalo steers/heifers</v>
      </c>
      <c r="E46" s="1299">
        <v>36</v>
      </c>
      <c r="F46" s="1299" t="s">
        <v>55</v>
      </c>
      <c r="G46" s="1299" t="s">
        <v>74</v>
      </c>
      <c r="I46" s="1118"/>
      <c r="J46" s="1118"/>
      <c r="K46" s="1118"/>
    </row>
    <row r="47" spans="1:11">
      <c r="A47" s="228" t="s">
        <v>1823</v>
      </c>
      <c r="B47" s="1342" t="s">
        <v>1772</v>
      </c>
      <c r="C47" s="1299" t="s">
        <v>95</v>
      </c>
      <c r="D47" s="1344" t="str">
        <f t="shared" si="0"/>
        <v>ASIA|Buffalo calves</v>
      </c>
      <c r="E47" s="1299">
        <v>36</v>
      </c>
      <c r="F47" s="1299" t="s">
        <v>55</v>
      </c>
      <c r="G47" s="1299" t="s">
        <v>74</v>
      </c>
      <c r="I47" s="1118"/>
      <c r="J47" s="1118"/>
      <c r="K47" s="1118"/>
    </row>
    <row r="48" spans="1:11">
      <c r="A48" s="228" t="s">
        <v>1823</v>
      </c>
      <c r="B48" s="1342" t="s">
        <v>1775</v>
      </c>
      <c r="C48" s="1299" t="s">
        <v>48</v>
      </c>
      <c r="D48" s="1344" t="str">
        <f t="shared" si="0"/>
        <v>ASIA|Sheep/Goats - Ewes/Does</v>
      </c>
      <c r="E48" s="1299">
        <v>5</v>
      </c>
      <c r="F48" s="1299" t="s">
        <v>55</v>
      </c>
      <c r="G48" s="1299" t="s">
        <v>74</v>
      </c>
      <c r="I48" s="1118"/>
      <c r="J48" s="1118"/>
      <c r="K48" s="1118"/>
    </row>
    <row r="49" spans="1:36">
      <c r="A49" s="228" t="s">
        <v>1823</v>
      </c>
      <c r="B49" s="1342" t="s">
        <v>1777</v>
      </c>
      <c r="C49" s="1299" t="s">
        <v>48</v>
      </c>
      <c r="D49" s="1344" t="str">
        <f t="shared" si="0"/>
        <v>ASIA|Sheep/Goats - Breeding Rams/Bucks</v>
      </c>
      <c r="E49" s="1297">
        <v>5</v>
      </c>
      <c r="F49" s="1299" t="s">
        <v>55</v>
      </c>
      <c r="G49" s="1299" t="s">
        <v>92</v>
      </c>
      <c r="I49" s="1118"/>
      <c r="J49" s="1118"/>
      <c r="K49" s="1118"/>
    </row>
    <row r="50" spans="1:36">
      <c r="A50" s="228" t="s">
        <v>1823</v>
      </c>
      <c r="B50" s="1342" t="s">
        <v>1776</v>
      </c>
      <c r="C50" s="1299" t="s">
        <v>48</v>
      </c>
      <c r="D50" s="1344" t="str">
        <f t="shared" si="0"/>
        <v>ASIA|Sheep/Goats - Fattening Rams/Bucks</v>
      </c>
      <c r="E50" s="1297">
        <v>5</v>
      </c>
      <c r="F50" s="1299" t="s">
        <v>55</v>
      </c>
      <c r="G50" s="1299" t="s">
        <v>92</v>
      </c>
      <c r="I50" s="1118"/>
      <c r="J50" s="1118"/>
      <c r="K50" s="1118"/>
    </row>
    <row r="51" spans="1:36">
      <c r="A51" s="228" t="s">
        <v>1823</v>
      </c>
      <c r="B51" s="1342" t="s">
        <v>1778</v>
      </c>
      <c r="C51" s="1299" t="s">
        <v>48</v>
      </c>
      <c r="D51" s="1344" t="str">
        <f t="shared" si="0"/>
        <v>ASIA|Sheep/Goats - Lambs/Kids</v>
      </c>
      <c r="E51" s="1297">
        <v>5</v>
      </c>
      <c r="F51" s="1299" t="s">
        <v>55</v>
      </c>
      <c r="G51" s="1299" t="s">
        <v>92</v>
      </c>
      <c r="I51" s="1118"/>
      <c r="J51" s="1118"/>
      <c r="K51" s="1118"/>
    </row>
    <row r="52" spans="1:36">
      <c r="A52" s="228" t="s">
        <v>1823</v>
      </c>
      <c r="B52" s="1342" t="s">
        <v>1672</v>
      </c>
      <c r="C52" s="1299" t="s">
        <v>1660</v>
      </c>
      <c r="D52" s="1344" t="str">
        <f t="shared" si="0"/>
        <v>ASIA|Pigs - lactating/pregnant sows</v>
      </c>
      <c r="E52" s="1297">
        <v>1</v>
      </c>
      <c r="F52" s="1299" t="s">
        <v>55</v>
      </c>
      <c r="G52" s="1299" t="s">
        <v>74</v>
      </c>
      <c r="I52" s="1118"/>
      <c r="J52" s="1118"/>
      <c r="K52" s="1118"/>
    </row>
    <row r="53" spans="1:36">
      <c r="A53" s="228" t="s">
        <v>1823</v>
      </c>
      <c r="B53" s="1342" t="s">
        <v>1671</v>
      </c>
      <c r="C53" s="1299" t="s">
        <v>1660</v>
      </c>
      <c r="D53" s="1344" t="str">
        <f t="shared" si="0"/>
        <v>ASIA|Pigs - dry sows/boars</v>
      </c>
      <c r="E53" s="1297">
        <v>1</v>
      </c>
      <c r="F53" s="1299" t="s">
        <v>55</v>
      </c>
      <c r="G53" s="1299" t="s">
        <v>74</v>
      </c>
      <c r="I53" s="1118"/>
      <c r="J53" s="1118"/>
      <c r="K53" s="1118"/>
    </row>
    <row r="54" spans="1:36">
      <c r="A54" s="228" t="s">
        <v>1823</v>
      </c>
      <c r="B54" s="1342" t="s">
        <v>1670</v>
      </c>
      <c r="C54" s="1299" t="s">
        <v>1660</v>
      </c>
      <c r="D54" s="1344" t="str">
        <f t="shared" si="0"/>
        <v>ASIA|Pigs - growers</v>
      </c>
      <c r="E54" s="1297">
        <v>1</v>
      </c>
      <c r="F54" s="1299" t="s">
        <v>55</v>
      </c>
      <c r="G54" s="1299" t="s">
        <v>74</v>
      </c>
      <c r="I54" s="1118"/>
      <c r="J54" s="1118"/>
      <c r="K54" s="1118"/>
    </row>
    <row r="55" spans="1:36" s="1118" customFormat="1">
      <c r="A55" s="1345"/>
      <c r="B55" s="1346"/>
      <c r="C55" s="1347"/>
      <c r="D55" s="1345"/>
      <c r="E55" s="1348"/>
      <c r="F55" s="1347"/>
      <c r="G55" s="1347"/>
      <c r="H55" s="1349"/>
      <c r="I55" s="1349"/>
      <c r="N55" s="1350"/>
      <c r="AA55" s="1341"/>
      <c r="AJ55" s="1289"/>
    </row>
    <row r="56" spans="1:36">
      <c r="D56" s="1338" t="s">
        <v>1824</v>
      </c>
    </row>
    <row r="57" spans="1:36">
      <c r="D57" s="1341"/>
    </row>
    <row r="58" spans="1:36">
      <c r="A58" s="153" t="s">
        <v>1833</v>
      </c>
      <c r="C58" s="227" t="s">
        <v>283</v>
      </c>
    </row>
    <row r="59" spans="1:36">
      <c r="A59" s="1457" t="s">
        <v>1831</v>
      </c>
      <c r="B59" s="1457" t="s">
        <v>1830</v>
      </c>
      <c r="C59" s="1300" t="s">
        <v>360</v>
      </c>
    </row>
    <row r="60" spans="1:36">
      <c r="A60" s="1457"/>
      <c r="B60" s="1457"/>
      <c r="C60" s="1300" t="s">
        <v>389</v>
      </c>
    </row>
    <row r="61" spans="1:36">
      <c r="A61" s="1457"/>
      <c r="B61" s="1457"/>
      <c r="C61" s="1299" t="s">
        <v>634</v>
      </c>
    </row>
    <row r="62" spans="1:36">
      <c r="A62" s="1342" t="s">
        <v>1818</v>
      </c>
      <c r="B62" s="1300" t="s">
        <v>75</v>
      </c>
      <c r="C62" s="1300">
        <v>6.5</v>
      </c>
    </row>
    <row r="63" spans="1:36">
      <c r="A63" s="1342" t="s">
        <v>1819</v>
      </c>
      <c r="B63" s="1300" t="s">
        <v>75</v>
      </c>
      <c r="C63" s="1300">
        <v>6.5</v>
      </c>
    </row>
    <row r="64" spans="1:36">
      <c r="A64" s="1342" t="s">
        <v>1068</v>
      </c>
      <c r="B64" s="175" t="s">
        <v>1832</v>
      </c>
      <c r="C64" s="1300">
        <v>6.5</v>
      </c>
    </row>
    <row r="65" spans="1:14">
      <c r="A65" s="1342" t="s">
        <v>1019</v>
      </c>
      <c r="B65" s="1343" t="s">
        <v>1832</v>
      </c>
      <c r="C65" s="1300">
        <v>6.5</v>
      </c>
    </row>
    <row r="66" spans="1:14">
      <c r="A66" s="1342" t="s">
        <v>631</v>
      </c>
      <c r="B66" s="1343" t="s">
        <v>1832</v>
      </c>
      <c r="C66" s="1300">
        <v>6.5</v>
      </c>
    </row>
    <row r="67" spans="1:14">
      <c r="A67" s="1342" t="s">
        <v>1820</v>
      </c>
      <c r="B67" s="1300" t="s">
        <v>1834</v>
      </c>
      <c r="C67" s="1300">
        <v>6.5</v>
      </c>
    </row>
    <row r="68" spans="1:14">
      <c r="A68" s="1342" t="s">
        <v>1771</v>
      </c>
      <c r="B68" s="1300" t="s">
        <v>1834</v>
      </c>
      <c r="C68" s="1300">
        <v>6.5</v>
      </c>
    </row>
    <row r="69" spans="1:14">
      <c r="A69" s="1342" t="s">
        <v>1772</v>
      </c>
      <c r="B69" s="1300" t="s">
        <v>1834</v>
      </c>
      <c r="C69" s="1300">
        <v>6.5</v>
      </c>
    </row>
    <row r="70" spans="1:14">
      <c r="A70" s="1342" t="s">
        <v>1775</v>
      </c>
      <c r="B70" s="1300" t="s">
        <v>633</v>
      </c>
      <c r="C70" s="1300">
        <v>6.5</v>
      </c>
    </row>
    <row r="71" spans="1:14">
      <c r="A71" s="1342" t="s">
        <v>1777</v>
      </c>
      <c r="B71" s="1300" t="s">
        <v>633</v>
      </c>
      <c r="C71" s="1300">
        <v>6.5</v>
      </c>
    </row>
    <row r="72" spans="1:14">
      <c r="A72" s="1342" t="s">
        <v>1776</v>
      </c>
      <c r="B72" s="1300" t="s">
        <v>633</v>
      </c>
      <c r="C72" s="1300">
        <v>6.5</v>
      </c>
    </row>
    <row r="73" spans="1:14">
      <c r="A73" s="1342" t="s">
        <v>1778</v>
      </c>
      <c r="B73" s="1300" t="s">
        <v>632</v>
      </c>
      <c r="C73" s="1300">
        <v>4.5</v>
      </c>
    </row>
    <row r="74" spans="1:14">
      <c r="A74" s="1342" t="s">
        <v>1672</v>
      </c>
      <c r="B74" s="1300" t="s">
        <v>1144</v>
      </c>
      <c r="C74" s="1300">
        <v>0</v>
      </c>
    </row>
    <row r="75" spans="1:14">
      <c r="A75" s="1342" t="s">
        <v>1671</v>
      </c>
      <c r="B75" s="1300" t="s">
        <v>1144</v>
      </c>
      <c r="C75" s="1300">
        <v>0</v>
      </c>
    </row>
    <row r="76" spans="1:14">
      <c r="A76" s="1342" t="s">
        <v>1670</v>
      </c>
      <c r="B76" s="1300" t="s">
        <v>1144</v>
      </c>
      <c r="C76" s="1300">
        <v>0</v>
      </c>
    </row>
    <row r="77" spans="1:14" ht="31.5">
      <c r="A77" s="1064" t="s">
        <v>1593</v>
      </c>
      <c r="B77" s="1065">
        <v>6.5</v>
      </c>
    </row>
    <row r="79" spans="1:14">
      <c r="A79" s="228" t="s">
        <v>1828</v>
      </c>
      <c r="B79" s="1299" t="s">
        <v>1831</v>
      </c>
      <c r="C79" s="1299" t="s">
        <v>1830</v>
      </c>
      <c r="D79" s="228" t="s">
        <v>1829</v>
      </c>
      <c r="E79" s="228" t="s">
        <v>52</v>
      </c>
      <c r="F79" s="228" t="s">
        <v>51</v>
      </c>
      <c r="G79" s="228" t="s">
        <v>50</v>
      </c>
    </row>
    <row r="80" spans="1:14">
      <c r="A80" s="228" t="s">
        <v>1642</v>
      </c>
      <c r="B80" s="1342" t="s">
        <v>1818</v>
      </c>
      <c r="C80" s="1300" t="s">
        <v>60</v>
      </c>
      <c r="D80" s="1344" t="str">
        <f>A80 &amp;"|" &amp;B80</f>
        <v>LATIN AMERICA|Cows (local)</v>
      </c>
      <c r="E80" s="228">
        <v>1</v>
      </c>
      <c r="F80" s="228">
        <v>1</v>
      </c>
      <c r="G80" s="228">
        <v>2</v>
      </c>
      <c r="I80" s="145" t="s">
        <v>73</v>
      </c>
      <c r="N80" s="145"/>
    </row>
    <row r="81" spans="1:30">
      <c r="A81" s="228" t="s">
        <v>1642</v>
      </c>
      <c r="B81" s="1342" t="s">
        <v>1819</v>
      </c>
      <c r="C81" s="1300" t="s">
        <v>60</v>
      </c>
      <c r="D81" s="1344" t="str">
        <f t="shared" ref="D81:D124" si="1">A81 &amp;"|" &amp;B81</f>
        <v>LATIN AMERICA|Cows (improved)</v>
      </c>
      <c r="E81" s="228">
        <v>1</v>
      </c>
      <c r="F81" s="228">
        <v>1</v>
      </c>
      <c r="G81" s="228">
        <v>2</v>
      </c>
      <c r="I81" s="145" t="s">
        <v>72</v>
      </c>
      <c r="N81" s="145"/>
    </row>
    <row r="82" spans="1:30">
      <c r="A82" s="228" t="s">
        <v>1642</v>
      </c>
      <c r="B82" s="1342" t="s">
        <v>1068</v>
      </c>
      <c r="C82" s="1300" t="s">
        <v>59</v>
      </c>
      <c r="D82" s="1344" t="str">
        <f t="shared" si="1"/>
        <v>LATIN AMERICA|Adult cattle - male</v>
      </c>
      <c r="E82" s="228">
        <v>1</v>
      </c>
      <c r="F82" s="228">
        <v>1</v>
      </c>
      <c r="G82" s="228">
        <v>1</v>
      </c>
      <c r="I82" s="145" t="s">
        <v>71</v>
      </c>
      <c r="N82" s="145"/>
    </row>
    <row r="83" spans="1:30">
      <c r="A83" s="228" t="s">
        <v>1642</v>
      </c>
      <c r="B83" s="1342" t="s">
        <v>1019</v>
      </c>
      <c r="C83" s="1300" t="s">
        <v>59</v>
      </c>
      <c r="D83" s="1344" t="str">
        <f t="shared" si="1"/>
        <v>LATIN AMERICA|Steers/heifers</v>
      </c>
      <c r="E83" s="228">
        <v>1</v>
      </c>
      <c r="F83" s="228">
        <v>1</v>
      </c>
      <c r="G83" s="228">
        <v>1</v>
      </c>
      <c r="I83" s="145" t="s">
        <v>55</v>
      </c>
      <c r="N83" s="145"/>
    </row>
    <row r="84" spans="1:30">
      <c r="A84" s="228" t="s">
        <v>1642</v>
      </c>
      <c r="B84" s="1342" t="s">
        <v>631</v>
      </c>
      <c r="C84" s="1300" t="s">
        <v>59</v>
      </c>
      <c r="D84" s="1344" t="str">
        <f t="shared" si="1"/>
        <v>LATIN AMERICA|Calves</v>
      </c>
      <c r="E84" s="228">
        <v>1</v>
      </c>
      <c r="F84" s="228">
        <v>1</v>
      </c>
      <c r="G84" s="228">
        <v>1</v>
      </c>
      <c r="L84" s="145" t="s">
        <v>70</v>
      </c>
      <c r="N84" s="145"/>
    </row>
    <row r="85" spans="1:30">
      <c r="A85" s="228" t="s">
        <v>1642</v>
      </c>
      <c r="B85" s="1342" t="s">
        <v>1820</v>
      </c>
      <c r="C85" s="1300" t="s">
        <v>59</v>
      </c>
      <c r="D85" s="1344" t="str">
        <f t="shared" si="1"/>
        <v>LATIN AMERICA|Buffalo (dairy)</v>
      </c>
      <c r="E85" s="228">
        <v>1</v>
      </c>
      <c r="F85" s="228">
        <v>1</v>
      </c>
      <c r="G85" s="228">
        <v>2</v>
      </c>
      <c r="I85" s="175" t="s">
        <v>69</v>
      </c>
      <c r="J85" s="175" t="s">
        <v>68</v>
      </c>
      <c r="K85" s="1300" t="s">
        <v>67</v>
      </c>
      <c r="L85" s="1504" t="s">
        <v>66</v>
      </c>
      <c r="M85" s="1505"/>
      <c r="N85" s="1505"/>
      <c r="O85" s="1505"/>
      <c r="P85" s="1510"/>
      <c r="Q85" s="1302"/>
      <c r="R85" s="1302"/>
      <c r="S85" s="1302"/>
      <c r="T85" s="1302"/>
      <c r="U85" s="1302" t="s">
        <v>65</v>
      </c>
      <c r="V85" s="1302"/>
      <c r="W85" s="1302"/>
      <c r="X85" s="1302"/>
      <c r="Y85" s="1302"/>
      <c r="Z85" s="1302"/>
      <c r="AA85" s="1156"/>
      <c r="AB85" s="1301" t="s">
        <v>64</v>
      </c>
      <c r="AC85" s="1302"/>
      <c r="AD85" s="1156"/>
    </row>
    <row r="86" spans="1:30">
      <c r="A86" s="228" t="s">
        <v>1642</v>
      </c>
      <c r="B86" s="1342" t="s">
        <v>1771</v>
      </c>
      <c r="C86" s="1300" t="s">
        <v>59</v>
      </c>
      <c r="D86" s="1344" t="str">
        <f t="shared" si="1"/>
        <v>LATIN AMERICA|Buffalo steers/heifers</v>
      </c>
      <c r="E86" s="228">
        <v>1</v>
      </c>
      <c r="F86" s="228">
        <v>1</v>
      </c>
      <c r="G86" s="228">
        <v>2</v>
      </c>
      <c r="I86" s="1457" t="s">
        <v>96</v>
      </c>
      <c r="J86" s="1492" t="s">
        <v>61</v>
      </c>
      <c r="K86" s="1300"/>
      <c r="L86" s="249" t="s">
        <v>63</v>
      </c>
      <c r="M86" s="1300">
        <v>11</v>
      </c>
      <c r="N86" s="1300">
        <v>12</v>
      </c>
      <c r="O86" s="1300">
        <v>13</v>
      </c>
      <c r="P86" s="1300">
        <v>14</v>
      </c>
      <c r="Q86" s="1300">
        <v>15</v>
      </c>
      <c r="R86" s="1300">
        <v>16</v>
      </c>
      <c r="S86" s="1300">
        <v>17</v>
      </c>
      <c r="T86" s="1300">
        <v>18</v>
      </c>
      <c r="U86" s="1300">
        <v>19</v>
      </c>
      <c r="V86" s="1300">
        <v>20</v>
      </c>
      <c r="W86" s="1300">
        <v>21</v>
      </c>
      <c r="X86" s="1300">
        <v>22</v>
      </c>
      <c r="Y86" s="1300">
        <v>23</v>
      </c>
      <c r="Z86" s="1300">
        <v>24</v>
      </c>
      <c r="AA86" s="1300">
        <v>25</v>
      </c>
      <c r="AB86" s="1300">
        <v>26</v>
      </c>
      <c r="AC86" s="1300">
        <v>27</v>
      </c>
      <c r="AD86" s="249" t="s">
        <v>62</v>
      </c>
    </row>
    <row r="87" spans="1:30" ht="15" customHeight="1">
      <c r="A87" s="228" t="s">
        <v>1642</v>
      </c>
      <c r="B87" s="1342" t="s">
        <v>1772</v>
      </c>
      <c r="C87" s="1300" t="s">
        <v>59</v>
      </c>
      <c r="D87" s="1344" t="str">
        <f t="shared" si="1"/>
        <v>LATIN AMERICA|Buffalo calves</v>
      </c>
      <c r="E87" s="228">
        <v>1</v>
      </c>
      <c r="F87" s="228">
        <v>1</v>
      </c>
      <c r="G87" s="228">
        <v>2</v>
      </c>
      <c r="I87" s="1457"/>
      <c r="J87" s="1492"/>
      <c r="K87" s="1300" t="s">
        <v>60</v>
      </c>
      <c r="L87" s="1339">
        <v>1</v>
      </c>
      <c r="M87" s="1339">
        <v>1</v>
      </c>
      <c r="N87" s="1339">
        <v>1</v>
      </c>
      <c r="O87" s="1339">
        <v>1</v>
      </c>
      <c r="P87" s="1339">
        <v>1</v>
      </c>
      <c r="Q87" s="1339">
        <v>1</v>
      </c>
      <c r="R87" s="1339">
        <v>1</v>
      </c>
      <c r="S87" s="1339">
        <v>1</v>
      </c>
      <c r="T87" s="1339">
        <v>1</v>
      </c>
      <c r="U87" s="1339">
        <v>1</v>
      </c>
      <c r="V87" s="1339">
        <v>1</v>
      </c>
      <c r="W87" s="1339">
        <v>1</v>
      </c>
      <c r="X87" s="1339">
        <v>1</v>
      </c>
      <c r="Y87" s="1339">
        <v>1</v>
      </c>
      <c r="Z87" s="1339">
        <v>1</v>
      </c>
      <c r="AA87" s="1339">
        <v>1</v>
      </c>
      <c r="AB87" s="1339">
        <v>1</v>
      </c>
      <c r="AC87" s="1339">
        <v>1</v>
      </c>
      <c r="AD87" s="1339">
        <v>1</v>
      </c>
    </row>
    <row r="88" spans="1:30">
      <c r="A88" s="228" t="s">
        <v>1642</v>
      </c>
      <c r="B88" s="1342" t="s">
        <v>1775</v>
      </c>
      <c r="C88" s="228" t="s">
        <v>49</v>
      </c>
      <c r="D88" s="1344" t="str">
        <f t="shared" si="1"/>
        <v>LATIN AMERICA|Sheep/Goats - Ewes/Does</v>
      </c>
      <c r="E88" s="228">
        <v>0.1</v>
      </c>
      <c r="F88" s="228">
        <v>0.15</v>
      </c>
      <c r="G88" s="228">
        <v>0.2</v>
      </c>
      <c r="I88" s="1457"/>
      <c r="J88" s="1492"/>
      <c r="K88" s="1300" t="s">
        <v>59</v>
      </c>
      <c r="L88" s="1339">
        <v>0</v>
      </c>
      <c r="M88" s="1339">
        <v>0</v>
      </c>
      <c r="N88" s="1339">
        <v>0</v>
      </c>
      <c r="O88" s="1339">
        <v>0</v>
      </c>
      <c r="P88" s="1339">
        <v>0</v>
      </c>
      <c r="Q88" s="1339">
        <v>1</v>
      </c>
      <c r="R88" s="1339">
        <v>1</v>
      </c>
      <c r="S88" s="1339">
        <v>1</v>
      </c>
      <c r="T88" s="1339">
        <v>1</v>
      </c>
      <c r="U88" s="1339">
        <v>1</v>
      </c>
      <c r="V88" s="1339">
        <v>1</v>
      </c>
      <c r="W88" s="1339">
        <v>1</v>
      </c>
      <c r="X88" s="1339">
        <v>1</v>
      </c>
      <c r="Y88" s="1339">
        <v>1</v>
      </c>
      <c r="Z88" s="1339">
        <v>1</v>
      </c>
      <c r="AA88" s="1339">
        <v>1</v>
      </c>
      <c r="AB88" s="1339">
        <v>1</v>
      </c>
      <c r="AC88" s="1339">
        <v>1</v>
      </c>
      <c r="AD88" s="1339">
        <v>1</v>
      </c>
    </row>
    <row r="89" spans="1:30">
      <c r="A89" s="228" t="s">
        <v>1642</v>
      </c>
      <c r="B89" s="1342" t="s">
        <v>1777</v>
      </c>
      <c r="C89" s="228" t="s">
        <v>49</v>
      </c>
      <c r="D89" s="1344" t="str">
        <f t="shared" si="1"/>
        <v>LATIN AMERICA|Sheep/Goats - Breeding Rams/Bucks</v>
      </c>
      <c r="E89" s="228">
        <v>0.1</v>
      </c>
      <c r="F89" s="228">
        <v>0.15</v>
      </c>
      <c r="G89" s="228">
        <v>0.2</v>
      </c>
      <c r="I89" s="1457"/>
      <c r="J89" s="1492"/>
      <c r="K89" s="1300" t="s">
        <v>1661</v>
      </c>
      <c r="L89" s="1339">
        <v>0</v>
      </c>
      <c r="M89" s="1339">
        <v>0</v>
      </c>
      <c r="N89" s="1339">
        <v>0</v>
      </c>
      <c r="O89" s="1339">
        <v>1</v>
      </c>
      <c r="P89" s="1339">
        <v>1</v>
      </c>
      <c r="Q89" s="1339">
        <v>1</v>
      </c>
      <c r="R89" s="1339">
        <v>1</v>
      </c>
      <c r="S89" s="1339">
        <v>1</v>
      </c>
      <c r="T89" s="1339">
        <v>1</v>
      </c>
      <c r="U89" s="1339">
        <v>1</v>
      </c>
      <c r="V89" s="1339">
        <v>1</v>
      </c>
      <c r="W89" s="1339">
        <v>1</v>
      </c>
      <c r="X89" s="1339">
        <v>1</v>
      </c>
      <c r="Y89" s="1339">
        <v>1</v>
      </c>
      <c r="Z89" s="1339">
        <v>1</v>
      </c>
      <c r="AA89" s="1339">
        <v>1</v>
      </c>
      <c r="AB89" s="1339">
        <v>1</v>
      </c>
      <c r="AC89" s="1339">
        <v>1</v>
      </c>
      <c r="AD89" s="1339">
        <v>2</v>
      </c>
    </row>
    <row r="90" spans="1:30" ht="15.75" customHeight="1">
      <c r="A90" s="228" t="s">
        <v>1642</v>
      </c>
      <c r="B90" s="1342" t="s">
        <v>1776</v>
      </c>
      <c r="C90" s="228" t="s">
        <v>49</v>
      </c>
      <c r="D90" s="1344" t="str">
        <f t="shared" si="1"/>
        <v>LATIN AMERICA|Sheep/Goats - Fattening Rams/Bucks</v>
      </c>
      <c r="E90" s="228">
        <v>0.1</v>
      </c>
      <c r="F90" s="228">
        <v>0.15</v>
      </c>
      <c r="G90" s="228">
        <v>0.2</v>
      </c>
      <c r="I90" s="1457" t="s">
        <v>1642</v>
      </c>
      <c r="J90" s="1493" t="s">
        <v>1825</v>
      </c>
      <c r="K90" s="228" t="s">
        <v>60</v>
      </c>
      <c r="L90" s="1340">
        <v>1</v>
      </c>
      <c r="M90" s="1340">
        <v>1</v>
      </c>
      <c r="N90" s="1340">
        <v>1</v>
      </c>
      <c r="O90" s="1340">
        <v>1</v>
      </c>
      <c r="P90" s="1340">
        <v>1</v>
      </c>
      <c r="Q90" s="1339">
        <v>1</v>
      </c>
      <c r="R90" s="1339">
        <v>1</v>
      </c>
      <c r="S90" s="1339">
        <v>1</v>
      </c>
      <c r="T90" s="1339">
        <v>1</v>
      </c>
      <c r="U90" s="1339">
        <v>1</v>
      </c>
      <c r="V90" s="1339">
        <v>1</v>
      </c>
      <c r="W90" s="1339">
        <v>1</v>
      </c>
      <c r="X90" s="1339">
        <v>1</v>
      </c>
      <c r="Y90" s="1340">
        <v>1</v>
      </c>
      <c r="Z90" s="1340">
        <v>1</v>
      </c>
      <c r="AA90" s="1340">
        <v>1</v>
      </c>
      <c r="AB90" s="1339">
        <v>2</v>
      </c>
      <c r="AC90" s="1339">
        <v>2</v>
      </c>
      <c r="AD90" s="1339">
        <v>2</v>
      </c>
    </row>
    <row r="91" spans="1:30">
      <c r="A91" s="228" t="s">
        <v>1642</v>
      </c>
      <c r="B91" s="1342" t="s">
        <v>1778</v>
      </c>
      <c r="C91" s="228" t="s">
        <v>49</v>
      </c>
      <c r="D91" s="1344" t="str">
        <f t="shared" si="1"/>
        <v>LATIN AMERICA|Sheep/Goats - Lambs/Kids</v>
      </c>
      <c r="E91" s="228">
        <v>0.1</v>
      </c>
      <c r="F91" s="228">
        <v>0.15</v>
      </c>
      <c r="G91" s="228">
        <v>0.2</v>
      </c>
      <c r="I91" s="1457"/>
      <c r="J91" s="1494"/>
      <c r="K91" s="228" t="s">
        <v>59</v>
      </c>
      <c r="L91" s="1340">
        <v>1</v>
      </c>
      <c r="M91" s="1340">
        <v>1</v>
      </c>
      <c r="N91" s="1340">
        <v>1</v>
      </c>
      <c r="O91" s="1340">
        <v>1</v>
      </c>
      <c r="P91" s="1340">
        <v>1</v>
      </c>
      <c r="Q91" s="1339">
        <v>1</v>
      </c>
      <c r="R91" s="1339">
        <v>1</v>
      </c>
      <c r="S91" s="1339">
        <v>1</v>
      </c>
      <c r="T91" s="1339">
        <v>1</v>
      </c>
      <c r="U91" s="1339">
        <v>1</v>
      </c>
      <c r="V91" s="1339">
        <v>1</v>
      </c>
      <c r="W91" s="1339">
        <v>1</v>
      </c>
      <c r="X91" s="1339">
        <v>1</v>
      </c>
      <c r="Y91" s="1340">
        <v>1</v>
      </c>
      <c r="Z91" s="1340">
        <v>1</v>
      </c>
      <c r="AA91" s="1340">
        <v>1</v>
      </c>
      <c r="AB91" s="1339">
        <v>1</v>
      </c>
      <c r="AC91" s="1339">
        <v>1</v>
      </c>
      <c r="AD91" s="1339">
        <v>1</v>
      </c>
    </row>
    <row r="92" spans="1:30">
      <c r="A92" s="228" t="s">
        <v>1642</v>
      </c>
      <c r="B92" s="1342" t="s">
        <v>1672</v>
      </c>
      <c r="C92" s="1300" t="s">
        <v>1661</v>
      </c>
      <c r="D92" s="1344" t="str">
        <f t="shared" si="1"/>
        <v>LATIN AMERICA|Pigs - lactating/pregnant sows</v>
      </c>
      <c r="E92" s="228">
        <v>1</v>
      </c>
      <c r="F92" s="228">
        <v>1</v>
      </c>
      <c r="G92" s="228">
        <v>2</v>
      </c>
      <c r="I92" s="1457"/>
      <c r="J92" s="1494"/>
      <c r="K92" s="228" t="s">
        <v>1661</v>
      </c>
      <c r="L92" s="1340">
        <v>1</v>
      </c>
      <c r="M92" s="1340">
        <v>1</v>
      </c>
      <c r="N92" s="1340">
        <v>1</v>
      </c>
      <c r="O92" s="1340">
        <v>1</v>
      </c>
      <c r="P92" s="1340">
        <v>1</v>
      </c>
      <c r="Q92" s="1339">
        <v>1</v>
      </c>
      <c r="R92" s="1339">
        <v>1</v>
      </c>
      <c r="S92" s="1339">
        <v>1</v>
      </c>
      <c r="T92" s="1339">
        <v>1</v>
      </c>
      <c r="U92" s="1339">
        <v>1</v>
      </c>
      <c r="V92" s="1339">
        <v>1</v>
      </c>
      <c r="W92" s="1339">
        <v>1</v>
      </c>
      <c r="X92" s="1339">
        <v>1</v>
      </c>
      <c r="Y92" s="1340">
        <v>1</v>
      </c>
      <c r="Z92" s="1340">
        <v>1</v>
      </c>
      <c r="AA92" s="1340">
        <v>1</v>
      </c>
      <c r="AB92" s="1339">
        <v>2</v>
      </c>
      <c r="AC92" s="1339">
        <v>2</v>
      </c>
      <c r="AD92" s="1339">
        <v>2</v>
      </c>
    </row>
    <row r="93" spans="1:30">
      <c r="A93" s="228" t="s">
        <v>1642</v>
      </c>
      <c r="B93" s="1342" t="s">
        <v>1671</v>
      </c>
      <c r="C93" s="1300" t="s">
        <v>1661</v>
      </c>
      <c r="D93" s="1344" t="str">
        <f t="shared" si="1"/>
        <v>LATIN AMERICA|Pigs - dry sows/boars</v>
      </c>
      <c r="E93" s="228">
        <v>1</v>
      </c>
      <c r="F93" s="228">
        <v>1</v>
      </c>
      <c r="G93" s="228">
        <v>2</v>
      </c>
      <c r="I93" s="1457"/>
      <c r="J93" s="1495"/>
      <c r="K93" s="228" t="s">
        <v>1822</v>
      </c>
      <c r="L93" s="1340">
        <v>1</v>
      </c>
      <c r="M93" s="1340">
        <v>1</v>
      </c>
      <c r="N93" s="1340">
        <v>1</v>
      </c>
      <c r="O93" s="1340">
        <v>1</v>
      </c>
      <c r="P93" s="1340">
        <v>1</v>
      </c>
      <c r="Q93" s="1339">
        <v>1</v>
      </c>
      <c r="R93" s="1339">
        <v>1</v>
      </c>
      <c r="S93" s="1339">
        <v>1</v>
      </c>
      <c r="T93" s="1339">
        <v>1</v>
      </c>
      <c r="U93" s="1339">
        <v>1</v>
      </c>
      <c r="V93" s="1339">
        <v>1</v>
      </c>
      <c r="W93" s="1339">
        <v>1</v>
      </c>
      <c r="X93" s="1339">
        <v>1</v>
      </c>
      <c r="Y93" s="1340">
        <v>1</v>
      </c>
      <c r="Z93" s="1340">
        <v>1</v>
      </c>
      <c r="AA93" s="1340">
        <v>1</v>
      </c>
      <c r="AB93" s="1339">
        <v>2</v>
      </c>
      <c r="AC93" s="1339">
        <v>2</v>
      </c>
      <c r="AD93" s="1339">
        <v>2</v>
      </c>
    </row>
    <row r="94" spans="1:30">
      <c r="A94" s="228" t="s">
        <v>1642</v>
      </c>
      <c r="B94" s="1342" t="s">
        <v>1670</v>
      </c>
      <c r="C94" s="1300" t="s">
        <v>1661</v>
      </c>
      <c r="D94" s="1344" t="str">
        <f t="shared" si="1"/>
        <v>LATIN AMERICA|Pigs - growers</v>
      </c>
      <c r="E94" s="228">
        <v>1</v>
      </c>
      <c r="F94" s="228">
        <v>1</v>
      </c>
      <c r="G94" s="228">
        <v>2</v>
      </c>
      <c r="I94" s="1457" t="s">
        <v>1823</v>
      </c>
      <c r="J94" s="1509" t="s">
        <v>1826</v>
      </c>
      <c r="K94" s="228" t="s">
        <v>60</v>
      </c>
      <c r="L94" s="1340">
        <v>9</v>
      </c>
      <c r="M94" s="1340">
        <v>10</v>
      </c>
      <c r="N94" s="1340">
        <v>10</v>
      </c>
      <c r="O94" s="1340">
        <v>11</v>
      </c>
      <c r="P94" s="1340">
        <v>12</v>
      </c>
      <c r="Q94" s="1340">
        <v>13</v>
      </c>
      <c r="R94" s="1340">
        <v>14</v>
      </c>
      <c r="S94" s="1340">
        <v>15</v>
      </c>
      <c r="T94" s="1340">
        <v>16</v>
      </c>
      <c r="U94" s="1340">
        <v>17</v>
      </c>
      <c r="V94" s="1340">
        <v>18</v>
      </c>
      <c r="W94" s="1340">
        <v>20</v>
      </c>
      <c r="X94" s="1340">
        <v>21</v>
      </c>
      <c r="Y94" s="1340">
        <v>23</v>
      </c>
      <c r="Z94" s="1340">
        <v>24</v>
      </c>
      <c r="AA94" s="1340">
        <v>26</v>
      </c>
      <c r="AB94" s="1340">
        <v>28</v>
      </c>
      <c r="AC94" s="1340">
        <v>31</v>
      </c>
      <c r="AD94" s="1340">
        <v>31</v>
      </c>
    </row>
    <row r="95" spans="1:30">
      <c r="A95" s="1299" t="s">
        <v>96</v>
      </c>
      <c r="B95" s="1342" t="s">
        <v>1818</v>
      </c>
      <c r="C95" s="1300" t="s">
        <v>60</v>
      </c>
      <c r="D95" s="1344" t="str">
        <f t="shared" si="1"/>
        <v>AFRICA|Cows (local)</v>
      </c>
      <c r="E95" s="228">
        <v>1</v>
      </c>
      <c r="F95" s="228">
        <v>1</v>
      </c>
      <c r="G95" s="228">
        <v>1</v>
      </c>
      <c r="I95" s="1457"/>
      <c r="J95" s="1509"/>
      <c r="K95" s="228" t="s">
        <v>59</v>
      </c>
      <c r="L95" s="1340">
        <v>1</v>
      </c>
      <c r="M95" s="1340">
        <v>1</v>
      </c>
      <c r="N95" s="1340">
        <v>1</v>
      </c>
      <c r="O95" s="1340">
        <v>1</v>
      </c>
      <c r="P95" s="1340">
        <v>1</v>
      </c>
      <c r="Q95" s="1340">
        <v>1</v>
      </c>
      <c r="R95" s="1340">
        <v>1</v>
      </c>
      <c r="S95" s="1340">
        <v>1</v>
      </c>
      <c r="T95" s="1340">
        <v>1</v>
      </c>
      <c r="U95" s="1340">
        <v>1</v>
      </c>
      <c r="V95" s="1340">
        <v>1</v>
      </c>
      <c r="W95" s="1340">
        <v>1</v>
      </c>
      <c r="X95" s="1340">
        <v>1</v>
      </c>
      <c r="Y95" s="1340">
        <v>1</v>
      </c>
      <c r="Z95" s="1340">
        <v>1</v>
      </c>
      <c r="AA95" s="1340">
        <v>1</v>
      </c>
      <c r="AB95" s="1339">
        <v>1</v>
      </c>
      <c r="AC95" s="1339">
        <v>1</v>
      </c>
      <c r="AD95" s="1339">
        <v>1</v>
      </c>
    </row>
    <row r="96" spans="1:30">
      <c r="A96" s="1299" t="s">
        <v>96</v>
      </c>
      <c r="B96" s="1342" t="s">
        <v>1819</v>
      </c>
      <c r="C96" s="1300" t="s">
        <v>60</v>
      </c>
      <c r="D96" s="1344" t="str">
        <f t="shared" si="1"/>
        <v>AFRICA|Cows (improved)</v>
      </c>
      <c r="E96" s="228">
        <v>1</v>
      </c>
      <c r="F96" s="228">
        <v>1</v>
      </c>
      <c r="G96" s="228">
        <v>1</v>
      </c>
      <c r="I96" s="1457"/>
      <c r="J96" s="1509"/>
      <c r="K96" s="228" t="s">
        <v>1661</v>
      </c>
      <c r="L96" s="1340">
        <v>2</v>
      </c>
      <c r="M96" s="1340">
        <v>2</v>
      </c>
      <c r="N96" s="1340">
        <v>2</v>
      </c>
      <c r="O96" s="1340">
        <v>2</v>
      </c>
      <c r="P96" s="1340">
        <v>2</v>
      </c>
      <c r="Q96" s="1340">
        <v>3</v>
      </c>
      <c r="R96" s="1340">
        <v>3</v>
      </c>
      <c r="S96" s="1340">
        <v>3</v>
      </c>
      <c r="T96" s="1340">
        <v>3</v>
      </c>
      <c r="U96" s="1340">
        <v>4</v>
      </c>
      <c r="V96" s="1340">
        <v>4</v>
      </c>
      <c r="W96" s="1340">
        <v>5</v>
      </c>
      <c r="X96" s="1340">
        <v>5</v>
      </c>
      <c r="Y96" s="1340">
        <v>5</v>
      </c>
      <c r="Z96" s="1340">
        <v>5</v>
      </c>
      <c r="AA96" s="1340">
        <v>6</v>
      </c>
      <c r="AB96" s="1340">
        <v>6</v>
      </c>
      <c r="AC96" s="1340">
        <v>7</v>
      </c>
      <c r="AD96" s="1340">
        <v>7</v>
      </c>
    </row>
    <row r="97" spans="1:30">
      <c r="A97" s="1299" t="s">
        <v>96</v>
      </c>
      <c r="B97" s="1342" t="s">
        <v>1068</v>
      </c>
      <c r="C97" s="1300" t="s">
        <v>59</v>
      </c>
      <c r="D97" s="1344" t="str">
        <f t="shared" si="1"/>
        <v>AFRICA|Adult cattle - male</v>
      </c>
      <c r="E97" s="228">
        <v>0</v>
      </c>
      <c r="F97" s="228">
        <v>1</v>
      </c>
      <c r="G97" s="228">
        <v>1</v>
      </c>
      <c r="I97" s="1457"/>
      <c r="J97" s="1509"/>
      <c r="K97" s="228" t="s">
        <v>1822</v>
      </c>
      <c r="L97" s="1340">
        <v>1</v>
      </c>
      <c r="M97" s="1340">
        <v>1</v>
      </c>
      <c r="N97" s="1340">
        <v>1</v>
      </c>
      <c r="O97" s="1340">
        <v>1</v>
      </c>
      <c r="P97" s="1340">
        <v>1</v>
      </c>
      <c r="Q97" s="1340">
        <v>2</v>
      </c>
      <c r="R97" s="1340">
        <v>2</v>
      </c>
      <c r="S97" s="1340">
        <v>2</v>
      </c>
      <c r="T97" s="1340">
        <v>2</v>
      </c>
      <c r="U97" s="1340">
        <v>2</v>
      </c>
      <c r="V97" s="1340">
        <v>2</v>
      </c>
      <c r="W97" s="1340">
        <v>2</v>
      </c>
      <c r="X97" s="1340">
        <v>2</v>
      </c>
      <c r="Y97" s="1340">
        <v>2</v>
      </c>
      <c r="Z97" s="1340">
        <v>2</v>
      </c>
      <c r="AA97" s="1340">
        <v>2</v>
      </c>
      <c r="AB97" s="1340">
        <v>2</v>
      </c>
      <c r="AC97" s="1340">
        <v>2</v>
      </c>
      <c r="AD97" s="1340">
        <v>2</v>
      </c>
    </row>
    <row r="98" spans="1:30">
      <c r="A98" s="1299" t="s">
        <v>96</v>
      </c>
      <c r="B98" s="1342" t="s">
        <v>1019</v>
      </c>
      <c r="C98" s="1300" t="s">
        <v>59</v>
      </c>
      <c r="D98" s="1344" t="str">
        <f t="shared" si="1"/>
        <v>AFRICA|Steers/heifers</v>
      </c>
      <c r="E98" s="228">
        <v>0</v>
      </c>
      <c r="F98" s="228">
        <v>1</v>
      </c>
      <c r="G98" s="228">
        <v>1</v>
      </c>
      <c r="N98" s="145"/>
    </row>
    <row r="99" spans="1:30" ht="21" customHeight="1">
      <c r="A99" s="1299" t="s">
        <v>96</v>
      </c>
      <c r="B99" s="1342" t="s">
        <v>631</v>
      </c>
      <c r="C99" s="1300" t="s">
        <v>59</v>
      </c>
      <c r="D99" s="1344" t="str">
        <f t="shared" si="1"/>
        <v>AFRICA|Calves</v>
      </c>
      <c r="E99" s="228">
        <v>0</v>
      </c>
      <c r="F99" s="228">
        <v>1</v>
      </c>
      <c r="G99" s="228">
        <v>1</v>
      </c>
      <c r="I99" s="145" t="s">
        <v>58</v>
      </c>
      <c r="N99" s="145"/>
    </row>
    <row r="100" spans="1:30">
      <c r="A100" s="1299" t="s">
        <v>96</v>
      </c>
      <c r="B100" s="1342" t="s">
        <v>1820</v>
      </c>
      <c r="C100" s="1300" t="s">
        <v>59</v>
      </c>
      <c r="D100" s="1344" t="str">
        <f t="shared" si="1"/>
        <v>AFRICA|Buffalo (dairy)</v>
      </c>
      <c r="E100" s="228">
        <v>0</v>
      </c>
      <c r="F100" s="228">
        <v>1</v>
      </c>
      <c r="G100" s="228">
        <v>1</v>
      </c>
      <c r="I100" s="145" t="s">
        <v>57</v>
      </c>
      <c r="N100" s="145"/>
    </row>
    <row r="101" spans="1:30">
      <c r="A101" s="1299" t="s">
        <v>96</v>
      </c>
      <c r="B101" s="1342" t="s">
        <v>1771</v>
      </c>
      <c r="C101" s="1300" t="s">
        <v>59</v>
      </c>
      <c r="D101" s="1344" t="str">
        <f t="shared" si="1"/>
        <v>AFRICA|Buffalo steers/heifers</v>
      </c>
      <c r="E101" s="228">
        <v>0</v>
      </c>
      <c r="F101" s="228">
        <v>1</v>
      </c>
      <c r="G101" s="228">
        <v>1</v>
      </c>
      <c r="I101" s="145" t="s">
        <v>56</v>
      </c>
      <c r="N101" s="145"/>
    </row>
    <row r="102" spans="1:30">
      <c r="A102" s="1299" t="s">
        <v>96</v>
      </c>
      <c r="B102" s="1342" t="s">
        <v>1772</v>
      </c>
      <c r="C102" s="1300" t="s">
        <v>59</v>
      </c>
      <c r="D102" s="1344" t="str">
        <f t="shared" si="1"/>
        <v>AFRICA|Buffalo calves</v>
      </c>
      <c r="E102" s="228">
        <v>0</v>
      </c>
      <c r="F102" s="228">
        <v>1</v>
      </c>
      <c r="G102" s="228">
        <v>1</v>
      </c>
      <c r="I102" s="145" t="s">
        <v>55</v>
      </c>
      <c r="N102" s="145"/>
    </row>
    <row r="103" spans="1:30">
      <c r="A103" s="1299" t="s">
        <v>96</v>
      </c>
      <c r="B103" s="1342" t="s">
        <v>1775</v>
      </c>
      <c r="C103" s="228" t="s">
        <v>49</v>
      </c>
      <c r="D103" s="1344" t="str">
        <f t="shared" si="1"/>
        <v>AFRICA|Sheep/Goats - Ewes/Does</v>
      </c>
      <c r="E103" s="228">
        <v>0.1</v>
      </c>
      <c r="F103" s="228">
        <v>0.15</v>
      </c>
      <c r="G103" s="228">
        <v>0.2</v>
      </c>
      <c r="I103" s="228"/>
      <c r="J103" s="1489" t="s">
        <v>54</v>
      </c>
      <c r="K103" s="1490"/>
      <c r="L103" s="1491"/>
      <c r="N103" s="145"/>
    </row>
    <row r="104" spans="1:30">
      <c r="A104" s="1299" t="s">
        <v>96</v>
      </c>
      <c r="B104" s="1342" t="s">
        <v>1777</v>
      </c>
      <c r="C104" s="228" t="s">
        <v>49</v>
      </c>
      <c r="D104" s="1344" t="str">
        <f t="shared" si="1"/>
        <v>AFRICA|Sheep/Goats - Breeding Rams/Bucks</v>
      </c>
      <c r="E104" s="228">
        <v>0.1</v>
      </c>
      <c r="F104" s="228">
        <v>0.15</v>
      </c>
      <c r="G104" s="228">
        <v>0.2</v>
      </c>
      <c r="I104" s="228" t="s">
        <v>53</v>
      </c>
      <c r="J104" s="228" t="s">
        <v>52</v>
      </c>
      <c r="K104" s="228" t="s">
        <v>51</v>
      </c>
      <c r="L104" s="228" t="s">
        <v>50</v>
      </c>
      <c r="N104" s="145"/>
    </row>
    <row r="105" spans="1:30">
      <c r="A105" s="1299" t="s">
        <v>96</v>
      </c>
      <c r="B105" s="1342" t="s">
        <v>1776</v>
      </c>
      <c r="C105" s="228" t="s">
        <v>49</v>
      </c>
      <c r="D105" s="1344" t="str">
        <f t="shared" si="1"/>
        <v>AFRICA|Sheep/Goats - Fattening Rams/Bucks</v>
      </c>
      <c r="E105" s="228">
        <v>0.1</v>
      </c>
      <c r="F105" s="228">
        <v>0.15</v>
      </c>
      <c r="G105" s="228">
        <v>0.2</v>
      </c>
      <c r="I105" s="1463" t="s">
        <v>1827</v>
      </c>
      <c r="J105" s="1464"/>
      <c r="K105" s="1464"/>
      <c r="L105" s="1465"/>
      <c r="N105" s="145"/>
    </row>
    <row r="106" spans="1:30">
      <c r="A106" s="1299" t="s">
        <v>96</v>
      </c>
      <c r="B106" s="1342" t="s">
        <v>1778</v>
      </c>
      <c r="C106" s="228" t="s">
        <v>49</v>
      </c>
      <c r="D106" s="1344" t="str">
        <f t="shared" si="1"/>
        <v>AFRICA|Sheep/Goats - Lambs/Kids</v>
      </c>
      <c r="E106" s="228">
        <v>0.1</v>
      </c>
      <c r="F106" s="228">
        <v>0.15</v>
      </c>
      <c r="G106" s="228">
        <v>0.2</v>
      </c>
      <c r="I106" s="228" t="s">
        <v>49</v>
      </c>
      <c r="J106" s="228">
        <v>0.1</v>
      </c>
      <c r="K106" s="228">
        <v>0.15</v>
      </c>
      <c r="L106" s="228">
        <v>0.2</v>
      </c>
      <c r="N106" s="145"/>
    </row>
    <row r="107" spans="1:30">
      <c r="A107" s="1299" t="s">
        <v>96</v>
      </c>
      <c r="B107" s="1342" t="s">
        <v>1672</v>
      </c>
      <c r="C107" s="1300" t="s">
        <v>1661</v>
      </c>
      <c r="D107" s="1344" t="str">
        <f t="shared" si="1"/>
        <v>AFRICA|Pigs - lactating/pregnant sows</v>
      </c>
      <c r="E107" s="228">
        <v>0</v>
      </c>
      <c r="F107" s="228">
        <v>1</v>
      </c>
      <c r="G107" s="228">
        <v>1</v>
      </c>
      <c r="I107" s="228" t="s">
        <v>48</v>
      </c>
      <c r="J107" s="228">
        <v>0.11</v>
      </c>
      <c r="K107" s="228">
        <v>0.17</v>
      </c>
      <c r="L107" s="228">
        <v>0.22</v>
      </c>
      <c r="N107" s="145"/>
    </row>
    <row r="108" spans="1:30">
      <c r="A108" s="1299" t="s">
        <v>96</v>
      </c>
      <c r="B108" s="1342" t="s">
        <v>1671</v>
      </c>
      <c r="C108" s="1300" t="s">
        <v>1661</v>
      </c>
      <c r="D108" s="1344" t="str">
        <f t="shared" si="1"/>
        <v>AFRICA|Pigs - dry sows/boars</v>
      </c>
      <c r="E108" s="228">
        <v>0</v>
      </c>
      <c r="F108" s="228">
        <v>1</v>
      </c>
      <c r="G108" s="228">
        <v>1</v>
      </c>
      <c r="N108" s="145"/>
    </row>
    <row r="109" spans="1:30">
      <c r="A109" s="1299" t="s">
        <v>96</v>
      </c>
      <c r="B109" s="1342" t="s">
        <v>1670</v>
      </c>
      <c r="C109" s="1300" t="s">
        <v>1661</v>
      </c>
      <c r="D109" s="1344" t="str">
        <f t="shared" si="1"/>
        <v>AFRICA|Pigs - growers</v>
      </c>
      <c r="E109" s="228">
        <v>0</v>
      </c>
      <c r="F109" s="228">
        <v>1</v>
      </c>
      <c r="G109" s="228">
        <v>1</v>
      </c>
      <c r="I109" s="145" t="s">
        <v>47</v>
      </c>
      <c r="N109" s="145"/>
    </row>
    <row r="110" spans="1:30">
      <c r="A110" s="228" t="s">
        <v>1823</v>
      </c>
      <c r="B110" s="1342" t="s">
        <v>1818</v>
      </c>
      <c r="C110" s="1300" t="s">
        <v>60</v>
      </c>
      <c r="D110" s="1344" t="str">
        <f t="shared" si="1"/>
        <v>ASIA|Cows (local)</v>
      </c>
      <c r="E110" s="228">
        <v>10</v>
      </c>
      <c r="F110" s="228">
        <v>19</v>
      </c>
      <c r="G110" s="228">
        <v>30</v>
      </c>
      <c r="I110" s="253" t="s">
        <v>701</v>
      </c>
      <c r="N110" s="145"/>
    </row>
    <row r="111" spans="1:30">
      <c r="A111" s="228" t="s">
        <v>1823</v>
      </c>
      <c r="B111" s="1342" t="s">
        <v>1819</v>
      </c>
      <c r="C111" s="1300" t="s">
        <v>60</v>
      </c>
      <c r="D111" s="1344" t="str">
        <f t="shared" si="1"/>
        <v>ASIA|Cows (improved)</v>
      </c>
      <c r="E111" s="228">
        <v>10</v>
      </c>
      <c r="F111" s="228">
        <v>19</v>
      </c>
      <c r="G111" s="231">
        <v>30</v>
      </c>
      <c r="I111" s="253"/>
      <c r="N111" s="145"/>
    </row>
    <row r="112" spans="1:30">
      <c r="A112" s="228" t="s">
        <v>1823</v>
      </c>
      <c r="B112" s="1342" t="s">
        <v>1068</v>
      </c>
      <c r="C112" s="1300" t="s">
        <v>59</v>
      </c>
      <c r="D112" s="1344" t="str">
        <f t="shared" si="1"/>
        <v>ASIA|Adult cattle - male</v>
      </c>
      <c r="E112" s="228">
        <v>1</v>
      </c>
      <c r="F112" s="228">
        <v>1</v>
      </c>
      <c r="G112" s="228">
        <v>1</v>
      </c>
      <c r="I112" s="253"/>
      <c r="N112" s="145"/>
    </row>
    <row r="113" spans="1:14">
      <c r="A113" s="228" t="s">
        <v>1823</v>
      </c>
      <c r="B113" s="1342" t="s">
        <v>1019</v>
      </c>
      <c r="C113" s="1300" t="s">
        <v>59</v>
      </c>
      <c r="D113" s="1344" t="str">
        <f t="shared" si="1"/>
        <v>ASIA|Steers/heifers</v>
      </c>
      <c r="E113" s="228">
        <v>1</v>
      </c>
      <c r="F113" s="228">
        <v>1</v>
      </c>
      <c r="G113" s="228">
        <v>1</v>
      </c>
      <c r="I113" s="253"/>
      <c r="N113" s="145"/>
    </row>
    <row r="114" spans="1:14">
      <c r="A114" s="228" t="s">
        <v>1823</v>
      </c>
      <c r="B114" s="1342" t="s">
        <v>631</v>
      </c>
      <c r="C114" s="1300" t="s">
        <v>59</v>
      </c>
      <c r="D114" s="1344" t="str">
        <f t="shared" si="1"/>
        <v>ASIA|Calves</v>
      </c>
      <c r="E114" s="228">
        <v>1</v>
      </c>
      <c r="F114" s="228">
        <v>1</v>
      </c>
      <c r="G114" s="228">
        <v>1</v>
      </c>
      <c r="I114" s="253"/>
      <c r="N114" s="145"/>
    </row>
    <row r="115" spans="1:14">
      <c r="A115" s="228" t="s">
        <v>1823</v>
      </c>
      <c r="B115" s="1342" t="s">
        <v>1820</v>
      </c>
      <c r="C115" s="1300" t="s">
        <v>59</v>
      </c>
      <c r="D115" s="1344" t="str">
        <f t="shared" si="1"/>
        <v>ASIA|Buffalo (dairy)</v>
      </c>
      <c r="E115" s="228">
        <v>1</v>
      </c>
      <c r="F115" s="228">
        <v>2</v>
      </c>
      <c r="G115" s="228">
        <v>2</v>
      </c>
      <c r="I115" s="253"/>
      <c r="N115" s="145"/>
    </row>
    <row r="116" spans="1:14">
      <c r="A116" s="228" t="s">
        <v>1823</v>
      </c>
      <c r="B116" s="1342" t="s">
        <v>1771</v>
      </c>
      <c r="C116" s="1300" t="s">
        <v>59</v>
      </c>
      <c r="D116" s="1344" t="str">
        <f t="shared" si="1"/>
        <v>ASIA|Buffalo steers/heifers</v>
      </c>
      <c r="E116" s="228">
        <v>1</v>
      </c>
      <c r="F116" s="228">
        <v>2</v>
      </c>
      <c r="G116" s="228">
        <v>2</v>
      </c>
      <c r="I116" s="253"/>
      <c r="N116" s="145"/>
    </row>
    <row r="117" spans="1:14">
      <c r="A117" s="228" t="s">
        <v>1823</v>
      </c>
      <c r="B117" s="1342" t="s">
        <v>1772</v>
      </c>
      <c r="C117" s="1300" t="s">
        <v>59</v>
      </c>
      <c r="D117" s="1344" t="str">
        <f t="shared" si="1"/>
        <v>ASIA|Buffalo calves</v>
      </c>
      <c r="E117" s="228">
        <v>1</v>
      </c>
      <c r="F117" s="228">
        <v>2</v>
      </c>
      <c r="G117" s="228">
        <v>2</v>
      </c>
      <c r="I117" s="253"/>
      <c r="N117" s="145"/>
    </row>
    <row r="118" spans="1:14">
      <c r="A118" s="228" t="s">
        <v>1823</v>
      </c>
      <c r="B118" s="1342" t="s">
        <v>1775</v>
      </c>
      <c r="C118" s="228" t="s">
        <v>49</v>
      </c>
      <c r="D118" s="1344" t="str">
        <f t="shared" si="1"/>
        <v>ASIA|Sheep/Goats - Ewes/Does</v>
      </c>
      <c r="E118" s="228">
        <v>0.1</v>
      </c>
      <c r="F118" s="228">
        <v>0.15</v>
      </c>
      <c r="G118" s="228">
        <v>0.2</v>
      </c>
      <c r="I118" s="253"/>
      <c r="N118" s="145"/>
    </row>
    <row r="119" spans="1:14">
      <c r="A119" s="228" t="s">
        <v>1823</v>
      </c>
      <c r="B119" s="1342" t="s">
        <v>1777</v>
      </c>
      <c r="C119" s="228" t="s">
        <v>49</v>
      </c>
      <c r="D119" s="1344" t="str">
        <f t="shared" si="1"/>
        <v>ASIA|Sheep/Goats - Breeding Rams/Bucks</v>
      </c>
      <c r="E119" s="228">
        <v>0.1</v>
      </c>
      <c r="F119" s="228">
        <v>0.15</v>
      </c>
      <c r="G119" s="228">
        <v>0.2</v>
      </c>
      <c r="I119" s="253"/>
      <c r="N119" s="145"/>
    </row>
    <row r="120" spans="1:14">
      <c r="A120" s="228" t="s">
        <v>1823</v>
      </c>
      <c r="B120" s="1342" t="s">
        <v>1776</v>
      </c>
      <c r="C120" s="228" t="s">
        <v>49</v>
      </c>
      <c r="D120" s="1344" t="str">
        <f t="shared" si="1"/>
        <v>ASIA|Sheep/Goats - Fattening Rams/Bucks</v>
      </c>
      <c r="E120" s="228">
        <v>0.1</v>
      </c>
      <c r="F120" s="228">
        <v>0.15</v>
      </c>
      <c r="G120" s="228">
        <v>0.2</v>
      </c>
      <c r="I120" s="253"/>
      <c r="N120" s="145"/>
    </row>
    <row r="121" spans="1:14">
      <c r="A121" s="228" t="s">
        <v>1823</v>
      </c>
      <c r="B121" s="1342" t="s">
        <v>1778</v>
      </c>
      <c r="C121" s="228" t="s">
        <v>49</v>
      </c>
      <c r="D121" s="1344" t="str">
        <f t="shared" si="1"/>
        <v>ASIA|Sheep/Goats - Lambs/Kids</v>
      </c>
      <c r="E121" s="228">
        <v>0.1</v>
      </c>
      <c r="F121" s="228">
        <v>0.15</v>
      </c>
      <c r="G121" s="228">
        <v>0.2</v>
      </c>
      <c r="I121" s="253"/>
      <c r="N121" s="145"/>
    </row>
    <row r="122" spans="1:14">
      <c r="A122" s="228" t="s">
        <v>1823</v>
      </c>
      <c r="B122" s="1342" t="s">
        <v>1672</v>
      </c>
      <c r="C122" s="1300" t="s">
        <v>1661</v>
      </c>
      <c r="D122" s="1344" t="str">
        <f t="shared" si="1"/>
        <v>ASIA|Pigs - lactating/pregnant sows</v>
      </c>
      <c r="E122" s="228">
        <v>2</v>
      </c>
      <c r="F122" s="228">
        <v>4</v>
      </c>
      <c r="G122" s="228">
        <v>6</v>
      </c>
      <c r="I122" s="253"/>
      <c r="N122" s="145"/>
    </row>
    <row r="123" spans="1:14">
      <c r="A123" s="228" t="s">
        <v>1823</v>
      </c>
      <c r="B123" s="1342" t="s">
        <v>1671</v>
      </c>
      <c r="C123" s="1300" t="s">
        <v>1661</v>
      </c>
      <c r="D123" s="1344" t="str">
        <f t="shared" si="1"/>
        <v>ASIA|Pigs - dry sows/boars</v>
      </c>
      <c r="E123" s="228">
        <v>2</v>
      </c>
      <c r="F123" s="228">
        <v>4</v>
      </c>
      <c r="G123" s="228">
        <v>6</v>
      </c>
      <c r="I123" s="253"/>
      <c r="N123" s="145"/>
    </row>
    <row r="124" spans="1:14">
      <c r="A124" s="228" t="s">
        <v>1823</v>
      </c>
      <c r="B124" s="1342" t="s">
        <v>1670</v>
      </c>
      <c r="C124" s="1300" t="s">
        <v>1661</v>
      </c>
      <c r="D124" s="1344" t="str">
        <f t="shared" si="1"/>
        <v>ASIA|Pigs - growers</v>
      </c>
      <c r="E124" s="228">
        <v>2</v>
      </c>
      <c r="F124" s="228">
        <v>4</v>
      </c>
      <c r="G124" s="228">
        <v>6</v>
      </c>
      <c r="I124" s="253"/>
      <c r="N124" s="145"/>
    </row>
    <row r="125" spans="1:14">
      <c r="I125" s="253"/>
      <c r="N125" s="145"/>
    </row>
    <row r="127" spans="1:14">
      <c r="A127" s="145" t="s">
        <v>433</v>
      </c>
    </row>
    <row r="128" spans="1:14" s="154" customFormat="1" ht="63">
      <c r="A128" s="153" t="s">
        <v>429</v>
      </c>
      <c r="B128" s="153" t="s">
        <v>430</v>
      </c>
      <c r="C128" s="153" t="s">
        <v>431</v>
      </c>
      <c r="D128" s="153" t="s">
        <v>432</v>
      </c>
      <c r="N128" s="250"/>
    </row>
    <row r="129" spans="1:6">
      <c r="A129" s="175"/>
      <c r="B129" s="227"/>
      <c r="C129" s="227" t="s">
        <v>120</v>
      </c>
      <c r="D129" s="227" t="s">
        <v>360</v>
      </c>
    </row>
    <row r="130" spans="1:6">
      <c r="A130" s="1457" t="s">
        <v>434</v>
      </c>
      <c r="B130" s="1047" t="s">
        <v>446</v>
      </c>
      <c r="C130" s="1047" t="s">
        <v>123</v>
      </c>
      <c r="D130" s="227"/>
    </row>
    <row r="131" spans="1:6">
      <c r="A131" s="1457"/>
      <c r="B131" s="164" t="s">
        <v>435</v>
      </c>
      <c r="C131" s="225">
        <v>0.28000000000000003</v>
      </c>
      <c r="D131" s="227" t="s">
        <v>437</v>
      </c>
      <c r="E131" s="11"/>
      <c r="F131" s="153" t="s">
        <v>452</v>
      </c>
    </row>
    <row r="132" spans="1:6">
      <c r="A132" s="1457"/>
      <c r="B132" s="164" t="s">
        <v>637</v>
      </c>
      <c r="C132" s="225">
        <v>0.2</v>
      </c>
      <c r="D132" s="227" t="s">
        <v>438</v>
      </c>
      <c r="E132" s="11"/>
      <c r="F132" s="153" t="s">
        <v>436</v>
      </c>
    </row>
    <row r="133" spans="1:6">
      <c r="A133" s="1457"/>
      <c r="B133" s="164" t="s">
        <v>461</v>
      </c>
      <c r="C133" s="225">
        <v>0.3</v>
      </c>
      <c r="D133" s="227" t="s">
        <v>437</v>
      </c>
      <c r="E133" s="164"/>
      <c r="F133" s="153" t="s">
        <v>456</v>
      </c>
    </row>
    <row r="134" spans="1:6">
      <c r="A134" s="1457"/>
      <c r="B134" s="164"/>
      <c r="C134" s="225"/>
      <c r="D134" s="227"/>
      <c r="E134" s="251"/>
      <c r="F134" s="153" t="s">
        <v>121</v>
      </c>
    </row>
    <row r="135" spans="1:6">
      <c r="A135" s="1457"/>
      <c r="B135" s="164"/>
      <c r="C135" s="225"/>
      <c r="D135" s="227"/>
      <c r="E135" s="251"/>
      <c r="F135" s="153" t="s">
        <v>1594</v>
      </c>
    </row>
    <row r="136" spans="1:6">
      <c r="A136" s="1457"/>
      <c r="B136" s="164"/>
      <c r="C136" s="225"/>
      <c r="D136" s="227"/>
      <c r="E136" s="251"/>
      <c r="F136" s="1067" t="s">
        <v>1595</v>
      </c>
    </row>
    <row r="137" spans="1:6">
      <c r="A137" s="1457"/>
      <c r="B137" s="164" t="s">
        <v>436</v>
      </c>
      <c r="C137" s="225">
        <v>7.0000000000000007E-2</v>
      </c>
      <c r="D137" s="227" t="s">
        <v>439</v>
      </c>
      <c r="E137" s="251"/>
    </row>
    <row r="138" spans="1:6">
      <c r="A138" s="1500" t="s">
        <v>440</v>
      </c>
      <c r="B138" s="1057" t="s">
        <v>637</v>
      </c>
      <c r="C138" s="225">
        <v>0.3</v>
      </c>
      <c r="D138" s="227" t="s">
        <v>442</v>
      </c>
      <c r="E138" s="251"/>
    </row>
    <row r="139" spans="1:6">
      <c r="A139" s="1501"/>
      <c r="B139" s="1057" t="s">
        <v>461</v>
      </c>
      <c r="C139" s="225">
        <v>0.45</v>
      </c>
      <c r="D139" s="227" t="s">
        <v>443</v>
      </c>
    </row>
    <row r="140" spans="1:6">
      <c r="A140" s="1502"/>
      <c r="B140" s="1057" t="s">
        <v>441</v>
      </c>
      <c r="C140" s="225">
        <v>0.3</v>
      </c>
      <c r="D140" s="227" t="s">
        <v>444</v>
      </c>
    </row>
    <row r="141" spans="1:6">
      <c r="A141" s="175" t="s">
        <v>445</v>
      </c>
      <c r="B141" s="175"/>
      <c r="C141" s="252"/>
      <c r="D141" s="175"/>
    </row>
    <row r="144" spans="1:6" ht="22.5" customHeight="1"/>
    <row r="147" spans="1:32">
      <c r="A147" s="164" t="s">
        <v>461</v>
      </c>
      <c r="B147" s="169" t="s">
        <v>636</v>
      </c>
    </row>
    <row r="148" spans="1:32">
      <c r="A148" s="164" t="s">
        <v>637</v>
      </c>
      <c r="B148" s="169" t="s">
        <v>1817</v>
      </c>
    </row>
    <row r="149" spans="1:32">
      <c r="A149" s="164" t="s">
        <v>702</v>
      </c>
      <c r="B149" s="169" t="s">
        <v>638</v>
      </c>
    </row>
    <row r="150" spans="1:32">
      <c r="A150" s="169"/>
    </row>
    <row r="152" spans="1:32">
      <c r="A152" s="145" t="s">
        <v>448</v>
      </c>
    </row>
    <row r="155" spans="1:32" s="154" customFormat="1" ht="31.5" customHeight="1">
      <c r="A155" s="1453" t="s">
        <v>449</v>
      </c>
      <c r="B155" s="1496" t="s">
        <v>453</v>
      </c>
      <c r="C155" s="1497"/>
      <c r="D155" s="1497"/>
      <c r="E155" s="1497"/>
      <c r="F155" s="1497"/>
      <c r="G155" s="1497"/>
      <c r="H155" s="1497"/>
      <c r="I155" s="1497"/>
      <c r="J155" s="1497"/>
      <c r="K155" s="1497"/>
      <c r="L155" s="1497"/>
      <c r="M155" s="1497"/>
      <c r="N155" s="1497"/>
      <c r="O155" s="1497"/>
      <c r="P155" s="1497"/>
      <c r="Q155" s="1497"/>
      <c r="R155" s="1497"/>
      <c r="S155" s="1497"/>
      <c r="T155" s="1497"/>
      <c r="U155" s="1497"/>
      <c r="V155" s="1497"/>
      <c r="W155" s="1497"/>
      <c r="X155" s="1497"/>
      <c r="Y155" s="1497"/>
      <c r="Z155" s="1497"/>
      <c r="AA155" s="1497"/>
      <c r="AB155" s="1497"/>
      <c r="AC155" s="1497"/>
      <c r="AD155" s="1497"/>
      <c r="AE155" s="1498"/>
    </row>
    <row r="156" spans="1:32" s="229" customFormat="1">
      <c r="A156" s="1453"/>
      <c r="B156" s="1453" t="s">
        <v>450</v>
      </c>
      <c r="C156" s="1453"/>
      <c r="D156" s="1453"/>
      <c r="E156" s="1453"/>
      <c r="F156" s="1453"/>
      <c r="G156" s="1457" t="s">
        <v>65</v>
      </c>
      <c r="H156" s="1457"/>
      <c r="I156" s="1457"/>
      <c r="J156" s="1457"/>
      <c r="K156" s="1457"/>
      <c r="L156" s="1457"/>
      <c r="M156" s="1457"/>
      <c r="N156" s="1457"/>
      <c r="O156" s="1457"/>
      <c r="P156" s="1457"/>
      <c r="Q156" s="1457"/>
      <c r="R156" s="1457"/>
      <c r="S156" s="1457"/>
      <c r="T156" s="1457"/>
      <c r="U156" s="1457"/>
      <c r="V156" s="1457"/>
      <c r="W156" s="1457"/>
      <c r="X156" s="1457"/>
      <c r="Y156" s="1457"/>
      <c r="Z156" s="1457"/>
      <c r="AA156" s="1457"/>
      <c r="AB156" s="1457"/>
      <c r="AC156" s="1457" t="s">
        <v>454</v>
      </c>
      <c r="AD156" s="1457"/>
      <c r="AE156" s="1457"/>
    </row>
    <row r="157" spans="1:32" s="229" customFormat="1">
      <c r="A157" s="1453"/>
      <c r="B157" s="153" t="s">
        <v>451</v>
      </c>
      <c r="C157" s="153">
        <v>11</v>
      </c>
      <c r="D157" s="153">
        <v>12</v>
      </c>
      <c r="E157" s="153">
        <v>13</v>
      </c>
      <c r="F157" s="153">
        <v>14</v>
      </c>
      <c r="G157" s="153">
        <v>15</v>
      </c>
      <c r="H157" s="227">
        <v>16</v>
      </c>
      <c r="I157" s="227">
        <v>17</v>
      </c>
      <c r="J157" s="227">
        <v>18</v>
      </c>
      <c r="K157" s="227">
        <v>19</v>
      </c>
      <c r="L157" s="227"/>
      <c r="M157" s="227"/>
      <c r="N157" s="226">
        <v>20</v>
      </c>
      <c r="O157" s="227">
        <v>21</v>
      </c>
      <c r="P157" s="227">
        <v>22</v>
      </c>
      <c r="Q157" s="1300"/>
      <c r="R157" s="1300"/>
      <c r="S157" s="1300"/>
      <c r="T157" s="1300"/>
      <c r="U157" s="1300"/>
      <c r="V157" s="1300"/>
      <c r="W157" s="1300"/>
      <c r="X157" s="1300"/>
      <c r="Y157" s="1300"/>
      <c r="Z157" s="227">
        <v>23</v>
      </c>
      <c r="AA157" s="227">
        <v>24</v>
      </c>
      <c r="AB157" s="227">
        <v>25</v>
      </c>
      <c r="AC157" s="227">
        <v>26</v>
      </c>
      <c r="AD157" s="227">
        <v>27</v>
      </c>
      <c r="AE157" s="227" t="s">
        <v>455</v>
      </c>
    </row>
    <row r="158" spans="1:32">
      <c r="A158" s="153" t="s">
        <v>452</v>
      </c>
      <c r="B158" s="1516">
        <v>1</v>
      </c>
      <c r="C158" s="1516"/>
      <c r="D158" s="1516"/>
      <c r="E158" s="1516"/>
      <c r="F158" s="1516"/>
      <c r="G158" s="490">
        <v>1.5</v>
      </c>
      <c r="H158" s="490"/>
      <c r="I158" s="490"/>
      <c r="J158" s="490"/>
      <c r="K158" s="490"/>
      <c r="L158" s="490"/>
      <c r="M158" s="490"/>
      <c r="N158" s="490"/>
      <c r="O158" s="490"/>
      <c r="P158" s="490"/>
      <c r="Q158" s="490"/>
      <c r="R158" s="490"/>
      <c r="S158" s="490"/>
      <c r="T158" s="490"/>
      <c r="U158" s="490"/>
      <c r="V158" s="490"/>
      <c r="W158" s="490"/>
      <c r="X158" s="490"/>
      <c r="Y158" s="490"/>
      <c r="Z158" s="490"/>
      <c r="AA158" s="490"/>
      <c r="AB158" s="490"/>
      <c r="AC158" s="1499">
        <v>2</v>
      </c>
      <c r="AD158" s="1499"/>
      <c r="AE158" s="1499"/>
    </row>
    <row r="159" spans="1:32">
      <c r="A159" s="153" t="s">
        <v>436</v>
      </c>
      <c r="B159" s="1513">
        <v>0.1</v>
      </c>
      <c r="C159" s="1514"/>
      <c r="D159" s="1514"/>
      <c r="E159" s="1514"/>
      <c r="F159" s="1515"/>
      <c r="G159" s="842">
        <v>0.5</v>
      </c>
      <c r="H159" s="846"/>
      <c r="I159" s="846"/>
      <c r="J159" s="846"/>
      <c r="K159" s="846"/>
      <c r="L159" s="846"/>
      <c r="M159" s="846"/>
      <c r="N159" s="846"/>
      <c r="O159" s="846"/>
      <c r="P159" s="846"/>
      <c r="Q159" s="846"/>
      <c r="R159" s="846"/>
      <c r="S159" s="846"/>
      <c r="T159" s="846"/>
      <c r="U159" s="846"/>
      <c r="V159" s="846"/>
      <c r="W159" s="846"/>
      <c r="X159" s="846"/>
      <c r="Y159" s="846"/>
      <c r="Z159" s="846"/>
      <c r="AA159" s="846"/>
      <c r="AB159" s="1066"/>
      <c r="AC159" s="1466">
        <v>1</v>
      </c>
      <c r="AD159" s="1467"/>
      <c r="AE159" s="1468"/>
    </row>
    <row r="160" spans="1:32">
      <c r="A160" s="153" t="s">
        <v>456</v>
      </c>
      <c r="B160" s="1513">
        <v>2</v>
      </c>
      <c r="C160" s="1514"/>
      <c r="D160" s="1514"/>
      <c r="E160" s="1514"/>
      <c r="F160" s="1515"/>
      <c r="G160" s="842">
        <v>4</v>
      </c>
      <c r="H160" s="846"/>
      <c r="I160" s="846"/>
      <c r="J160" s="846"/>
      <c r="K160" s="846"/>
      <c r="L160" s="846"/>
      <c r="M160" s="846"/>
      <c r="N160" s="846"/>
      <c r="O160" s="846"/>
      <c r="P160" s="846"/>
      <c r="Q160" s="846"/>
      <c r="R160" s="846"/>
      <c r="S160" s="846"/>
      <c r="T160" s="846"/>
      <c r="U160" s="846"/>
      <c r="V160" s="846"/>
      <c r="W160" s="846"/>
      <c r="X160" s="846"/>
      <c r="Y160" s="846"/>
      <c r="Z160" s="846"/>
      <c r="AA160" s="846"/>
      <c r="AB160" s="1066"/>
      <c r="AC160" s="1469">
        <v>5</v>
      </c>
      <c r="AD160" s="1470"/>
      <c r="AE160" s="1471"/>
      <c r="AF160" s="187"/>
    </row>
    <row r="161" spans="1:32">
      <c r="A161" s="153" t="s">
        <v>121</v>
      </c>
      <c r="B161" s="1513">
        <v>1</v>
      </c>
      <c r="C161" s="1514"/>
      <c r="D161" s="1514"/>
      <c r="E161" s="1514"/>
      <c r="F161" s="1515"/>
      <c r="G161" s="842">
        <v>1.5</v>
      </c>
      <c r="H161" s="846"/>
      <c r="I161" s="846"/>
      <c r="J161" s="846"/>
      <c r="K161" s="846"/>
      <c r="L161" s="846"/>
      <c r="M161" s="846"/>
      <c r="N161" s="846"/>
      <c r="O161" s="846"/>
      <c r="P161" s="846"/>
      <c r="Q161" s="846"/>
      <c r="R161" s="846"/>
      <c r="S161" s="846"/>
      <c r="T161" s="846"/>
      <c r="U161" s="846"/>
      <c r="V161" s="846"/>
      <c r="W161" s="846"/>
      <c r="X161" s="846"/>
      <c r="Y161" s="846"/>
      <c r="Z161" s="846"/>
      <c r="AA161" s="846"/>
      <c r="AB161" s="1066"/>
      <c r="AC161" s="1469">
        <v>2</v>
      </c>
      <c r="AD161" s="1470"/>
      <c r="AE161" s="1471"/>
      <c r="AF161" s="187"/>
    </row>
    <row r="162" spans="1:32">
      <c r="A162" s="175"/>
      <c r="B162" s="175"/>
    </row>
    <row r="163" spans="1:32">
      <c r="A163" s="1453" t="s">
        <v>449</v>
      </c>
      <c r="B163" s="175" t="s">
        <v>453</v>
      </c>
    </row>
    <row r="164" spans="1:32">
      <c r="A164" s="1453"/>
      <c r="B164" s="175"/>
    </row>
    <row r="165" spans="1:32">
      <c r="A165" s="1453"/>
      <c r="B165" s="175"/>
    </row>
    <row r="166" spans="1:32">
      <c r="A166" s="153" t="s">
        <v>452</v>
      </c>
      <c r="B166" s="1075">
        <v>1.4999999999999999E-2</v>
      </c>
    </row>
    <row r="167" spans="1:32">
      <c r="A167" s="153" t="s">
        <v>456</v>
      </c>
      <c r="B167" s="1077">
        <v>0.04</v>
      </c>
    </row>
    <row r="168" spans="1:32">
      <c r="A168" s="153" t="s">
        <v>121</v>
      </c>
      <c r="B168" s="1076">
        <v>1.4999999999999999E-2</v>
      </c>
    </row>
    <row r="169" spans="1:32">
      <c r="A169" s="154"/>
      <c r="B169" s="187"/>
    </row>
    <row r="170" spans="1:32">
      <c r="A170" s="254" t="s">
        <v>447</v>
      </c>
    </row>
    <row r="171" spans="1:32">
      <c r="A171" s="1299" t="s">
        <v>285</v>
      </c>
    </row>
    <row r="172" spans="1:32">
      <c r="A172" s="1299" t="s">
        <v>291</v>
      </c>
      <c r="F172" s="1118"/>
      <c r="G172" s="1118"/>
    </row>
    <row r="173" spans="1:32">
      <c r="A173" s="1298" t="s">
        <v>292</v>
      </c>
      <c r="F173" s="1118"/>
      <c r="G173" s="1118"/>
    </row>
    <row r="174" spans="1:32">
      <c r="A174" s="228" t="s">
        <v>1828</v>
      </c>
      <c r="B174" s="1299" t="s">
        <v>1831</v>
      </c>
      <c r="C174" s="1300" t="s">
        <v>1835</v>
      </c>
      <c r="D174" s="228" t="s">
        <v>1829</v>
      </c>
      <c r="E174" s="1300" t="s">
        <v>388</v>
      </c>
      <c r="F174" s="1341"/>
      <c r="G174" s="1341"/>
    </row>
    <row r="175" spans="1:32">
      <c r="A175" s="228" t="s">
        <v>1642</v>
      </c>
      <c r="B175" s="1342" t="s">
        <v>1818</v>
      </c>
      <c r="C175" s="1300" t="s">
        <v>75</v>
      </c>
      <c r="D175" s="1344" t="str">
        <f>A175 &amp;"|" &amp;B175</f>
        <v>LATIN AMERICA|Cows (local)</v>
      </c>
      <c r="E175" s="1300">
        <v>0.48</v>
      </c>
      <c r="F175" s="1118"/>
      <c r="G175" s="1118"/>
    </row>
    <row r="176" spans="1:32">
      <c r="A176" s="228" t="s">
        <v>1642</v>
      </c>
      <c r="B176" s="1342" t="s">
        <v>1819</v>
      </c>
      <c r="C176" s="1300" t="s">
        <v>75</v>
      </c>
      <c r="D176" s="1344" t="str">
        <f t="shared" ref="D176:D219" si="2">A176 &amp;"|" &amp;B176</f>
        <v>LATIN AMERICA|Cows (improved)</v>
      </c>
      <c r="E176" s="1300">
        <v>0.48</v>
      </c>
      <c r="F176" s="1118"/>
      <c r="G176" s="1118"/>
    </row>
    <row r="177" spans="1:5">
      <c r="A177" s="228" t="s">
        <v>1642</v>
      </c>
      <c r="B177" s="1342" t="s">
        <v>1068</v>
      </c>
      <c r="C177" s="1300" t="s">
        <v>104</v>
      </c>
      <c r="D177" s="1344" t="str">
        <f t="shared" si="2"/>
        <v>LATIN AMERICA|Adult cattle - male</v>
      </c>
      <c r="E177" s="1300">
        <v>0.36</v>
      </c>
    </row>
    <row r="178" spans="1:5">
      <c r="A178" s="228" t="s">
        <v>1642</v>
      </c>
      <c r="B178" s="1342" t="s">
        <v>1019</v>
      </c>
      <c r="C178" s="1300" t="s">
        <v>104</v>
      </c>
      <c r="D178" s="1344" t="str">
        <f t="shared" si="2"/>
        <v>LATIN AMERICA|Steers/heifers</v>
      </c>
      <c r="E178" s="1300">
        <v>0.36</v>
      </c>
    </row>
    <row r="179" spans="1:5">
      <c r="A179" s="228" t="s">
        <v>1642</v>
      </c>
      <c r="B179" s="1342" t="s">
        <v>631</v>
      </c>
      <c r="C179" s="1300" t="s">
        <v>104</v>
      </c>
      <c r="D179" s="1344" t="str">
        <f t="shared" si="2"/>
        <v>LATIN AMERICA|Calves</v>
      </c>
      <c r="E179" s="1300">
        <v>0.36</v>
      </c>
    </row>
    <row r="180" spans="1:5">
      <c r="A180" s="228" t="s">
        <v>1642</v>
      </c>
      <c r="B180" s="1342" t="s">
        <v>1820</v>
      </c>
      <c r="C180" s="1300" t="s">
        <v>104</v>
      </c>
      <c r="D180" s="1344" t="str">
        <f t="shared" si="2"/>
        <v>LATIN AMERICA|Buffalo (dairy)</v>
      </c>
      <c r="E180" s="1300">
        <v>0.36</v>
      </c>
    </row>
    <row r="181" spans="1:5">
      <c r="A181" s="228" t="s">
        <v>1642</v>
      </c>
      <c r="B181" s="1342" t="s">
        <v>1771</v>
      </c>
      <c r="C181" s="1300" t="s">
        <v>104</v>
      </c>
      <c r="D181" s="1344" t="str">
        <f t="shared" si="2"/>
        <v>LATIN AMERICA|Buffalo steers/heifers</v>
      </c>
      <c r="E181" s="1300">
        <v>0.36</v>
      </c>
    </row>
    <row r="182" spans="1:5">
      <c r="A182" s="228" t="s">
        <v>1642</v>
      </c>
      <c r="B182" s="1342" t="s">
        <v>1772</v>
      </c>
      <c r="C182" s="1300" t="s">
        <v>104</v>
      </c>
      <c r="D182" s="1344" t="str">
        <f t="shared" si="2"/>
        <v>LATIN AMERICA|Buffalo calves</v>
      </c>
      <c r="E182" s="1300">
        <v>0.36</v>
      </c>
    </row>
    <row r="183" spans="1:5">
      <c r="A183" s="228" t="s">
        <v>1642</v>
      </c>
      <c r="B183" s="1342" t="s">
        <v>1775</v>
      </c>
      <c r="C183" s="1300" t="s">
        <v>633</v>
      </c>
      <c r="D183" s="1344" t="str">
        <f t="shared" si="2"/>
        <v>LATIN AMERICA|Sheep/Goats - Ewes/Does</v>
      </c>
      <c r="E183" s="1300">
        <v>1.17</v>
      </c>
    </row>
    <row r="184" spans="1:5">
      <c r="A184" s="228" t="s">
        <v>1642</v>
      </c>
      <c r="B184" s="1342" t="s">
        <v>1777</v>
      </c>
      <c r="C184" s="1300" t="s">
        <v>633</v>
      </c>
      <c r="D184" s="1344" t="str">
        <f t="shared" si="2"/>
        <v>LATIN AMERICA|Sheep/Goats - Breeding Rams/Bucks</v>
      </c>
      <c r="E184" s="1300">
        <v>1.17</v>
      </c>
    </row>
    <row r="185" spans="1:5">
      <c r="A185" s="228" t="s">
        <v>1642</v>
      </c>
      <c r="B185" s="1342" t="s">
        <v>1776</v>
      </c>
      <c r="C185" s="1300" t="s">
        <v>633</v>
      </c>
      <c r="D185" s="1344" t="str">
        <f t="shared" si="2"/>
        <v>LATIN AMERICA|Sheep/Goats - Fattening Rams/Bucks</v>
      </c>
      <c r="E185" s="1300">
        <v>1.17</v>
      </c>
    </row>
    <row r="186" spans="1:5">
      <c r="A186" s="228" t="s">
        <v>1642</v>
      </c>
      <c r="B186" s="1342" t="s">
        <v>1778</v>
      </c>
      <c r="C186" s="1300" t="s">
        <v>633</v>
      </c>
      <c r="D186" s="1344" t="str">
        <f t="shared" si="2"/>
        <v>LATIN AMERICA|Sheep/Goats - Lambs/Kids</v>
      </c>
      <c r="E186" s="1300">
        <v>1.17</v>
      </c>
    </row>
    <row r="187" spans="1:5">
      <c r="A187" s="228" t="s">
        <v>1642</v>
      </c>
      <c r="B187" s="1342" t="s">
        <v>1672</v>
      </c>
      <c r="C187" s="1300" t="s">
        <v>1668</v>
      </c>
      <c r="D187" s="1344" t="str">
        <f t="shared" si="2"/>
        <v>LATIN AMERICA|Pigs - lactating/pregnant sows</v>
      </c>
      <c r="E187" s="1300">
        <v>1.64</v>
      </c>
    </row>
    <row r="188" spans="1:5">
      <c r="A188" s="228" t="s">
        <v>1642</v>
      </c>
      <c r="B188" s="1342" t="s">
        <v>1671</v>
      </c>
      <c r="C188" s="1300" t="s">
        <v>1668</v>
      </c>
      <c r="D188" s="1344" t="str">
        <f t="shared" si="2"/>
        <v>LATIN AMERICA|Pigs - dry sows/boars</v>
      </c>
      <c r="E188" s="1300">
        <v>1.64</v>
      </c>
    </row>
    <row r="189" spans="1:5">
      <c r="A189" s="228" t="s">
        <v>1642</v>
      </c>
      <c r="B189" s="1342" t="s">
        <v>1670</v>
      </c>
      <c r="C189" s="1300" t="s">
        <v>1668</v>
      </c>
      <c r="D189" s="1344" t="str">
        <f t="shared" si="2"/>
        <v>LATIN AMERICA|Pigs - growers</v>
      </c>
      <c r="E189" s="1300">
        <v>1.64</v>
      </c>
    </row>
    <row r="190" spans="1:5">
      <c r="A190" s="1299" t="s">
        <v>96</v>
      </c>
      <c r="B190" s="1342" t="s">
        <v>1818</v>
      </c>
      <c r="C190" s="1300" t="s">
        <v>75</v>
      </c>
      <c r="D190" s="1344" t="str">
        <f t="shared" si="2"/>
        <v>AFRICA|Cows (local)</v>
      </c>
      <c r="E190" s="228">
        <v>0.6</v>
      </c>
    </row>
    <row r="191" spans="1:5">
      <c r="A191" s="1299" t="s">
        <v>96</v>
      </c>
      <c r="B191" s="1342" t="s">
        <v>1819</v>
      </c>
      <c r="C191" s="1300" t="s">
        <v>75</v>
      </c>
      <c r="D191" s="1344" t="str">
        <f t="shared" si="2"/>
        <v>AFRICA|Cows (improved)</v>
      </c>
      <c r="E191" s="228">
        <v>0.6</v>
      </c>
    </row>
    <row r="192" spans="1:5">
      <c r="A192" s="1299" t="s">
        <v>96</v>
      </c>
      <c r="B192" s="1342" t="s">
        <v>1068</v>
      </c>
      <c r="C192" s="1300" t="s">
        <v>104</v>
      </c>
      <c r="D192" s="1344" t="str">
        <f t="shared" si="2"/>
        <v>AFRICA|Adult cattle - male</v>
      </c>
      <c r="E192" s="228">
        <v>0.63</v>
      </c>
    </row>
    <row r="193" spans="1:5">
      <c r="A193" s="1299" t="s">
        <v>96</v>
      </c>
      <c r="B193" s="1342" t="s">
        <v>1019</v>
      </c>
      <c r="C193" s="1300" t="s">
        <v>104</v>
      </c>
      <c r="D193" s="1344" t="str">
        <f t="shared" si="2"/>
        <v>AFRICA|Steers/heifers</v>
      </c>
      <c r="E193" s="228">
        <v>0.63</v>
      </c>
    </row>
    <row r="194" spans="1:5">
      <c r="A194" s="1299" t="s">
        <v>96</v>
      </c>
      <c r="B194" s="1342" t="s">
        <v>631</v>
      </c>
      <c r="C194" s="1300" t="s">
        <v>104</v>
      </c>
      <c r="D194" s="1344" t="str">
        <f t="shared" si="2"/>
        <v>AFRICA|Calves</v>
      </c>
      <c r="E194" s="228">
        <v>0.63</v>
      </c>
    </row>
    <row r="195" spans="1:5">
      <c r="A195" s="1299" t="s">
        <v>96</v>
      </c>
      <c r="B195" s="1342" t="s">
        <v>1820</v>
      </c>
      <c r="C195" s="1300" t="s">
        <v>104</v>
      </c>
      <c r="D195" s="1344" t="str">
        <f t="shared" si="2"/>
        <v>AFRICA|Buffalo (dairy)</v>
      </c>
      <c r="E195" s="228">
        <v>0.63</v>
      </c>
    </row>
    <row r="196" spans="1:5">
      <c r="A196" s="1299" t="s">
        <v>96</v>
      </c>
      <c r="B196" s="1342" t="s">
        <v>1771</v>
      </c>
      <c r="C196" s="1300" t="s">
        <v>104</v>
      </c>
      <c r="D196" s="1344" t="str">
        <f t="shared" si="2"/>
        <v>AFRICA|Buffalo steers/heifers</v>
      </c>
      <c r="E196" s="228">
        <v>0.63</v>
      </c>
    </row>
    <row r="197" spans="1:5">
      <c r="A197" s="1299" t="s">
        <v>96</v>
      </c>
      <c r="B197" s="1342" t="s">
        <v>1772</v>
      </c>
      <c r="C197" s="1300" t="s">
        <v>104</v>
      </c>
      <c r="D197" s="1344" t="str">
        <f t="shared" si="2"/>
        <v>AFRICA|Buffalo calves</v>
      </c>
      <c r="E197" s="228">
        <v>0.63</v>
      </c>
    </row>
    <row r="198" spans="1:5">
      <c r="A198" s="1299" t="s">
        <v>96</v>
      </c>
      <c r="B198" s="1342" t="s">
        <v>1775</v>
      </c>
      <c r="C198" s="1300" t="s">
        <v>633</v>
      </c>
      <c r="D198" s="1344" t="str">
        <f t="shared" si="2"/>
        <v>AFRICA|Sheep/Goats - Ewes/Does</v>
      </c>
      <c r="E198" s="228">
        <v>1.17</v>
      </c>
    </row>
    <row r="199" spans="1:5">
      <c r="A199" s="1299" t="s">
        <v>96</v>
      </c>
      <c r="B199" s="1342" t="s">
        <v>1777</v>
      </c>
      <c r="C199" s="1300" t="s">
        <v>633</v>
      </c>
      <c r="D199" s="1344" t="str">
        <f t="shared" si="2"/>
        <v>AFRICA|Sheep/Goats - Breeding Rams/Bucks</v>
      </c>
      <c r="E199" s="228">
        <v>1.17</v>
      </c>
    </row>
    <row r="200" spans="1:5">
      <c r="A200" s="1299" t="s">
        <v>96</v>
      </c>
      <c r="B200" s="1342" t="s">
        <v>1776</v>
      </c>
      <c r="C200" s="1300" t="s">
        <v>633</v>
      </c>
      <c r="D200" s="1344" t="str">
        <f t="shared" si="2"/>
        <v>AFRICA|Sheep/Goats - Fattening Rams/Bucks</v>
      </c>
      <c r="E200" s="228">
        <v>1.17</v>
      </c>
    </row>
    <row r="201" spans="1:5">
      <c r="A201" s="1299" t="s">
        <v>96</v>
      </c>
      <c r="B201" s="1342" t="s">
        <v>1778</v>
      </c>
      <c r="C201" s="1300" t="s">
        <v>633</v>
      </c>
      <c r="D201" s="1344" t="str">
        <f t="shared" si="2"/>
        <v>AFRICA|Sheep/Goats - Lambs/Kids</v>
      </c>
      <c r="E201" s="228">
        <v>1.17</v>
      </c>
    </row>
    <row r="202" spans="1:5">
      <c r="A202" s="1299" t="s">
        <v>96</v>
      </c>
      <c r="B202" s="1342" t="s">
        <v>1672</v>
      </c>
      <c r="C202" s="1300" t="s">
        <v>1668</v>
      </c>
      <c r="D202" s="1344" t="str">
        <f t="shared" si="2"/>
        <v>AFRICA|Pigs - lactating/pregnant sows</v>
      </c>
      <c r="E202" s="228">
        <v>1.64</v>
      </c>
    </row>
    <row r="203" spans="1:5">
      <c r="A203" s="1299" t="s">
        <v>96</v>
      </c>
      <c r="B203" s="1342" t="s">
        <v>1671</v>
      </c>
      <c r="C203" s="1300" t="s">
        <v>1668</v>
      </c>
      <c r="D203" s="1344" t="str">
        <f t="shared" si="2"/>
        <v>AFRICA|Pigs - dry sows/boars</v>
      </c>
      <c r="E203" s="228">
        <v>1.64</v>
      </c>
    </row>
    <row r="204" spans="1:5">
      <c r="A204" s="1299" t="s">
        <v>96</v>
      </c>
      <c r="B204" s="1342" t="s">
        <v>1670</v>
      </c>
      <c r="C204" s="1300" t="s">
        <v>1668</v>
      </c>
      <c r="D204" s="1344" t="str">
        <f t="shared" si="2"/>
        <v>AFRICA|Pigs - growers</v>
      </c>
      <c r="E204" s="228">
        <v>1.64</v>
      </c>
    </row>
    <row r="205" spans="1:5">
      <c r="A205" s="228" t="s">
        <v>1823</v>
      </c>
      <c r="B205" s="1342" t="s">
        <v>1818</v>
      </c>
      <c r="C205" s="1300" t="s">
        <v>75</v>
      </c>
      <c r="D205" s="1344" t="str">
        <f t="shared" si="2"/>
        <v>ASIA|Cows (local)</v>
      </c>
      <c r="E205" s="228">
        <v>0.47</v>
      </c>
    </row>
    <row r="206" spans="1:5">
      <c r="A206" s="228" t="s">
        <v>1823</v>
      </c>
      <c r="B206" s="1342" t="s">
        <v>1819</v>
      </c>
      <c r="C206" s="1300" t="s">
        <v>75</v>
      </c>
      <c r="D206" s="1344" t="str">
        <f t="shared" si="2"/>
        <v>ASIA|Cows (improved)</v>
      </c>
      <c r="E206" s="228">
        <v>0.47</v>
      </c>
    </row>
    <row r="207" spans="1:5">
      <c r="A207" s="228" t="s">
        <v>1823</v>
      </c>
      <c r="B207" s="1342" t="s">
        <v>1068</v>
      </c>
      <c r="C207" s="1300" t="s">
        <v>104</v>
      </c>
      <c r="D207" s="1344" t="str">
        <f t="shared" si="2"/>
        <v>ASIA|Adult cattle - male</v>
      </c>
      <c r="E207" s="228">
        <v>0.34</v>
      </c>
    </row>
    <row r="208" spans="1:5">
      <c r="A208" s="228" t="s">
        <v>1823</v>
      </c>
      <c r="B208" s="1342" t="s">
        <v>1019</v>
      </c>
      <c r="C208" s="1300" t="s">
        <v>104</v>
      </c>
      <c r="D208" s="1344" t="str">
        <f t="shared" si="2"/>
        <v>ASIA|Steers/heifers</v>
      </c>
      <c r="E208" s="228">
        <v>0.34</v>
      </c>
    </row>
    <row r="209" spans="1:5">
      <c r="A209" s="228" t="s">
        <v>1823</v>
      </c>
      <c r="B209" s="1342" t="s">
        <v>631</v>
      </c>
      <c r="C209" s="1300" t="s">
        <v>104</v>
      </c>
      <c r="D209" s="1344" t="str">
        <f t="shared" si="2"/>
        <v>ASIA|Calves</v>
      </c>
      <c r="E209" s="228">
        <v>0.34</v>
      </c>
    </row>
    <row r="210" spans="1:5">
      <c r="A210" s="228" t="s">
        <v>1823</v>
      </c>
      <c r="B210" s="1342" t="s">
        <v>1820</v>
      </c>
      <c r="C210" s="1300" t="s">
        <v>104</v>
      </c>
      <c r="D210" s="1344" t="str">
        <f t="shared" si="2"/>
        <v>ASIA|Buffalo (dairy)</v>
      </c>
      <c r="E210" s="228">
        <v>0.34</v>
      </c>
    </row>
    <row r="211" spans="1:5">
      <c r="A211" s="228" t="s">
        <v>1823</v>
      </c>
      <c r="B211" s="1342" t="s">
        <v>1771</v>
      </c>
      <c r="C211" s="1300" t="s">
        <v>104</v>
      </c>
      <c r="D211" s="1344" t="str">
        <f t="shared" si="2"/>
        <v>ASIA|Buffalo steers/heifers</v>
      </c>
      <c r="E211" s="228">
        <v>0.34</v>
      </c>
    </row>
    <row r="212" spans="1:5">
      <c r="A212" s="228" t="s">
        <v>1823</v>
      </c>
      <c r="B212" s="1342" t="s">
        <v>1772</v>
      </c>
      <c r="C212" s="1300" t="s">
        <v>104</v>
      </c>
      <c r="D212" s="1344" t="str">
        <f t="shared" si="2"/>
        <v>ASIA|Buffalo calves</v>
      </c>
      <c r="E212" s="228">
        <v>0.34</v>
      </c>
    </row>
    <row r="213" spans="1:5">
      <c r="A213" s="228" t="s">
        <v>1823</v>
      </c>
      <c r="B213" s="1342" t="s">
        <v>1775</v>
      </c>
      <c r="C213" s="1300" t="s">
        <v>633</v>
      </c>
      <c r="D213" s="1344" t="str">
        <f t="shared" si="2"/>
        <v>ASIA|Sheep/Goats - Ewes/Does</v>
      </c>
      <c r="E213" s="228">
        <v>1.17</v>
      </c>
    </row>
    <row r="214" spans="1:5">
      <c r="A214" s="228" t="s">
        <v>1823</v>
      </c>
      <c r="B214" s="1342" t="s">
        <v>1777</v>
      </c>
      <c r="C214" s="1300" t="s">
        <v>633</v>
      </c>
      <c r="D214" s="1344" t="str">
        <f t="shared" si="2"/>
        <v>ASIA|Sheep/Goats - Breeding Rams/Bucks</v>
      </c>
      <c r="E214" s="228">
        <v>1.17</v>
      </c>
    </row>
    <row r="215" spans="1:5">
      <c r="A215" s="228" t="s">
        <v>1823</v>
      </c>
      <c r="B215" s="1342" t="s">
        <v>1776</v>
      </c>
      <c r="C215" s="1300" t="s">
        <v>633</v>
      </c>
      <c r="D215" s="1344" t="str">
        <f t="shared" si="2"/>
        <v>ASIA|Sheep/Goats - Fattening Rams/Bucks</v>
      </c>
      <c r="E215" s="228">
        <v>1.17</v>
      </c>
    </row>
    <row r="216" spans="1:5">
      <c r="A216" s="228" t="s">
        <v>1823</v>
      </c>
      <c r="B216" s="1342" t="s">
        <v>1778</v>
      </c>
      <c r="C216" s="1300" t="s">
        <v>633</v>
      </c>
      <c r="D216" s="1344" t="str">
        <f t="shared" si="2"/>
        <v>ASIA|Sheep/Goats - Lambs/Kids</v>
      </c>
      <c r="E216" s="228">
        <v>1.17</v>
      </c>
    </row>
    <row r="217" spans="1:5">
      <c r="A217" s="228" t="s">
        <v>1823</v>
      </c>
      <c r="B217" s="1342" t="s">
        <v>1672</v>
      </c>
      <c r="C217" s="1300" t="s">
        <v>1668</v>
      </c>
      <c r="D217" s="1344" t="str">
        <f t="shared" si="2"/>
        <v>ASIA|Pigs - lactating/pregnant sows</v>
      </c>
      <c r="E217" s="228">
        <v>0.5</v>
      </c>
    </row>
    <row r="218" spans="1:5">
      <c r="A218" s="228" t="s">
        <v>1823</v>
      </c>
      <c r="B218" s="1342" t="s">
        <v>1671</v>
      </c>
      <c r="C218" s="1300" t="s">
        <v>1668</v>
      </c>
      <c r="D218" s="1344" t="str">
        <f t="shared" si="2"/>
        <v>ASIA|Pigs - dry sows/boars</v>
      </c>
      <c r="E218" s="228">
        <v>0.5</v>
      </c>
    </row>
    <row r="219" spans="1:5">
      <c r="A219" s="228" t="s">
        <v>1823</v>
      </c>
      <c r="B219" s="1342" t="s">
        <v>1670</v>
      </c>
      <c r="C219" s="1300" t="s">
        <v>1668</v>
      </c>
      <c r="D219" s="1344" t="str">
        <f t="shared" si="2"/>
        <v>ASIA|Pigs - growers</v>
      </c>
      <c r="E219" s="228">
        <v>0.5</v>
      </c>
    </row>
    <row r="220" spans="1:5">
      <c r="A220" s="1289"/>
      <c r="B220" s="1289"/>
      <c r="C220" s="1341"/>
      <c r="D220" s="1341"/>
    </row>
    <row r="221" spans="1:5">
      <c r="A221" s="1289"/>
      <c r="B221" s="1289"/>
      <c r="C221" s="1341"/>
      <c r="D221" s="1341"/>
    </row>
    <row r="223" spans="1:5">
      <c r="A223" s="169" t="s">
        <v>457</v>
      </c>
    </row>
    <row r="224" spans="1:5">
      <c r="A224" s="1452" t="s">
        <v>458</v>
      </c>
      <c r="B224" s="153" t="s">
        <v>459</v>
      </c>
    </row>
    <row r="225" spans="1:36">
      <c r="A225" s="1450"/>
      <c r="B225" s="153" t="s">
        <v>460</v>
      </c>
    </row>
    <row r="226" spans="1:36">
      <c r="A226" s="1451"/>
      <c r="B226" s="153" t="s">
        <v>396</v>
      </c>
    </row>
    <row r="227" spans="1:36">
      <c r="A227" s="153" t="s">
        <v>452</v>
      </c>
      <c r="B227" s="1069">
        <v>0.01</v>
      </c>
      <c r="D227" s="154"/>
      <c r="E227" s="473"/>
    </row>
    <row r="228" spans="1:36">
      <c r="A228" s="153" t="s">
        <v>456</v>
      </c>
      <c r="B228" s="255">
        <v>5.0000000000000001E-3</v>
      </c>
      <c r="D228" s="154"/>
      <c r="E228" s="1070"/>
    </row>
    <row r="229" spans="1:36">
      <c r="A229" s="153" t="s">
        <v>121</v>
      </c>
      <c r="B229" s="255">
        <v>0.02</v>
      </c>
      <c r="D229" s="154"/>
      <c r="E229" s="1070"/>
    </row>
    <row r="232" spans="1:36">
      <c r="A232" s="145" t="s">
        <v>46</v>
      </c>
    </row>
    <row r="233" spans="1:36">
      <c r="A233" s="145" t="s">
        <v>45</v>
      </c>
    </row>
    <row r="234" spans="1:36">
      <c r="A234" s="1"/>
    </row>
    <row r="235" spans="1:36">
      <c r="O235" s="145" t="s">
        <v>44</v>
      </c>
    </row>
    <row r="236" spans="1:36" s="224" customFormat="1">
      <c r="A236" s="28" t="s">
        <v>43</v>
      </c>
      <c r="B236" s="255" t="s">
        <v>42</v>
      </c>
      <c r="C236" s="255" t="s">
        <v>41</v>
      </c>
      <c r="D236" s="28" t="s">
        <v>40</v>
      </c>
      <c r="E236" s="153" t="s">
        <v>39</v>
      </c>
      <c r="N236" s="256"/>
      <c r="AA236" s="257"/>
      <c r="AJ236" s="154"/>
    </row>
    <row r="237" spans="1:36" ht="31.5">
      <c r="A237" s="227" t="s">
        <v>38</v>
      </c>
      <c r="B237" s="164" t="s">
        <v>18</v>
      </c>
      <c r="C237" s="255" t="s">
        <v>37</v>
      </c>
      <c r="D237" s="227">
        <v>0.01</v>
      </c>
      <c r="E237" s="227" t="s">
        <v>28</v>
      </c>
    </row>
    <row r="238" spans="1:36" ht="63">
      <c r="A238" s="227" t="s">
        <v>36</v>
      </c>
      <c r="B238" s="164" t="s">
        <v>35</v>
      </c>
      <c r="C238" s="255" t="s">
        <v>34</v>
      </c>
      <c r="D238" s="227">
        <v>16</v>
      </c>
      <c r="E238" s="227" t="s">
        <v>33</v>
      </c>
    </row>
    <row r="239" spans="1:36" ht="78.75">
      <c r="A239" s="227" t="s">
        <v>32</v>
      </c>
      <c r="B239" s="164" t="s">
        <v>18</v>
      </c>
      <c r="C239" s="255" t="s">
        <v>29</v>
      </c>
      <c r="D239" s="227">
        <v>0.02</v>
      </c>
      <c r="E239" s="227" t="s">
        <v>31</v>
      </c>
    </row>
    <row r="240" spans="1:36" ht="78.75">
      <c r="A240" s="227" t="s">
        <v>30</v>
      </c>
      <c r="B240" s="164" t="s">
        <v>18</v>
      </c>
      <c r="C240" s="255" t="s">
        <v>29</v>
      </c>
      <c r="D240" s="227">
        <v>0.01</v>
      </c>
      <c r="E240" s="227" t="s">
        <v>28</v>
      </c>
    </row>
    <row r="241" spans="1:6" ht="63">
      <c r="A241" s="227" t="s">
        <v>27</v>
      </c>
      <c r="B241" s="164" t="s">
        <v>26</v>
      </c>
      <c r="C241" s="255" t="s">
        <v>25</v>
      </c>
      <c r="D241" s="227">
        <v>0.01</v>
      </c>
      <c r="E241" s="227" t="s">
        <v>24</v>
      </c>
    </row>
    <row r="242" spans="1:6" ht="47.25">
      <c r="A242" s="227" t="s">
        <v>23</v>
      </c>
      <c r="B242" s="164" t="s">
        <v>22</v>
      </c>
      <c r="C242" s="255" t="s">
        <v>21</v>
      </c>
      <c r="D242" s="227">
        <v>7.4999999999999997E-3</v>
      </c>
      <c r="E242" s="227" t="s">
        <v>20</v>
      </c>
    </row>
    <row r="243" spans="1:6" ht="47.25">
      <c r="A243" s="227" t="s">
        <v>19</v>
      </c>
      <c r="B243" s="164" t="s">
        <v>18</v>
      </c>
      <c r="C243" s="255" t="s">
        <v>17</v>
      </c>
      <c r="D243" s="227">
        <v>3.0000000000000001E-3</v>
      </c>
      <c r="E243" s="227" t="s">
        <v>16</v>
      </c>
    </row>
    <row r="244" spans="1:6">
      <c r="A244" s="227"/>
      <c r="B244" s="164"/>
      <c r="C244" s="255"/>
      <c r="D244" s="227"/>
      <c r="E244" s="227"/>
    </row>
    <row r="245" spans="1:6" ht="47.25">
      <c r="A245" s="227" t="s">
        <v>15</v>
      </c>
      <c r="B245" s="164" t="s">
        <v>14</v>
      </c>
      <c r="C245" s="255" t="s">
        <v>13</v>
      </c>
      <c r="D245" s="227">
        <v>0.1</v>
      </c>
      <c r="E245" s="227" t="s">
        <v>12</v>
      </c>
    </row>
    <row r="246" spans="1:6" ht="94.5">
      <c r="A246" s="227" t="s">
        <v>11</v>
      </c>
      <c r="B246" s="164" t="s">
        <v>10</v>
      </c>
      <c r="C246" s="255" t="s">
        <v>9</v>
      </c>
      <c r="D246" s="227">
        <v>0.2</v>
      </c>
      <c r="E246" s="227" t="s">
        <v>8</v>
      </c>
    </row>
    <row r="247" spans="1:6" ht="94.5">
      <c r="A247" s="227" t="s">
        <v>7</v>
      </c>
      <c r="B247" s="164" t="s">
        <v>6</v>
      </c>
      <c r="C247" s="255" t="s">
        <v>5</v>
      </c>
      <c r="D247" s="227">
        <v>0.3</v>
      </c>
      <c r="E247" s="153" t="s">
        <v>4</v>
      </c>
    </row>
    <row r="248" spans="1:6">
      <c r="A248" s="227"/>
      <c r="B248" s="164"/>
      <c r="C248" s="164"/>
      <c r="D248" s="227">
        <v>0</v>
      </c>
      <c r="E248" s="227" t="s">
        <v>3</v>
      </c>
    </row>
    <row r="249" spans="1:6">
      <c r="A249" s="233" t="s">
        <v>619</v>
      </c>
    </row>
    <row r="250" spans="1:6">
      <c r="B250" s="145" t="s">
        <v>543</v>
      </c>
      <c r="C250" s="145" t="s">
        <v>551</v>
      </c>
    </row>
    <row r="251" spans="1:6">
      <c r="A251" s="1446" t="s">
        <v>516</v>
      </c>
      <c r="B251" s="1447"/>
      <c r="C251" s="1447"/>
      <c r="D251" s="1447"/>
      <c r="E251" s="1448"/>
    </row>
    <row r="252" spans="1:6" ht="16.5" thickBot="1">
      <c r="A252" s="232" t="s">
        <v>517</v>
      </c>
      <c r="B252" s="232" t="s">
        <v>518</v>
      </c>
      <c r="C252" s="232" t="s">
        <v>521</v>
      </c>
      <c r="D252" s="232" t="s">
        <v>519</v>
      </c>
      <c r="F252" s="232" t="s">
        <v>520</v>
      </c>
    </row>
    <row r="253" spans="1:6">
      <c r="A253" s="1454" t="s">
        <v>545</v>
      </c>
      <c r="B253" s="1449" t="s">
        <v>522</v>
      </c>
      <c r="C253" s="234" t="s">
        <v>523</v>
      </c>
      <c r="D253" s="234" t="s">
        <v>526</v>
      </c>
      <c r="E253" s="145" t="s">
        <v>703</v>
      </c>
      <c r="F253" s="235">
        <v>0.8</v>
      </c>
    </row>
    <row r="254" spans="1:6">
      <c r="A254" s="1455"/>
      <c r="B254" s="1450"/>
      <c r="C254" s="153"/>
      <c r="D254" s="153" t="s">
        <v>527</v>
      </c>
      <c r="E254" s="145" t="s">
        <v>704</v>
      </c>
      <c r="F254" s="236">
        <v>0.69</v>
      </c>
    </row>
    <row r="255" spans="1:6">
      <c r="A255" s="1455"/>
      <c r="B255" s="1450"/>
      <c r="C255" s="1452" t="s">
        <v>524</v>
      </c>
      <c r="D255" s="153" t="s">
        <v>526</v>
      </c>
      <c r="E255" s="145" t="s">
        <v>705</v>
      </c>
      <c r="F255" s="236">
        <v>0.57999999999999996</v>
      </c>
    </row>
    <row r="256" spans="1:6">
      <c r="A256" s="1455"/>
      <c r="B256" s="1450"/>
      <c r="C256" s="1451"/>
      <c r="D256" s="153" t="s">
        <v>528</v>
      </c>
      <c r="E256" s="145" t="s">
        <v>706</v>
      </c>
      <c r="F256" s="236">
        <v>0.48</v>
      </c>
    </row>
    <row r="257" spans="1:6">
      <c r="A257" s="1455"/>
      <c r="B257" s="1451"/>
      <c r="C257" s="153" t="s">
        <v>525</v>
      </c>
      <c r="D257" s="153" t="s">
        <v>529</v>
      </c>
      <c r="E257" s="145" t="s">
        <v>707</v>
      </c>
      <c r="F257" s="236">
        <v>0.64</v>
      </c>
    </row>
    <row r="258" spans="1:6">
      <c r="A258" s="1455"/>
      <c r="B258" s="227" t="s">
        <v>530</v>
      </c>
      <c r="C258" s="227" t="s">
        <v>531</v>
      </c>
      <c r="D258" s="153" t="s">
        <v>532</v>
      </c>
      <c r="E258" s="237" t="s">
        <v>530</v>
      </c>
      <c r="F258" s="238">
        <v>1.1000000000000001</v>
      </c>
    </row>
    <row r="259" spans="1:6">
      <c r="A259" s="1455"/>
      <c r="B259" s="153" t="s">
        <v>533</v>
      </c>
      <c r="C259" s="153" t="s">
        <v>531</v>
      </c>
      <c r="D259" s="153" t="s">
        <v>532</v>
      </c>
      <c r="E259" s="237" t="s">
        <v>708</v>
      </c>
      <c r="F259" s="236">
        <v>1</v>
      </c>
    </row>
    <row r="260" spans="1:6">
      <c r="A260" s="1455"/>
      <c r="B260" s="1452" t="s">
        <v>534</v>
      </c>
      <c r="C260" s="1453" t="s">
        <v>536</v>
      </c>
      <c r="D260" s="153" t="s">
        <v>526</v>
      </c>
      <c r="E260" s="145" t="s">
        <v>709</v>
      </c>
      <c r="F260" s="236">
        <v>0.93</v>
      </c>
    </row>
    <row r="261" spans="1:6">
      <c r="A261" s="1455"/>
      <c r="B261" s="1450"/>
      <c r="C261" s="1453"/>
      <c r="D261" s="153" t="s">
        <v>535</v>
      </c>
      <c r="E261" s="145" t="s">
        <v>710</v>
      </c>
      <c r="F261" s="236">
        <v>0.82</v>
      </c>
    </row>
    <row r="262" spans="1:6" ht="16.5" thickBot="1">
      <c r="A262" s="1455"/>
      <c r="B262" s="1450"/>
      <c r="C262" s="232" t="s">
        <v>537</v>
      </c>
      <c r="D262" s="232" t="s">
        <v>529</v>
      </c>
      <c r="E262" s="145" t="s">
        <v>711</v>
      </c>
      <c r="F262" s="239">
        <v>0.88</v>
      </c>
    </row>
    <row r="263" spans="1:6">
      <c r="A263" s="1460" t="s">
        <v>538</v>
      </c>
      <c r="B263" s="244" t="s">
        <v>539</v>
      </c>
      <c r="C263" s="234" t="s">
        <v>531</v>
      </c>
      <c r="D263" s="234" t="s">
        <v>532</v>
      </c>
      <c r="E263" s="145" t="s">
        <v>539</v>
      </c>
      <c r="F263" s="240">
        <v>1</v>
      </c>
    </row>
    <row r="264" spans="1:6">
      <c r="A264" s="1461"/>
      <c r="B264" s="1453" t="s">
        <v>540</v>
      </c>
      <c r="C264" s="1453" t="s">
        <v>541</v>
      </c>
      <c r="D264" s="153" t="s">
        <v>526</v>
      </c>
      <c r="E264" s="145" t="s">
        <v>712</v>
      </c>
      <c r="F264" s="238">
        <v>1.02</v>
      </c>
    </row>
    <row r="265" spans="1:6">
      <c r="A265" s="1461"/>
      <c r="B265" s="1453"/>
      <c r="C265" s="1453"/>
      <c r="D265" s="153" t="s">
        <v>527</v>
      </c>
      <c r="E265" s="145" t="s">
        <v>713</v>
      </c>
      <c r="F265" s="238">
        <v>1.08</v>
      </c>
    </row>
    <row r="266" spans="1:6">
      <c r="A266" s="1461"/>
      <c r="B266" s="1453"/>
      <c r="C266" s="1453" t="s">
        <v>542</v>
      </c>
      <c r="D266" s="153" t="s">
        <v>526</v>
      </c>
      <c r="E266" s="145" t="s">
        <v>714</v>
      </c>
      <c r="F266" s="238">
        <v>1.0900000000000001</v>
      </c>
    </row>
    <row r="267" spans="1:6">
      <c r="A267" s="1461"/>
      <c r="B267" s="1453"/>
      <c r="C267" s="1453"/>
      <c r="D267" s="153" t="s">
        <v>528</v>
      </c>
      <c r="E267" s="145" t="s">
        <v>715</v>
      </c>
      <c r="F267" s="238">
        <v>1.1499999999999999</v>
      </c>
    </row>
    <row r="268" spans="1:6">
      <c r="A268" s="1461"/>
      <c r="B268" s="1453"/>
      <c r="C268" s="153" t="s">
        <v>525</v>
      </c>
      <c r="D268" s="153" t="s">
        <v>529</v>
      </c>
      <c r="E268" s="145" t="s">
        <v>716</v>
      </c>
      <c r="F268" s="238">
        <v>1.0900000000000001</v>
      </c>
    </row>
    <row r="269" spans="1:6">
      <c r="A269" s="1461"/>
      <c r="B269" s="1453" t="s">
        <v>544</v>
      </c>
      <c r="C269" s="1453" t="s">
        <v>541</v>
      </c>
      <c r="D269" s="153" t="s">
        <v>526</v>
      </c>
      <c r="E269" s="145" t="s">
        <v>717</v>
      </c>
      <c r="F269" s="238">
        <v>1.1000000000000001</v>
      </c>
    </row>
    <row r="270" spans="1:6">
      <c r="A270" s="1461"/>
      <c r="B270" s="1453"/>
      <c r="C270" s="1453"/>
      <c r="D270" s="153" t="s">
        <v>527</v>
      </c>
      <c r="E270" s="145" t="s">
        <v>718</v>
      </c>
      <c r="F270" s="238">
        <v>1.1499999999999999</v>
      </c>
    </row>
    <row r="271" spans="1:6">
      <c r="A271" s="1461"/>
      <c r="B271" s="1453"/>
      <c r="C271" s="1453" t="s">
        <v>542</v>
      </c>
      <c r="D271" s="153" t="s">
        <v>526</v>
      </c>
      <c r="E271" s="145" t="s">
        <v>719</v>
      </c>
      <c r="F271" s="238">
        <v>1.17</v>
      </c>
    </row>
    <row r="272" spans="1:6">
      <c r="A272" s="1461"/>
      <c r="B272" s="1453"/>
      <c r="C272" s="1453"/>
      <c r="D272" s="153" t="s">
        <v>528</v>
      </c>
      <c r="E272" s="145" t="s">
        <v>720</v>
      </c>
      <c r="F272" s="238">
        <v>1.22</v>
      </c>
    </row>
    <row r="273" spans="1:6" ht="16.5" thickBot="1">
      <c r="A273" s="1462"/>
      <c r="B273" s="1452"/>
      <c r="C273" s="232" t="s">
        <v>525</v>
      </c>
      <c r="D273" s="232" t="s">
        <v>529</v>
      </c>
      <c r="E273" s="145" t="s">
        <v>721</v>
      </c>
      <c r="F273" s="241">
        <v>1.1599999999999999</v>
      </c>
    </row>
    <row r="274" spans="1:6">
      <c r="A274" s="1460" t="s">
        <v>546</v>
      </c>
      <c r="B274" s="1456" t="s">
        <v>547</v>
      </c>
      <c r="C274" s="1508" t="s">
        <v>541</v>
      </c>
      <c r="D274" s="234" t="s">
        <v>526</v>
      </c>
      <c r="E274" s="145" t="s">
        <v>722</v>
      </c>
      <c r="F274" s="240">
        <v>0.95</v>
      </c>
    </row>
    <row r="275" spans="1:6">
      <c r="A275" s="1461"/>
      <c r="B275" s="1457"/>
      <c r="C275" s="1448"/>
      <c r="D275" s="153" t="s">
        <v>527</v>
      </c>
      <c r="E275" s="145" t="s">
        <v>723</v>
      </c>
      <c r="F275" s="238">
        <v>0.92</v>
      </c>
    </row>
    <row r="276" spans="1:6">
      <c r="A276" s="1461"/>
      <c r="B276" s="1457"/>
      <c r="C276" s="1453" t="s">
        <v>542</v>
      </c>
      <c r="D276" s="153" t="s">
        <v>526</v>
      </c>
      <c r="E276" s="145" t="s">
        <v>724</v>
      </c>
      <c r="F276" s="238">
        <v>0.95</v>
      </c>
    </row>
    <row r="277" spans="1:6">
      <c r="A277" s="1461"/>
      <c r="B277" s="1457"/>
      <c r="C277" s="1453"/>
      <c r="D277" s="153" t="s">
        <v>528</v>
      </c>
      <c r="E277" s="145" t="s">
        <v>725</v>
      </c>
      <c r="F277" s="238">
        <v>0.92</v>
      </c>
    </row>
    <row r="278" spans="1:6">
      <c r="A278" s="1461"/>
      <c r="B278" s="1457"/>
      <c r="C278" s="153" t="s">
        <v>525</v>
      </c>
      <c r="D278" s="153" t="s">
        <v>529</v>
      </c>
      <c r="E278" s="145" t="s">
        <v>726</v>
      </c>
      <c r="F278" s="238">
        <v>0.94</v>
      </c>
    </row>
    <row r="279" spans="1:6">
      <c r="A279" s="1461"/>
      <c r="B279" s="153" t="s">
        <v>548</v>
      </c>
      <c r="C279" s="227" t="s">
        <v>531</v>
      </c>
      <c r="D279" s="153" t="s">
        <v>532</v>
      </c>
      <c r="E279" s="145" t="s">
        <v>727</v>
      </c>
      <c r="F279" s="238">
        <v>1</v>
      </c>
    </row>
    <row r="280" spans="1:6">
      <c r="A280" s="1461"/>
      <c r="B280" s="1453" t="s">
        <v>549</v>
      </c>
      <c r="C280" s="1453" t="s">
        <v>536</v>
      </c>
      <c r="D280" s="153" t="s">
        <v>526</v>
      </c>
      <c r="E280" s="145" t="s">
        <v>728</v>
      </c>
      <c r="F280" s="238">
        <v>1.04</v>
      </c>
    </row>
    <row r="281" spans="1:6">
      <c r="A281" s="1461"/>
      <c r="B281" s="1453"/>
      <c r="C281" s="1453"/>
      <c r="D281" s="153" t="s">
        <v>535</v>
      </c>
      <c r="E281" s="145" t="s">
        <v>729</v>
      </c>
      <c r="F281" s="238">
        <v>1.1100000000000001</v>
      </c>
    </row>
    <row r="282" spans="1:6">
      <c r="A282" s="1461"/>
      <c r="B282" s="1453"/>
      <c r="C282" s="258" t="s">
        <v>537</v>
      </c>
      <c r="D282" s="232" t="s">
        <v>529</v>
      </c>
      <c r="E282" s="145" t="s">
        <v>730</v>
      </c>
      <c r="F282" s="238">
        <v>1.08</v>
      </c>
    </row>
    <row r="283" spans="1:6">
      <c r="A283" s="1461"/>
      <c r="B283" s="1453" t="s">
        <v>550</v>
      </c>
      <c r="C283" s="1448" t="s">
        <v>536</v>
      </c>
      <c r="D283" s="153" t="s">
        <v>526</v>
      </c>
      <c r="E283" s="145" t="s">
        <v>732</v>
      </c>
      <c r="F283" s="238">
        <v>1.37</v>
      </c>
    </row>
    <row r="284" spans="1:6">
      <c r="A284" s="1461"/>
      <c r="B284" s="1453"/>
      <c r="C284" s="1448"/>
      <c r="D284" s="153" t="s">
        <v>535</v>
      </c>
      <c r="E284" s="145" t="s">
        <v>731</v>
      </c>
      <c r="F284" s="238">
        <v>1.44</v>
      </c>
    </row>
    <row r="285" spans="1:6" ht="16.5" thickBot="1">
      <c r="A285" s="1506"/>
      <c r="B285" s="1507"/>
      <c r="C285" s="259" t="s">
        <v>537</v>
      </c>
      <c r="D285" s="242" t="s">
        <v>529</v>
      </c>
      <c r="E285" s="145" t="s">
        <v>733</v>
      </c>
      <c r="F285" s="243">
        <v>1.41</v>
      </c>
    </row>
    <row r="288" spans="1:6">
      <c r="B288" s="145" t="s">
        <v>552</v>
      </c>
      <c r="C288" s="145" t="s">
        <v>553</v>
      </c>
    </row>
    <row r="289" spans="1:8">
      <c r="A289" s="1453" t="s">
        <v>555</v>
      </c>
      <c r="B289" s="1453"/>
      <c r="C289" s="1453"/>
      <c r="D289" s="1453"/>
      <c r="E289" s="1453"/>
      <c r="F289" s="1453"/>
    </row>
    <row r="290" spans="1:8" ht="16.5" thickBot="1">
      <c r="A290" s="260" t="s">
        <v>557</v>
      </c>
      <c r="B290" s="260" t="s">
        <v>558</v>
      </c>
      <c r="C290" s="260" t="s">
        <v>559</v>
      </c>
      <c r="E290" s="260" t="s">
        <v>560</v>
      </c>
      <c r="G290" s="1480" t="s">
        <v>570</v>
      </c>
      <c r="H290" s="1481"/>
    </row>
    <row r="291" spans="1:8" ht="16.5" thickBot="1">
      <c r="A291" s="261" t="s">
        <v>556</v>
      </c>
      <c r="B291" s="262" t="s">
        <v>531</v>
      </c>
      <c r="C291" s="262" t="s">
        <v>531</v>
      </c>
      <c r="E291" s="263">
        <v>1</v>
      </c>
      <c r="G291" s="1486" t="s">
        <v>562</v>
      </c>
      <c r="H291" s="1487"/>
    </row>
    <row r="292" spans="1:8" ht="15.75" customHeight="1">
      <c r="A292" s="1454" t="s">
        <v>566</v>
      </c>
      <c r="B292" s="234" t="s">
        <v>567</v>
      </c>
      <c r="C292" s="244" t="s">
        <v>531</v>
      </c>
      <c r="D292" s="145" t="s">
        <v>735</v>
      </c>
      <c r="E292" s="264">
        <v>1</v>
      </c>
      <c r="G292" s="1484" t="s">
        <v>563</v>
      </c>
      <c r="H292" s="1485"/>
    </row>
    <row r="293" spans="1:8" ht="15.75" customHeight="1">
      <c r="A293" s="1455"/>
      <c r="B293" s="1453" t="s">
        <v>564</v>
      </c>
      <c r="C293" s="153" t="s">
        <v>541</v>
      </c>
      <c r="D293" s="145" t="s">
        <v>736</v>
      </c>
      <c r="E293" s="265">
        <v>0.95</v>
      </c>
      <c r="G293" s="1472" t="s">
        <v>568</v>
      </c>
      <c r="H293" s="1473"/>
    </row>
    <row r="294" spans="1:8">
      <c r="A294" s="1455"/>
      <c r="B294" s="1453"/>
      <c r="C294" s="153" t="s">
        <v>542</v>
      </c>
      <c r="D294" s="145" t="s">
        <v>738</v>
      </c>
      <c r="E294" s="265">
        <v>0.97</v>
      </c>
      <c r="G294" s="1474"/>
      <c r="H294" s="1475"/>
    </row>
    <row r="295" spans="1:8">
      <c r="A295" s="1455"/>
      <c r="B295" s="1453"/>
      <c r="C295" s="153" t="s">
        <v>525</v>
      </c>
      <c r="D295" s="145" t="s">
        <v>737</v>
      </c>
      <c r="E295" s="225">
        <v>0.96</v>
      </c>
      <c r="G295" s="1482"/>
      <c r="H295" s="1483"/>
    </row>
    <row r="296" spans="1:8" ht="15.75" customHeight="1">
      <c r="A296" s="1455"/>
      <c r="B296" s="153" t="s">
        <v>565</v>
      </c>
      <c r="C296" s="227" t="s">
        <v>531</v>
      </c>
      <c r="D296" s="145" t="s">
        <v>739</v>
      </c>
      <c r="E296" s="225">
        <v>0.7</v>
      </c>
      <c r="G296" s="1446" t="s">
        <v>569</v>
      </c>
      <c r="H296" s="1488"/>
    </row>
    <row r="297" spans="1:8" ht="15.75" customHeight="1">
      <c r="A297" s="1455"/>
      <c r="B297" s="1452" t="s">
        <v>571</v>
      </c>
      <c r="C297" s="227" t="s">
        <v>541</v>
      </c>
      <c r="D297" s="145" t="s">
        <v>740</v>
      </c>
      <c r="E297" s="227">
        <v>1.1399999999999999</v>
      </c>
      <c r="G297" s="1472" t="s">
        <v>573</v>
      </c>
      <c r="H297" s="1473"/>
    </row>
    <row r="298" spans="1:8">
      <c r="A298" s="1455"/>
      <c r="B298" s="1450"/>
      <c r="C298" s="227" t="s">
        <v>572</v>
      </c>
      <c r="D298" s="145" t="s">
        <v>741</v>
      </c>
      <c r="E298" s="227">
        <v>1.17</v>
      </c>
      <c r="G298" s="1474"/>
      <c r="H298" s="1475"/>
    </row>
    <row r="299" spans="1:8" ht="16.5" thickBot="1">
      <c r="A299" s="1512"/>
      <c r="B299" s="1511"/>
      <c r="C299" s="245" t="s">
        <v>537</v>
      </c>
      <c r="D299" s="145" t="s">
        <v>743</v>
      </c>
      <c r="E299" s="245">
        <v>1.1599999999999999</v>
      </c>
      <c r="G299" s="1476"/>
      <c r="H299" s="1477"/>
    </row>
    <row r="300" spans="1:8" ht="15.75" customHeight="1">
      <c r="A300" s="1458" t="s">
        <v>574</v>
      </c>
      <c r="B300" s="244" t="s">
        <v>548</v>
      </c>
      <c r="C300" s="244" t="s">
        <v>531</v>
      </c>
      <c r="D300" s="145" t="s">
        <v>742</v>
      </c>
      <c r="E300" s="244">
        <v>1</v>
      </c>
      <c r="G300" s="1478" t="s">
        <v>734</v>
      </c>
      <c r="H300" s="1479"/>
    </row>
    <row r="301" spans="1:8" ht="16.5" thickBot="1">
      <c r="A301" s="1459"/>
      <c r="B301" s="245" t="s">
        <v>575</v>
      </c>
      <c r="C301" s="245" t="s">
        <v>531</v>
      </c>
      <c r="D301" s="145" t="s">
        <v>575</v>
      </c>
      <c r="E301" s="245">
        <v>1.1100000000000001</v>
      </c>
      <c r="G301" s="1476"/>
      <c r="H301" s="1477"/>
    </row>
    <row r="302" spans="1:8">
      <c r="D302" s="145" t="s">
        <v>744</v>
      </c>
      <c r="E302" s="231">
        <v>1</v>
      </c>
    </row>
    <row r="304" spans="1:8">
      <c r="A304" s="254" t="s">
        <v>619</v>
      </c>
    </row>
    <row r="305" spans="1:5">
      <c r="B305" s="145" t="s">
        <v>577</v>
      </c>
    </row>
    <row r="306" spans="1:5">
      <c r="A306" s="1446" t="s">
        <v>578</v>
      </c>
      <c r="B306" s="1447"/>
      <c r="C306" s="1447"/>
      <c r="D306" s="1447"/>
      <c r="E306" s="1448"/>
    </row>
    <row r="307" spans="1:5">
      <c r="A307" s="227" t="s">
        <v>588</v>
      </c>
      <c r="B307" s="153" t="s">
        <v>558</v>
      </c>
      <c r="C307" s="227" t="s">
        <v>579</v>
      </c>
      <c r="D307" s="227" t="s">
        <v>580</v>
      </c>
      <c r="E307" s="227" t="s">
        <v>581</v>
      </c>
    </row>
    <row r="308" spans="1:5">
      <c r="A308" s="1457" t="s">
        <v>582</v>
      </c>
      <c r="B308" s="1453" t="s">
        <v>583</v>
      </c>
      <c r="C308" s="227" t="s">
        <v>561</v>
      </c>
      <c r="D308" s="227">
        <v>1</v>
      </c>
      <c r="E308" s="1452" t="s">
        <v>586</v>
      </c>
    </row>
    <row r="309" spans="1:5">
      <c r="A309" s="1457"/>
      <c r="B309" s="1453"/>
      <c r="C309" s="227" t="s">
        <v>572</v>
      </c>
      <c r="D309" s="227">
        <v>1</v>
      </c>
      <c r="E309" s="1451"/>
    </row>
    <row r="310" spans="1:5">
      <c r="A310" s="1457"/>
      <c r="B310" s="153" t="s">
        <v>584</v>
      </c>
      <c r="C310" s="227" t="s">
        <v>524</v>
      </c>
      <c r="D310" s="227">
        <v>0.64</v>
      </c>
      <c r="E310" s="1452" t="s">
        <v>587</v>
      </c>
    </row>
    <row r="311" spans="1:5">
      <c r="A311" s="1457"/>
      <c r="B311" s="153" t="s">
        <v>585</v>
      </c>
      <c r="C311" s="227" t="s">
        <v>524</v>
      </c>
      <c r="D311" s="227">
        <v>0.8</v>
      </c>
      <c r="E311" s="1451"/>
    </row>
    <row r="313" spans="1:5">
      <c r="A313" s="254" t="s">
        <v>618</v>
      </c>
    </row>
    <row r="314" spans="1:5">
      <c r="A314" s="1503" t="s">
        <v>208</v>
      </c>
      <c r="B314" s="1503"/>
      <c r="C314" s="227">
        <v>1.3</v>
      </c>
    </row>
    <row r="316" spans="1:5">
      <c r="A316" s="145" t="s">
        <v>149</v>
      </c>
      <c r="B316" s="145" t="s">
        <v>185</v>
      </c>
    </row>
    <row r="317" spans="1:5">
      <c r="C317" s="175" t="s">
        <v>183</v>
      </c>
      <c r="D317" s="175" t="s">
        <v>184</v>
      </c>
    </row>
    <row r="318" spans="1:5">
      <c r="B318" s="145" t="s">
        <v>667</v>
      </c>
      <c r="C318" s="175" t="s">
        <v>182</v>
      </c>
      <c r="D318" s="175" t="s">
        <v>182</v>
      </c>
    </row>
    <row r="319" spans="1:5">
      <c r="A319" s="1457" t="s">
        <v>174</v>
      </c>
      <c r="B319" s="266" t="s">
        <v>176</v>
      </c>
      <c r="C319" s="1500">
        <v>0.78</v>
      </c>
      <c r="D319" s="228">
        <v>1</v>
      </c>
    </row>
    <row r="320" spans="1:5">
      <c r="A320" s="1457"/>
      <c r="B320" s="266" t="s">
        <v>177</v>
      </c>
      <c r="C320" s="1501"/>
      <c r="D320" s="228">
        <v>0.6</v>
      </c>
    </row>
    <row r="321" spans="1:4">
      <c r="A321" s="1457"/>
      <c r="B321" s="266" t="s">
        <v>178</v>
      </c>
      <c r="C321" s="1502"/>
      <c r="D321" s="228">
        <v>0.52</v>
      </c>
    </row>
    <row r="322" spans="1:4">
      <c r="A322" s="1453" t="s">
        <v>175</v>
      </c>
      <c r="B322" s="266" t="s">
        <v>179</v>
      </c>
      <c r="C322" s="1500">
        <v>0.27</v>
      </c>
      <c r="D322" s="228">
        <v>0.28000000000000003</v>
      </c>
    </row>
    <row r="323" spans="1:4">
      <c r="A323" s="1453"/>
      <c r="B323" s="266" t="s">
        <v>180</v>
      </c>
      <c r="C323" s="1501"/>
      <c r="D323" s="228">
        <v>0.25</v>
      </c>
    </row>
    <row r="324" spans="1:4">
      <c r="A324" s="1453"/>
      <c r="B324" s="266" t="s">
        <v>181</v>
      </c>
      <c r="C324" s="1502"/>
      <c r="D324" s="228">
        <v>0.31</v>
      </c>
    </row>
    <row r="325" spans="1:4">
      <c r="A325" s="1504" t="s">
        <v>133</v>
      </c>
      <c r="B325" s="1505"/>
      <c r="C325" s="228">
        <v>0</v>
      </c>
      <c r="D325" s="228">
        <v>0</v>
      </c>
    </row>
    <row r="328" spans="1:4">
      <c r="A328" s="145" t="s">
        <v>192</v>
      </c>
    </row>
    <row r="329" spans="1:4">
      <c r="A329" s="145" t="s">
        <v>193</v>
      </c>
      <c r="C329" s="175" t="s">
        <v>183</v>
      </c>
      <c r="D329" s="175" t="s">
        <v>184</v>
      </c>
    </row>
    <row r="330" spans="1:4">
      <c r="B330" s="246" t="s">
        <v>187</v>
      </c>
      <c r="C330" s="175" t="s">
        <v>186</v>
      </c>
      <c r="D330" s="175" t="s">
        <v>186</v>
      </c>
    </row>
    <row r="331" spans="1:4" ht="31.5">
      <c r="B331" s="246" t="s">
        <v>190</v>
      </c>
      <c r="C331" s="1500">
        <v>1.22</v>
      </c>
      <c r="D331" s="227">
        <v>1</v>
      </c>
    </row>
    <row r="332" spans="1:4" ht="31.5">
      <c r="B332" s="246" t="s">
        <v>191</v>
      </c>
      <c r="C332" s="1501"/>
      <c r="D332" s="227">
        <v>0.68</v>
      </c>
    </row>
    <row r="333" spans="1:4">
      <c r="B333" s="246" t="s">
        <v>188</v>
      </c>
      <c r="C333" s="1502"/>
      <c r="D333" s="227">
        <v>1.9</v>
      </c>
    </row>
    <row r="335" spans="1:4">
      <c r="B335" s="145" t="s">
        <v>189</v>
      </c>
    </row>
    <row r="337" spans="1:36">
      <c r="A337" s="145" t="s">
        <v>194</v>
      </c>
    </row>
    <row r="338" spans="1:36">
      <c r="A338" s="145" t="s">
        <v>195</v>
      </c>
    </row>
    <row r="340" spans="1:36">
      <c r="B340" s="175" t="s">
        <v>202</v>
      </c>
      <c r="C340" s="267" t="s">
        <v>196</v>
      </c>
    </row>
    <row r="341" spans="1:36" ht="31.5">
      <c r="B341" s="246" t="s">
        <v>197</v>
      </c>
      <c r="C341" s="227">
        <v>1</v>
      </c>
    </row>
    <row r="342" spans="1:36" ht="31.5">
      <c r="B342" s="246" t="s">
        <v>198</v>
      </c>
      <c r="C342" s="227">
        <v>0.28999999999999998</v>
      </c>
    </row>
    <row r="343" spans="1:36">
      <c r="B343" s="246" t="s">
        <v>199</v>
      </c>
      <c r="C343" s="227">
        <v>0.05</v>
      </c>
    </row>
    <row r="344" spans="1:36">
      <c r="B344" s="246" t="s">
        <v>200</v>
      </c>
      <c r="C344" s="227">
        <v>0.14000000000000001</v>
      </c>
    </row>
    <row r="345" spans="1:36">
      <c r="B345" s="175" t="s">
        <v>201</v>
      </c>
      <c r="C345" s="227">
        <v>0.5</v>
      </c>
    </row>
    <row r="346" spans="1:36">
      <c r="B346" s="246" t="s">
        <v>204</v>
      </c>
      <c r="C346" s="227">
        <v>0</v>
      </c>
    </row>
    <row r="348" spans="1:36">
      <c r="A348" s="1443" t="s">
        <v>787</v>
      </c>
      <c r="B348" s="298" t="s">
        <v>886</v>
      </c>
      <c r="C348" s="299">
        <v>1</v>
      </c>
      <c r="D348" s="296"/>
    </row>
    <row r="349" spans="1:36" s="11" customFormat="1">
      <c r="A349" s="1444"/>
      <c r="B349" s="298" t="s">
        <v>887</v>
      </c>
      <c r="C349" s="298">
        <v>0.03</v>
      </c>
      <c r="D349" s="296"/>
      <c r="E349" s="145"/>
      <c r="F349" s="145"/>
      <c r="G349" s="145"/>
      <c r="H349" s="145"/>
      <c r="I349" s="145"/>
      <c r="N349" s="272"/>
      <c r="AA349" s="273"/>
      <c r="AJ349" s="274"/>
    </row>
    <row r="350" spans="1:36" s="11" customFormat="1">
      <c r="A350" s="1445"/>
      <c r="B350" s="300" t="s">
        <v>827</v>
      </c>
      <c r="C350" s="300">
        <v>0.7</v>
      </c>
      <c r="D350" s="296"/>
      <c r="E350" s="145"/>
      <c r="F350" s="145"/>
      <c r="G350" s="145"/>
      <c r="H350" s="145"/>
      <c r="I350" s="145"/>
      <c r="N350" s="272"/>
      <c r="AA350" s="273"/>
      <c r="AJ350" s="274"/>
    </row>
    <row r="351" spans="1:36">
      <c r="A351" s="296"/>
      <c r="B351" s="296"/>
      <c r="C351" s="296"/>
      <c r="D351" s="296"/>
    </row>
  </sheetData>
  <sortState ref="B243:U312">
    <sortCondition ref="B243:B312"/>
  </sortState>
  <mergeCells count="74">
    <mergeCell ref="A59:A61"/>
    <mergeCell ref="J94:J97"/>
    <mergeCell ref="L85:P85"/>
    <mergeCell ref="A306:E306"/>
    <mergeCell ref="B297:B299"/>
    <mergeCell ref="A292:A299"/>
    <mergeCell ref="B159:F159"/>
    <mergeCell ref="B161:F161"/>
    <mergeCell ref="B160:F160"/>
    <mergeCell ref="A224:A226"/>
    <mergeCell ref="A163:A165"/>
    <mergeCell ref="B59:B61"/>
    <mergeCell ref="A130:A137"/>
    <mergeCell ref="A138:A140"/>
    <mergeCell ref="B158:F158"/>
    <mergeCell ref="A155:A157"/>
    <mergeCell ref="E308:E309"/>
    <mergeCell ref="A308:A311"/>
    <mergeCell ref="B308:B309"/>
    <mergeCell ref="B293:B295"/>
    <mergeCell ref="C264:C265"/>
    <mergeCell ref="A274:A285"/>
    <mergeCell ref="B283:B285"/>
    <mergeCell ref="A289:F289"/>
    <mergeCell ref="C274:C275"/>
    <mergeCell ref="C276:C277"/>
    <mergeCell ref="B264:B268"/>
    <mergeCell ref="C266:C267"/>
    <mergeCell ref="E310:E311"/>
    <mergeCell ref="C331:C333"/>
    <mergeCell ref="A314:B314"/>
    <mergeCell ref="A319:A321"/>
    <mergeCell ref="A322:A324"/>
    <mergeCell ref="A325:B325"/>
    <mergeCell ref="C319:C321"/>
    <mergeCell ref="C322:C324"/>
    <mergeCell ref="B156:F156"/>
    <mergeCell ref="B155:AE155"/>
    <mergeCell ref="G156:AB156"/>
    <mergeCell ref="AC156:AE156"/>
    <mergeCell ref="AC158:AE158"/>
    <mergeCell ref="J103:L103"/>
    <mergeCell ref="I86:I89"/>
    <mergeCell ref="J86:J89"/>
    <mergeCell ref="I90:I93"/>
    <mergeCell ref="J90:J93"/>
    <mergeCell ref="I94:I97"/>
    <mergeCell ref="I105:L105"/>
    <mergeCell ref="AC159:AE159"/>
    <mergeCell ref="AC160:AE160"/>
    <mergeCell ref="G297:H299"/>
    <mergeCell ref="G300:H301"/>
    <mergeCell ref="G290:H290"/>
    <mergeCell ref="G293:H295"/>
    <mergeCell ref="AC161:AE161"/>
    <mergeCell ref="G292:H292"/>
    <mergeCell ref="G291:H291"/>
    <mergeCell ref="G296:H296"/>
    <mergeCell ref="A348:A350"/>
    <mergeCell ref="A251:E251"/>
    <mergeCell ref="B253:B257"/>
    <mergeCell ref="C255:C256"/>
    <mergeCell ref="C260:C261"/>
    <mergeCell ref="B260:B262"/>
    <mergeCell ref="A253:A262"/>
    <mergeCell ref="B274:B278"/>
    <mergeCell ref="B280:B282"/>
    <mergeCell ref="C269:C270"/>
    <mergeCell ref="C271:C272"/>
    <mergeCell ref="B269:B273"/>
    <mergeCell ref="A300:A301"/>
    <mergeCell ref="C280:C281"/>
    <mergeCell ref="C283:C284"/>
    <mergeCell ref="A263:A273"/>
  </mergeCells>
  <phoneticPr fontId="42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I64"/>
  <sheetViews>
    <sheetView topLeftCell="A22" zoomScale="90" zoomScaleNormal="90" workbookViewId="0">
      <selection activeCell="E24" sqref="E24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804" t="s">
        <v>619</v>
      </c>
    </row>
    <row r="3" spans="1:7">
      <c r="B3" t="s">
        <v>543</v>
      </c>
      <c r="C3" t="s">
        <v>551</v>
      </c>
    </row>
    <row r="4" spans="1:7">
      <c r="A4" s="1523" t="s">
        <v>516</v>
      </c>
      <c r="B4" s="1524"/>
      <c r="C4" s="1524"/>
      <c r="D4" s="1524"/>
      <c r="E4" s="1525"/>
      <c r="F4" s="30"/>
    </row>
    <row r="5" spans="1:7" ht="32.25" thickBot="1">
      <c r="A5" s="87" t="s">
        <v>517</v>
      </c>
      <c r="B5" s="87" t="s">
        <v>518</v>
      </c>
      <c r="C5" s="87" t="s">
        <v>521</v>
      </c>
      <c r="D5" s="87" t="s">
        <v>519</v>
      </c>
      <c r="G5" s="87" t="s">
        <v>520</v>
      </c>
    </row>
    <row r="6" spans="1:7">
      <c r="A6" s="1533" t="s">
        <v>545</v>
      </c>
      <c r="B6" s="1553" t="s">
        <v>543</v>
      </c>
      <c r="C6" s="434" t="s">
        <v>523</v>
      </c>
      <c r="D6" s="434" t="s">
        <v>526</v>
      </c>
      <c r="E6" t="s">
        <v>703</v>
      </c>
      <c r="G6" s="440">
        <v>0.8</v>
      </c>
    </row>
    <row r="7" spans="1:7">
      <c r="A7" s="1534"/>
      <c r="B7" s="1537"/>
      <c r="C7" s="24"/>
      <c r="D7" s="24" t="s">
        <v>527</v>
      </c>
      <c r="E7" t="s">
        <v>704</v>
      </c>
      <c r="G7" s="805">
        <v>0.69</v>
      </c>
    </row>
    <row r="8" spans="1:7">
      <c r="A8" s="1534"/>
      <c r="B8" s="1537"/>
      <c r="C8" s="1528" t="s">
        <v>524</v>
      </c>
      <c r="D8" s="24" t="s">
        <v>526</v>
      </c>
      <c r="E8" t="s">
        <v>705</v>
      </c>
      <c r="G8" s="805">
        <v>0.57999999999999996</v>
      </c>
    </row>
    <row r="9" spans="1:7">
      <c r="A9" s="1534"/>
      <c r="B9" s="1537"/>
      <c r="C9" s="1529"/>
      <c r="D9" s="24" t="s">
        <v>528</v>
      </c>
      <c r="E9" t="s">
        <v>706</v>
      </c>
      <c r="G9" s="805">
        <v>0.48</v>
      </c>
    </row>
    <row r="10" spans="1:7">
      <c r="A10" s="1534"/>
      <c r="B10" s="1529"/>
      <c r="C10" s="24" t="s">
        <v>525</v>
      </c>
      <c r="D10" s="24" t="s">
        <v>529</v>
      </c>
      <c r="E10" t="s">
        <v>707</v>
      </c>
      <c r="G10" s="805">
        <v>0.64</v>
      </c>
    </row>
    <row r="11" spans="1:7">
      <c r="A11" s="1534"/>
      <c r="B11" s="27" t="s">
        <v>530</v>
      </c>
      <c r="C11" s="27" t="s">
        <v>531</v>
      </c>
      <c r="D11" s="24" t="s">
        <v>532</v>
      </c>
      <c r="E11" s="806" t="s">
        <v>530</v>
      </c>
      <c r="F11" s="806"/>
      <c r="G11" s="807">
        <v>1.1000000000000001</v>
      </c>
    </row>
    <row r="12" spans="1:7" ht="31.5">
      <c r="A12" s="1534"/>
      <c r="B12" s="24" t="s">
        <v>1738</v>
      </c>
      <c r="C12" s="24" t="s">
        <v>531</v>
      </c>
      <c r="D12" s="24" t="s">
        <v>532</v>
      </c>
      <c r="E12" s="806" t="s">
        <v>1385</v>
      </c>
      <c r="F12" s="806"/>
      <c r="G12" s="805">
        <v>1</v>
      </c>
    </row>
    <row r="13" spans="1:7">
      <c r="A13" s="1534"/>
      <c r="B13" s="1528" t="s">
        <v>534</v>
      </c>
      <c r="C13" s="1527" t="s">
        <v>536</v>
      </c>
      <c r="D13" s="24" t="s">
        <v>526</v>
      </c>
      <c r="E13" t="s">
        <v>709</v>
      </c>
      <c r="G13" s="805">
        <v>0.93</v>
      </c>
    </row>
    <row r="14" spans="1:7">
      <c r="A14" s="1534"/>
      <c r="B14" s="1537"/>
      <c r="C14" s="1527"/>
      <c r="D14" s="24" t="s">
        <v>535</v>
      </c>
      <c r="E14" t="s">
        <v>710</v>
      </c>
      <c r="G14" s="805">
        <v>0.82</v>
      </c>
    </row>
    <row r="15" spans="1:7" ht="16.5" thickBot="1">
      <c r="A15" s="1534"/>
      <c r="B15" s="1537"/>
      <c r="C15" s="87" t="s">
        <v>537</v>
      </c>
      <c r="D15" s="87" t="s">
        <v>529</v>
      </c>
      <c r="E15" t="s">
        <v>711</v>
      </c>
      <c r="G15" s="808">
        <v>0.88</v>
      </c>
    </row>
    <row r="16" spans="1:7">
      <c r="A16" s="1545" t="s">
        <v>538</v>
      </c>
      <c r="B16" s="430" t="s">
        <v>539</v>
      </c>
      <c r="C16" s="434" t="s">
        <v>531</v>
      </c>
      <c r="D16" s="434" t="s">
        <v>532</v>
      </c>
      <c r="E16" s="819" t="s">
        <v>539</v>
      </c>
      <c r="F16" s="820"/>
      <c r="G16" s="444">
        <v>1</v>
      </c>
    </row>
    <row r="17" spans="1:7">
      <c r="A17" s="1546"/>
      <c r="B17" s="1527" t="s">
        <v>540</v>
      </c>
      <c r="C17" s="1552" t="s">
        <v>541</v>
      </c>
      <c r="D17" s="113" t="s">
        <v>526</v>
      </c>
      <c r="E17" t="s">
        <v>712</v>
      </c>
      <c r="G17" s="807">
        <v>1.02</v>
      </c>
    </row>
    <row r="18" spans="1:7">
      <c r="A18" s="1546"/>
      <c r="B18" s="1527"/>
      <c r="C18" s="1552"/>
      <c r="D18" s="113" t="s">
        <v>527</v>
      </c>
      <c r="E18" t="s">
        <v>713</v>
      </c>
      <c r="G18" s="807">
        <v>1.08</v>
      </c>
    </row>
    <row r="19" spans="1:7">
      <c r="A19" s="1546"/>
      <c r="B19" s="1527"/>
      <c r="C19" s="1527" t="s">
        <v>542</v>
      </c>
      <c r="D19" s="113" t="s">
        <v>526</v>
      </c>
      <c r="E19" t="s">
        <v>714</v>
      </c>
      <c r="G19" s="807">
        <v>1.0900000000000001</v>
      </c>
    </row>
    <row r="20" spans="1:7">
      <c r="A20" s="1546"/>
      <c r="B20" s="1527"/>
      <c r="C20" s="1527"/>
      <c r="D20" s="113" t="s">
        <v>528</v>
      </c>
      <c r="E20" t="s">
        <v>715</v>
      </c>
      <c r="G20" s="807">
        <v>1.1499999999999999</v>
      </c>
    </row>
    <row r="21" spans="1:7">
      <c r="A21" s="1546"/>
      <c r="B21" s="1527"/>
      <c r="C21" s="24" t="s">
        <v>525</v>
      </c>
      <c r="D21" s="113" t="s">
        <v>529</v>
      </c>
      <c r="E21" t="s">
        <v>716</v>
      </c>
      <c r="G21" s="807">
        <v>1.0900000000000001</v>
      </c>
    </row>
    <row r="22" spans="1:7">
      <c r="A22" s="1546"/>
      <c r="B22" s="1527" t="s">
        <v>544</v>
      </c>
      <c r="C22" s="1552" t="s">
        <v>541</v>
      </c>
      <c r="D22" s="113" t="s">
        <v>526</v>
      </c>
      <c r="E22" t="s">
        <v>717</v>
      </c>
      <c r="G22" s="807">
        <v>1.1000000000000001</v>
      </c>
    </row>
    <row r="23" spans="1:7">
      <c r="A23" s="1546"/>
      <c r="B23" s="1527"/>
      <c r="C23" s="1552"/>
      <c r="D23" s="113" t="s">
        <v>527</v>
      </c>
      <c r="E23" t="s">
        <v>718</v>
      </c>
      <c r="G23" s="807">
        <v>1.1499999999999999</v>
      </c>
    </row>
    <row r="24" spans="1:7">
      <c r="A24" s="1546"/>
      <c r="B24" s="1527"/>
      <c r="C24" s="1527" t="s">
        <v>542</v>
      </c>
      <c r="D24" s="113" t="s">
        <v>526</v>
      </c>
      <c r="E24" t="s">
        <v>719</v>
      </c>
      <c r="G24" s="807">
        <v>1.17</v>
      </c>
    </row>
    <row r="25" spans="1:7">
      <c r="A25" s="1546"/>
      <c r="B25" s="1527"/>
      <c r="C25" s="1527"/>
      <c r="D25" s="113" t="s">
        <v>528</v>
      </c>
      <c r="E25" t="s">
        <v>720</v>
      </c>
      <c r="G25" s="807">
        <v>1.22</v>
      </c>
    </row>
    <row r="26" spans="1:7" ht="16.5" thickBot="1">
      <c r="A26" s="1551"/>
      <c r="B26" s="1528"/>
      <c r="C26" s="87" t="s">
        <v>525</v>
      </c>
      <c r="D26" s="809" t="s">
        <v>529</v>
      </c>
      <c r="E26" t="s">
        <v>721</v>
      </c>
      <c r="G26" s="810">
        <v>1.1599999999999999</v>
      </c>
    </row>
    <row r="27" spans="1:7">
      <c r="A27" s="1545" t="s">
        <v>546</v>
      </c>
      <c r="B27" s="1548" t="s">
        <v>547</v>
      </c>
      <c r="C27" s="1549" t="s">
        <v>541</v>
      </c>
      <c r="D27" s="603" t="s">
        <v>526</v>
      </c>
      <c r="E27" s="819" t="s">
        <v>722</v>
      </c>
      <c r="F27" s="820"/>
      <c r="G27" s="444">
        <v>0.95</v>
      </c>
    </row>
    <row r="28" spans="1:7">
      <c r="A28" s="1546"/>
      <c r="B28" s="1526"/>
      <c r="C28" s="1550"/>
      <c r="D28" s="113" t="s">
        <v>527</v>
      </c>
      <c r="E28" t="s">
        <v>723</v>
      </c>
      <c r="G28" s="807">
        <v>0.92</v>
      </c>
    </row>
    <row r="29" spans="1:7">
      <c r="A29" s="1546"/>
      <c r="B29" s="1526"/>
      <c r="C29" s="1527" t="s">
        <v>542</v>
      </c>
      <c r="D29" s="113" t="s">
        <v>526</v>
      </c>
      <c r="E29" t="s">
        <v>724</v>
      </c>
      <c r="G29" s="807">
        <v>0.95</v>
      </c>
    </row>
    <row r="30" spans="1:7">
      <c r="A30" s="1546"/>
      <c r="B30" s="1526"/>
      <c r="C30" s="1527"/>
      <c r="D30" s="113" t="s">
        <v>528</v>
      </c>
      <c r="E30" t="s">
        <v>725</v>
      </c>
      <c r="G30" s="807">
        <v>0.92</v>
      </c>
    </row>
    <row r="31" spans="1:7">
      <c r="A31" s="1546"/>
      <c r="B31" s="1526"/>
      <c r="C31" s="24" t="s">
        <v>525</v>
      </c>
      <c r="D31" s="113" t="s">
        <v>529</v>
      </c>
      <c r="E31" t="s">
        <v>726</v>
      </c>
      <c r="G31" s="807">
        <v>0.94</v>
      </c>
    </row>
    <row r="32" spans="1:7">
      <c r="A32" s="1546"/>
      <c r="B32" s="24" t="s">
        <v>548</v>
      </c>
      <c r="C32" s="27" t="s">
        <v>531</v>
      </c>
      <c r="D32" s="24" t="s">
        <v>532</v>
      </c>
      <c r="E32" t="s">
        <v>727</v>
      </c>
      <c r="G32" s="807">
        <v>1</v>
      </c>
    </row>
    <row r="33" spans="1:9">
      <c r="A33" s="1546"/>
      <c r="B33" s="1527" t="s">
        <v>549</v>
      </c>
      <c r="C33" s="1527" t="s">
        <v>536</v>
      </c>
      <c r="D33" s="24" t="s">
        <v>526</v>
      </c>
      <c r="E33" t="s">
        <v>728</v>
      </c>
      <c r="G33" s="807">
        <v>1.04</v>
      </c>
    </row>
    <row r="34" spans="1:9">
      <c r="A34" s="1546"/>
      <c r="B34" s="1527"/>
      <c r="C34" s="1527"/>
      <c r="D34" s="24" t="s">
        <v>535</v>
      </c>
      <c r="E34" t="s">
        <v>729</v>
      </c>
      <c r="G34" s="807">
        <v>1.1100000000000001</v>
      </c>
    </row>
    <row r="35" spans="1:9">
      <c r="A35" s="1546"/>
      <c r="B35" s="1527"/>
      <c r="C35" s="811" t="s">
        <v>537</v>
      </c>
      <c r="D35" s="87" t="s">
        <v>529</v>
      </c>
      <c r="E35" t="s">
        <v>730</v>
      </c>
      <c r="G35" s="807">
        <v>1.08</v>
      </c>
    </row>
    <row r="36" spans="1:9">
      <c r="A36" s="1546"/>
      <c r="B36" s="1527" t="s">
        <v>550</v>
      </c>
      <c r="C36" s="1525" t="s">
        <v>536</v>
      </c>
      <c r="D36" s="24" t="s">
        <v>526</v>
      </c>
      <c r="E36" t="s">
        <v>732</v>
      </c>
      <c r="G36" s="807">
        <v>1.37</v>
      </c>
    </row>
    <row r="37" spans="1:9">
      <c r="A37" s="1546"/>
      <c r="B37" s="1527"/>
      <c r="C37" s="1525"/>
      <c r="D37" s="24" t="s">
        <v>535</v>
      </c>
      <c r="E37" t="s">
        <v>731</v>
      </c>
      <c r="G37" s="807">
        <v>1.44</v>
      </c>
    </row>
    <row r="38" spans="1:9" ht="16.5" thickBot="1">
      <c r="A38" s="1547"/>
      <c r="B38" s="1521"/>
      <c r="C38" s="812" t="s">
        <v>537</v>
      </c>
      <c r="D38" s="436" t="s">
        <v>529</v>
      </c>
      <c r="E38" t="s">
        <v>733</v>
      </c>
      <c r="G38" s="813">
        <v>1.41</v>
      </c>
    </row>
    <row r="39" spans="1:9">
      <c r="E39" s="819"/>
      <c r="F39" s="820"/>
    </row>
    <row r="41" spans="1:9">
      <c r="B41" t="s">
        <v>552</v>
      </c>
      <c r="C41" t="s">
        <v>553</v>
      </c>
    </row>
    <row r="42" spans="1:9">
      <c r="A42" s="1527" t="s">
        <v>555</v>
      </c>
      <c r="B42" s="1527"/>
      <c r="C42" s="1527"/>
      <c r="D42" s="1527"/>
      <c r="E42" s="1527"/>
      <c r="F42" s="1527"/>
      <c r="G42" s="1527"/>
    </row>
    <row r="43" spans="1:9" ht="16.5" thickBot="1">
      <c r="A43" s="125" t="s">
        <v>557</v>
      </c>
      <c r="B43" s="125" t="s">
        <v>558</v>
      </c>
      <c r="C43" s="125" t="s">
        <v>559</v>
      </c>
      <c r="E43" s="125" t="s">
        <v>560</v>
      </c>
      <c r="F43" s="12"/>
      <c r="H43" s="1530" t="s">
        <v>570</v>
      </c>
      <c r="I43" s="1530"/>
    </row>
    <row r="44" spans="1:9" ht="16.5" thickBot="1">
      <c r="A44" s="814" t="s">
        <v>556</v>
      </c>
      <c r="B44" s="815" t="s">
        <v>531</v>
      </c>
      <c r="C44" s="815" t="s">
        <v>531</v>
      </c>
      <c r="E44" s="816">
        <v>1</v>
      </c>
      <c r="F44" s="63"/>
      <c r="H44" s="1531" t="s">
        <v>1386</v>
      </c>
      <c r="I44" s="1532"/>
    </row>
    <row r="45" spans="1:9" ht="31.5">
      <c r="A45" s="1533" t="s">
        <v>566</v>
      </c>
      <c r="B45" s="434" t="s">
        <v>567</v>
      </c>
      <c r="C45" s="430" t="s">
        <v>531</v>
      </c>
      <c r="D45" t="s">
        <v>735</v>
      </c>
      <c r="E45" s="817">
        <v>1</v>
      </c>
      <c r="F45" s="63"/>
      <c r="H45" s="1519" t="s">
        <v>563</v>
      </c>
      <c r="I45" s="1520"/>
    </row>
    <row r="46" spans="1:9">
      <c r="A46" s="1534"/>
      <c r="B46" s="1527" t="s">
        <v>564</v>
      </c>
      <c r="C46" s="113" t="s">
        <v>541</v>
      </c>
      <c r="D46" t="s">
        <v>736</v>
      </c>
      <c r="E46" s="818">
        <v>0.95</v>
      </c>
      <c r="F46" s="63"/>
      <c r="H46" s="1527" t="s">
        <v>568</v>
      </c>
      <c r="I46" s="1536"/>
    </row>
    <row r="47" spans="1:9">
      <c r="A47" s="1534"/>
      <c r="B47" s="1527"/>
      <c r="C47" s="24" t="s">
        <v>542</v>
      </c>
      <c r="D47" t="s">
        <v>738</v>
      </c>
      <c r="E47" s="818">
        <v>0.97</v>
      </c>
      <c r="F47" s="63"/>
      <c r="H47" s="1527"/>
      <c r="I47" s="1536"/>
    </row>
    <row r="48" spans="1:9">
      <c r="A48" s="1534"/>
      <c r="B48" s="1527"/>
      <c r="C48" s="24" t="s">
        <v>525</v>
      </c>
      <c r="D48" t="s">
        <v>737</v>
      </c>
      <c r="E48" s="68">
        <v>0.96</v>
      </c>
      <c r="F48" s="63"/>
      <c r="H48" s="1527"/>
      <c r="I48" s="1536"/>
    </row>
    <row r="49" spans="1:9">
      <c r="A49" s="1534"/>
      <c r="B49" s="24" t="s">
        <v>565</v>
      </c>
      <c r="C49" s="27" t="s">
        <v>531</v>
      </c>
      <c r="D49" t="s">
        <v>739</v>
      </c>
      <c r="E49" s="68">
        <v>0.7</v>
      </c>
      <c r="F49" s="63"/>
      <c r="H49" s="1527" t="s">
        <v>569</v>
      </c>
      <c r="I49" s="1536"/>
    </row>
    <row r="50" spans="1:9">
      <c r="A50" s="1534"/>
      <c r="B50" s="1528" t="s">
        <v>571</v>
      </c>
      <c r="C50" s="27" t="s">
        <v>541</v>
      </c>
      <c r="D50" t="s">
        <v>740</v>
      </c>
      <c r="E50" s="27">
        <v>1.1399999999999999</v>
      </c>
      <c r="F50" s="12"/>
      <c r="H50" s="1539" t="s">
        <v>573</v>
      </c>
      <c r="I50" s="1540"/>
    </row>
    <row r="51" spans="1:9">
      <c r="A51" s="1534"/>
      <c r="B51" s="1537"/>
      <c r="C51" s="27" t="s">
        <v>572</v>
      </c>
      <c r="D51" t="s">
        <v>741</v>
      </c>
      <c r="E51" s="27">
        <v>1.17</v>
      </c>
      <c r="F51" s="12"/>
      <c r="H51" s="1541"/>
      <c r="I51" s="1542"/>
    </row>
    <row r="52" spans="1:9" ht="16.5" thickBot="1">
      <c r="A52" s="1535"/>
      <c r="B52" s="1538"/>
      <c r="C52" s="699" t="s">
        <v>537</v>
      </c>
      <c r="D52" t="s">
        <v>743</v>
      </c>
      <c r="E52" s="699">
        <v>1.1599999999999999</v>
      </c>
      <c r="F52" s="12"/>
      <c r="H52" s="1543"/>
      <c r="I52" s="1544"/>
    </row>
    <row r="53" spans="1:9">
      <c r="A53" s="1517" t="s">
        <v>574</v>
      </c>
      <c r="B53" s="430" t="s">
        <v>548</v>
      </c>
      <c r="C53" s="430" t="s">
        <v>531</v>
      </c>
      <c r="D53" t="s">
        <v>742</v>
      </c>
      <c r="E53" s="430">
        <v>1</v>
      </c>
      <c r="F53" s="12"/>
      <c r="H53" s="1519" t="s">
        <v>734</v>
      </c>
      <c r="I53" s="1520"/>
    </row>
    <row r="54" spans="1:9" ht="16.5" thickBot="1">
      <c r="A54" s="1518"/>
      <c r="B54" s="699" t="s">
        <v>575</v>
      </c>
      <c r="C54" s="699" t="s">
        <v>531</v>
      </c>
      <c r="D54" t="s">
        <v>575</v>
      </c>
      <c r="E54" s="699">
        <v>1.1100000000000001</v>
      </c>
      <c r="F54" s="12"/>
      <c r="H54" s="1521"/>
      <c r="I54" s="1522"/>
    </row>
    <row r="55" spans="1:9">
      <c r="D55" t="s">
        <v>744</v>
      </c>
      <c r="E55" s="826">
        <v>1</v>
      </c>
    </row>
    <row r="57" spans="1:9">
      <c r="A57" s="37" t="s">
        <v>619</v>
      </c>
    </row>
    <row r="58" spans="1:9">
      <c r="B58" t="s">
        <v>577</v>
      </c>
    </row>
    <row r="59" spans="1:9">
      <c r="A59" s="1523" t="s">
        <v>578</v>
      </c>
      <c r="B59" s="1524"/>
      <c r="C59" s="1524"/>
      <c r="D59" s="1524"/>
      <c r="E59" s="1525"/>
      <c r="F59" s="30"/>
    </row>
    <row r="60" spans="1:9">
      <c r="A60" s="27" t="s">
        <v>588</v>
      </c>
      <c r="B60" s="24" t="s">
        <v>558</v>
      </c>
      <c r="C60" s="27" t="s">
        <v>579</v>
      </c>
      <c r="D60" s="27" t="s">
        <v>580</v>
      </c>
      <c r="E60" s="27" t="s">
        <v>581</v>
      </c>
      <c r="F60" s="12"/>
    </row>
    <row r="61" spans="1:9">
      <c r="A61" s="1526" t="s">
        <v>582</v>
      </c>
      <c r="B61" s="1527" t="s">
        <v>583</v>
      </c>
      <c r="C61" s="27" t="s">
        <v>561</v>
      </c>
      <c r="D61" s="27">
        <v>1</v>
      </c>
      <c r="E61" s="1528" t="s">
        <v>586</v>
      </c>
      <c r="F61" s="30"/>
    </row>
    <row r="62" spans="1:9">
      <c r="A62" s="1526"/>
      <c r="B62" s="1527"/>
      <c r="C62" s="27" t="s">
        <v>572</v>
      </c>
      <c r="D62" s="27">
        <v>1</v>
      </c>
      <c r="E62" s="1529"/>
      <c r="F62" s="30"/>
    </row>
    <row r="63" spans="1:9" ht="31.5">
      <c r="A63" s="1526"/>
      <c r="B63" s="24" t="s">
        <v>584</v>
      </c>
      <c r="C63" s="27" t="s">
        <v>524</v>
      </c>
      <c r="D63" s="27">
        <v>0.64</v>
      </c>
      <c r="E63" s="1528" t="s">
        <v>587</v>
      </c>
      <c r="F63" s="30"/>
    </row>
    <row r="64" spans="1:9" ht="31.5">
      <c r="A64" s="1526"/>
      <c r="B64" s="24" t="s">
        <v>585</v>
      </c>
      <c r="C64" s="27" t="s">
        <v>524</v>
      </c>
      <c r="D64" s="27">
        <v>0.8</v>
      </c>
      <c r="E64" s="1529"/>
      <c r="F64" s="30"/>
    </row>
  </sheetData>
  <mergeCells count="38">
    <mergeCell ref="A4:E4"/>
    <mergeCell ref="A6:A15"/>
    <mergeCell ref="B6:B10"/>
    <mergeCell ref="C8:C9"/>
    <mergeCell ref="B13:B15"/>
    <mergeCell ref="C13:C14"/>
    <mergeCell ref="A16:A26"/>
    <mergeCell ref="B17:B21"/>
    <mergeCell ref="C17:C18"/>
    <mergeCell ref="C19:C20"/>
    <mergeCell ref="B22:B26"/>
    <mergeCell ref="C22:C23"/>
    <mergeCell ref="C24:C25"/>
    <mergeCell ref="A27:A38"/>
    <mergeCell ref="B27:B31"/>
    <mergeCell ref="C27:C28"/>
    <mergeCell ref="C29:C30"/>
    <mergeCell ref="B33:B35"/>
    <mergeCell ref="C33:C34"/>
    <mergeCell ref="B36:B38"/>
    <mergeCell ref="C36:C37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53:A54"/>
    <mergeCell ref="H53:I54"/>
    <mergeCell ref="A59:E59"/>
    <mergeCell ref="A61:A64"/>
    <mergeCell ref="B61:B62"/>
    <mergeCell ref="E61:E62"/>
    <mergeCell ref="E63:E6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workbookViewId="0">
      <selection activeCell="E3" sqref="E3:E9"/>
    </sheetView>
  </sheetViews>
  <sheetFormatPr defaultColWidth="8.875" defaultRowHeight="15.75"/>
  <cols>
    <col min="1" max="1" width="39.875" bestFit="1" customWidth="1"/>
    <col min="2" max="2" width="15" customWidth="1"/>
    <col min="6" max="6" width="32.125" bestFit="1" customWidth="1"/>
  </cols>
  <sheetData>
    <row r="1" spans="1:49" s="11" customFormat="1" ht="24.75" customHeight="1">
      <c r="A1" s="275" t="s">
        <v>843</v>
      </c>
      <c r="B1" s="275"/>
      <c r="C1" s="275"/>
      <c r="D1" s="275"/>
      <c r="E1" s="275"/>
      <c r="F1" s="276"/>
      <c r="N1" s="272"/>
      <c r="R1" s="273"/>
      <c r="AA1" s="274"/>
    </row>
    <row r="2" spans="1:49" s="11" customFormat="1">
      <c r="A2" s="1559" t="s">
        <v>844</v>
      </c>
      <c r="B2" s="176" t="s">
        <v>582</v>
      </c>
      <c r="C2" s="176" t="s">
        <v>834</v>
      </c>
      <c r="D2" s="176" t="s">
        <v>842</v>
      </c>
      <c r="E2" s="176" t="s">
        <v>836</v>
      </c>
      <c r="F2" s="276" t="s">
        <v>970</v>
      </c>
      <c r="G2" s="176" t="s">
        <v>842</v>
      </c>
      <c r="N2" s="272"/>
      <c r="R2" s="273"/>
      <c r="AA2" s="274"/>
    </row>
    <row r="3" spans="1:49" s="11" customFormat="1">
      <c r="A3" s="1559"/>
      <c r="B3" s="175" t="s">
        <v>835</v>
      </c>
      <c r="C3" s="175" t="s">
        <v>833</v>
      </c>
      <c r="D3" s="175">
        <v>0.11</v>
      </c>
      <c r="E3" s="1452" t="s">
        <v>898</v>
      </c>
      <c r="F3" s="145" t="s">
        <v>971</v>
      </c>
      <c r="G3" s="145">
        <v>0.11</v>
      </c>
      <c r="H3" s="145"/>
      <c r="I3" s="145"/>
      <c r="N3" s="272"/>
      <c r="R3" s="273"/>
      <c r="AA3" s="274"/>
    </row>
    <row r="4" spans="1:49" s="11" customFormat="1">
      <c r="A4" s="1559"/>
      <c r="B4" s="175"/>
      <c r="C4" s="177" t="s">
        <v>838</v>
      </c>
      <c r="D4" s="175">
        <v>0.12</v>
      </c>
      <c r="E4" s="1450"/>
      <c r="F4" s="145" t="s">
        <v>972</v>
      </c>
      <c r="G4" s="145">
        <v>0.13</v>
      </c>
      <c r="H4" s="145"/>
      <c r="I4" s="145"/>
      <c r="N4" s="272"/>
      <c r="R4" s="273"/>
      <c r="AA4" s="274"/>
    </row>
    <row r="5" spans="1:49" s="145" customFormat="1">
      <c r="A5" s="1559"/>
      <c r="B5" s="175"/>
      <c r="C5" s="177" t="s">
        <v>839</v>
      </c>
      <c r="D5" s="175">
        <v>0.14000000000000001</v>
      </c>
      <c r="E5" s="1450"/>
      <c r="F5" s="145" t="s">
        <v>973</v>
      </c>
      <c r="G5" s="145">
        <v>0.22</v>
      </c>
      <c r="N5" s="230"/>
      <c r="R5" s="231"/>
      <c r="AA5" s="229"/>
    </row>
    <row r="6" spans="1:49" s="145" customFormat="1">
      <c r="A6" s="1559"/>
      <c r="B6" s="175"/>
      <c r="C6" s="177" t="s">
        <v>837</v>
      </c>
      <c r="D6" s="175">
        <v>0.22</v>
      </c>
      <c r="E6" s="1450"/>
      <c r="F6" s="145" t="s">
        <v>974</v>
      </c>
      <c r="G6" s="145">
        <f>(D7+D8)/2</f>
        <v>0.37</v>
      </c>
      <c r="I6" s="11"/>
      <c r="J6" s="11"/>
      <c r="K6" s="11"/>
      <c r="L6" s="11"/>
      <c r="M6" s="11"/>
      <c r="N6" s="272"/>
      <c r="O6" s="11"/>
      <c r="P6" s="11"/>
      <c r="Q6" s="11"/>
      <c r="R6" s="273"/>
      <c r="S6" s="11"/>
      <c r="T6" s="11"/>
      <c r="U6" s="11"/>
      <c r="V6" s="11"/>
      <c r="W6" s="11"/>
      <c r="X6" s="11"/>
      <c r="Y6" s="11"/>
      <c r="Z6" s="11"/>
      <c r="AA6" s="274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5" customFormat="1">
      <c r="A7" s="1559"/>
      <c r="B7" s="175"/>
      <c r="C7" s="177" t="s">
        <v>840</v>
      </c>
      <c r="D7" s="175">
        <v>0.31</v>
      </c>
      <c r="E7" s="1450"/>
      <c r="F7" s="177" t="s">
        <v>928</v>
      </c>
      <c r="G7" s="145">
        <v>1</v>
      </c>
      <c r="I7" s="11"/>
      <c r="J7" s="11"/>
      <c r="K7" s="11"/>
      <c r="L7" s="11"/>
      <c r="M7" s="11"/>
      <c r="N7" s="272"/>
      <c r="O7" s="11"/>
      <c r="P7" s="11"/>
      <c r="Q7" s="11"/>
      <c r="R7" s="273"/>
      <c r="S7" s="11"/>
      <c r="T7" s="11"/>
      <c r="U7" s="11"/>
      <c r="V7" s="11"/>
      <c r="W7" s="11"/>
      <c r="X7" s="11"/>
      <c r="Y7" s="11"/>
      <c r="Z7" s="11"/>
      <c r="AA7" s="274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5" customFormat="1">
      <c r="A8" s="1559"/>
      <c r="B8" s="175"/>
      <c r="C8" s="175" t="s">
        <v>841</v>
      </c>
      <c r="D8" s="175">
        <v>0.43</v>
      </c>
      <c r="E8" s="1450"/>
      <c r="I8" s="11"/>
      <c r="J8" s="11"/>
      <c r="K8" s="11"/>
      <c r="L8" s="11"/>
      <c r="M8" s="11"/>
      <c r="N8" s="272"/>
      <c r="O8" s="11"/>
      <c r="P8" s="11"/>
      <c r="Q8" s="11"/>
      <c r="R8" s="273"/>
      <c r="S8" s="11"/>
      <c r="T8" s="11"/>
      <c r="U8" s="11"/>
      <c r="V8" s="11"/>
      <c r="W8" s="11"/>
      <c r="X8" s="11"/>
      <c r="Y8" s="11"/>
      <c r="Z8" s="11"/>
      <c r="AA8" s="274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5" customFormat="1">
      <c r="A9" s="1559"/>
      <c r="B9" s="175" t="s">
        <v>857</v>
      </c>
      <c r="C9" s="177" t="s">
        <v>928</v>
      </c>
      <c r="D9" s="175">
        <v>1</v>
      </c>
      <c r="E9" s="1451"/>
      <c r="I9" s="11"/>
      <c r="J9" s="11"/>
      <c r="K9" s="11"/>
      <c r="L9" s="11"/>
      <c r="M9" s="11"/>
      <c r="N9" s="272"/>
      <c r="O9" s="11"/>
      <c r="P9" s="11"/>
      <c r="Q9" s="11"/>
      <c r="R9" s="273"/>
      <c r="S9" s="11"/>
      <c r="T9" s="11"/>
      <c r="U9" s="11"/>
      <c r="V9" s="11"/>
      <c r="W9" s="11"/>
      <c r="X9" s="11"/>
      <c r="Y9" s="11"/>
      <c r="Z9" s="11"/>
      <c r="AA9" s="274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5" customFormat="1">
      <c r="I10" s="11"/>
      <c r="J10" s="11"/>
      <c r="K10" s="11"/>
      <c r="L10" s="11"/>
      <c r="M10" s="11"/>
      <c r="N10" s="272"/>
      <c r="O10" s="11"/>
      <c r="P10" s="11"/>
      <c r="Q10" s="11"/>
      <c r="R10" s="273"/>
      <c r="S10" s="11"/>
      <c r="T10" s="11"/>
      <c r="U10" s="11"/>
      <c r="V10" s="11"/>
      <c r="W10" s="11"/>
      <c r="X10" s="11"/>
      <c r="Y10" s="11"/>
      <c r="Z10" s="11"/>
      <c r="AA10" s="274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5" customFormat="1">
      <c r="I11" s="11"/>
      <c r="J11" s="11"/>
      <c r="K11" s="11"/>
      <c r="L11" s="11"/>
      <c r="M11" s="11"/>
      <c r="N11" s="272"/>
      <c r="O11" s="11"/>
      <c r="P11" s="11"/>
      <c r="Q11" s="11"/>
      <c r="R11" s="273"/>
      <c r="S11" s="11"/>
      <c r="T11" s="11"/>
      <c r="U11" s="11"/>
      <c r="V11" s="11"/>
      <c r="W11" s="11"/>
      <c r="X11" s="11"/>
      <c r="Y11" s="11"/>
      <c r="Z11" s="11"/>
      <c r="AA11" s="274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5" customFormat="1">
      <c r="A12" s="1559" t="s">
        <v>856</v>
      </c>
      <c r="B12" s="176" t="s">
        <v>850</v>
      </c>
      <c r="C12" s="176" t="s">
        <v>845</v>
      </c>
      <c r="D12" s="176" t="s">
        <v>855</v>
      </c>
      <c r="E12" s="1560" t="s">
        <v>836</v>
      </c>
      <c r="F12" s="1560"/>
      <c r="N12" s="230"/>
      <c r="R12" s="231"/>
      <c r="AA12" s="229"/>
    </row>
    <row r="13" spans="1:49" s="145" customFormat="1" ht="15.75" customHeight="1">
      <c r="A13" s="1559"/>
      <c r="B13" s="175" t="s">
        <v>851</v>
      </c>
      <c r="C13" s="175" t="s">
        <v>846</v>
      </c>
      <c r="D13" s="175">
        <v>0.15</v>
      </c>
      <c r="E13" s="1453" t="s">
        <v>988</v>
      </c>
      <c r="F13" s="1453"/>
      <c r="N13" s="230"/>
      <c r="R13" s="231"/>
      <c r="AA13" s="229"/>
    </row>
    <row r="14" spans="1:49" s="145" customFormat="1">
      <c r="A14" s="1559"/>
      <c r="B14" s="175" t="s">
        <v>852</v>
      </c>
      <c r="C14" s="175" t="s">
        <v>847</v>
      </c>
      <c r="D14" s="175">
        <v>0.2</v>
      </c>
      <c r="E14" s="1453"/>
      <c r="F14" s="1453"/>
      <c r="N14" s="230"/>
      <c r="R14" s="231"/>
      <c r="AA14" s="229"/>
    </row>
    <row r="15" spans="1:49" s="145" customFormat="1">
      <c r="A15" s="1559"/>
      <c r="B15" s="175" t="s">
        <v>853</v>
      </c>
      <c r="C15" s="175" t="s">
        <v>848</v>
      </c>
      <c r="D15" s="175">
        <v>0.25</v>
      </c>
      <c r="E15" s="1453"/>
      <c r="F15" s="1453"/>
      <c r="N15" s="230"/>
      <c r="R15" s="231"/>
      <c r="AA15" s="229"/>
    </row>
    <row r="16" spans="1:49" s="145" customFormat="1">
      <c r="A16" s="1559"/>
      <c r="B16" s="175" t="s">
        <v>854</v>
      </c>
      <c r="C16" s="175" t="s">
        <v>849</v>
      </c>
      <c r="D16" s="175">
        <v>0.3</v>
      </c>
      <c r="E16" s="1453"/>
      <c r="F16" s="1453"/>
      <c r="N16" s="230"/>
      <c r="R16" s="231"/>
      <c r="AA16" s="229"/>
    </row>
    <row r="17" spans="1:27" s="145" customFormat="1">
      <c r="A17" s="1559"/>
      <c r="B17" s="175" t="s">
        <v>859</v>
      </c>
      <c r="C17" s="175" t="s">
        <v>846</v>
      </c>
      <c r="D17" s="175">
        <v>0.15</v>
      </c>
      <c r="E17" s="1453"/>
      <c r="F17" s="1453"/>
      <c r="N17" s="230"/>
      <c r="R17" s="231"/>
      <c r="AA17" s="229"/>
    </row>
    <row r="18" spans="1:27" s="145" customFormat="1">
      <c r="A18" s="1559"/>
      <c r="B18" s="175" t="s">
        <v>860</v>
      </c>
      <c r="C18" s="175" t="s">
        <v>847</v>
      </c>
      <c r="D18" s="175">
        <v>0.2</v>
      </c>
      <c r="E18" s="1453"/>
      <c r="F18" s="1453"/>
      <c r="N18" s="230"/>
      <c r="R18" s="231"/>
      <c r="AA18" s="229"/>
    </row>
    <row r="19" spans="1:27" s="145" customFormat="1">
      <c r="A19" s="1559"/>
      <c r="B19" s="175" t="s">
        <v>861</v>
      </c>
      <c r="C19" s="175" t="s">
        <v>848</v>
      </c>
      <c r="D19" s="175">
        <v>0.25</v>
      </c>
      <c r="E19" s="1453"/>
      <c r="F19" s="1453"/>
      <c r="N19" s="230"/>
      <c r="R19" s="231"/>
      <c r="AA19" s="229"/>
    </row>
    <row r="20" spans="1:27" s="145" customFormat="1">
      <c r="A20" s="1559"/>
      <c r="B20" s="175" t="s">
        <v>862</v>
      </c>
      <c r="C20" s="175" t="s">
        <v>849</v>
      </c>
      <c r="D20" s="175">
        <v>0.3</v>
      </c>
      <c r="E20" s="1453"/>
      <c r="F20" s="1453"/>
      <c r="N20" s="230"/>
      <c r="R20" s="231"/>
      <c r="AA20" s="229"/>
    </row>
    <row r="21" spans="1:27" s="145" customFormat="1">
      <c r="N21" s="230"/>
      <c r="R21" s="231"/>
      <c r="AA21" s="229"/>
    </row>
    <row r="22" spans="1:27" s="145" customFormat="1">
      <c r="A22" s="1556" t="s">
        <v>876</v>
      </c>
      <c r="B22" s="176" t="s">
        <v>863</v>
      </c>
      <c r="C22" s="176" t="s">
        <v>864</v>
      </c>
      <c r="D22" s="176" t="s">
        <v>836</v>
      </c>
      <c r="N22" s="230"/>
      <c r="R22" s="231"/>
      <c r="AA22" s="229"/>
    </row>
    <row r="23" spans="1:27" s="145" customFormat="1" ht="15.75" customHeight="1">
      <c r="A23" s="1557"/>
      <c r="B23" s="175" t="s">
        <v>865</v>
      </c>
      <c r="C23" s="175">
        <v>1E-3</v>
      </c>
      <c r="D23" s="1452" t="s">
        <v>988</v>
      </c>
      <c r="N23" s="230"/>
      <c r="R23" s="231"/>
      <c r="AA23" s="229"/>
    </row>
    <row r="24" spans="1:27" s="145" customFormat="1">
      <c r="A24" s="1557"/>
      <c r="B24" s="175" t="s">
        <v>866</v>
      </c>
      <c r="C24" s="175">
        <v>0.05</v>
      </c>
      <c r="D24" s="1450"/>
      <c r="N24" s="230"/>
      <c r="R24" s="231"/>
      <c r="AA24" s="229"/>
    </row>
    <row r="25" spans="1:27" s="145" customFormat="1">
      <c r="A25" s="1557"/>
      <c r="B25" s="175" t="s">
        <v>867</v>
      </c>
      <c r="C25" s="175">
        <v>0.05</v>
      </c>
      <c r="D25" s="1450"/>
      <c r="N25" s="230"/>
      <c r="R25" s="231"/>
      <c r="AA25" s="229"/>
    </row>
    <row r="26" spans="1:27" s="145" customFormat="1">
      <c r="A26" s="1557"/>
      <c r="B26" s="175" t="s">
        <v>868</v>
      </c>
      <c r="C26" s="175">
        <v>0.4</v>
      </c>
      <c r="D26" s="1450"/>
      <c r="N26" s="230"/>
      <c r="R26" s="231"/>
      <c r="AA26" s="229"/>
    </row>
    <row r="27" spans="1:27" s="145" customFormat="1">
      <c r="A27" s="1557"/>
      <c r="B27" s="175" t="s">
        <v>644</v>
      </c>
      <c r="C27" s="175">
        <v>0.1</v>
      </c>
      <c r="D27" s="1450"/>
      <c r="N27" s="230"/>
      <c r="R27" s="231"/>
      <c r="AA27" s="229"/>
    </row>
    <row r="28" spans="1:27" s="145" customFormat="1">
      <c r="A28" s="1557"/>
      <c r="B28" s="175" t="s">
        <v>378</v>
      </c>
      <c r="C28" s="175">
        <v>0.1</v>
      </c>
      <c r="D28" s="1450"/>
      <c r="N28" s="230"/>
      <c r="R28" s="231"/>
      <c r="AA28" s="229"/>
    </row>
    <row r="29" spans="1:27" s="145" customFormat="1">
      <c r="A29" s="1557"/>
      <c r="B29" s="175" t="s">
        <v>869</v>
      </c>
      <c r="C29" s="175">
        <v>0.15</v>
      </c>
      <c r="D29" s="1450"/>
      <c r="N29" s="230"/>
      <c r="R29" s="231"/>
      <c r="AA29" s="229"/>
    </row>
    <row r="30" spans="1:27" s="145" customFormat="1">
      <c r="A30" s="1557"/>
      <c r="B30" s="175" t="s">
        <v>870</v>
      </c>
      <c r="C30" s="175">
        <v>0.15</v>
      </c>
      <c r="D30" s="1450"/>
      <c r="N30" s="230"/>
      <c r="R30" s="231"/>
      <c r="AA30" s="229"/>
    </row>
    <row r="31" spans="1:27" s="145" customFormat="1">
      <c r="A31" s="1557"/>
      <c r="B31" s="175" t="s">
        <v>885</v>
      </c>
      <c r="C31" s="175">
        <v>0.01</v>
      </c>
      <c r="D31" s="1450"/>
      <c r="N31" s="230"/>
      <c r="R31" s="231"/>
      <c r="AA31" s="229"/>
    </row>
    <row r="32" spans="1:27" s="145" customFormat="1">
      <c r="A32" s="1557"/>
      <c r="B32" s="175" t="s">
        <v>871</v>
      </c>
      <c r="C32" s="175">
        <v>0.05</v>
      </c>
      <c r="D32" s="1450"/>
      <c r="N32" s="230"/>
      <c r="R32" s="231"/>
      <c r="AA32" s="229"/>
    </row>
    <row r="33" spans="1:27" s="145" customFormat="1">
      <c r="A33" s="1557"/>
      <c r="B33" s="175" t="s">
        <v>872</v>
      </c>
      <c r="C33" s="175">
        <v>0.05</v>
      </c>
      <c r="D33" s="1450"/>
      <c r="N33" s="230"/>
      <c r="R33" s="231"/>
      <c r="AA33" s="229"/>
    </row>
    <row r="34" spans="1:27" s="145" customFormat="1">
      <c r="A34" s="1557"/>
      <c r="B34" s="175" t="s">
        <v>873</v>
      </c>
      <c r="C34" s="175">
        <v>0.6</v>
      </c>
      <c r="D34" s="1450"/>
      <c r="N34" s="230"/>
      <c r="R34" s="231"/>
      <c r="AA34" s="229"/>
    </row>
    <row r="35" spans="1:27" s="145" customFormat="1">
      <c r="A35" s="1557"/>
      <c r="B35" s="175" t="s">
        <v>874</v>
      </c>
      <c r="C35" s="175">
        <v>0.25</v>
      </c>
      <c r="D35" s="1450"/>
      <c r="N35" s="230"/>
      <c r="R35" s="231"/>
      <c r="AA35" s="229"/>
    </row>
    <row r="36" spans="1:27" s="145" customFormat="1">
      <c r="A36" s="1558"/>
      <c r="B36" s="175" t="s">
        <v>875</v>
      </c>
      <c r="C36" s="175">
        <v>1</v>
      </c>
      <c r="D36" s="1451"/>
      <c r="N36" s="230"/>
      <c r="R36" s="231"/>
      <c r="AA36" s="229"/>
    </row>
    <row r="37" spans="1:27" s="145" customFormat="1">
      <c r="F37" s="11"/>
      <c r="G37" s="11"/>
      <c r="H37" s="11"/>
      <c r="I37" s="11"/>
      <c r="N37" s="230"/>
      <c r="R37" s="231"/>
      <c r="AA37" s="229"/>
    </row>
    <row r="38" spans="1:27" s="145" customFormat="1">
      <c r="A38" s="1559" t="s">
        <v>878</v>
      </c>
      <c r="B38" s="176" t="s">
        <v>877</v>
      </c>
      <c r="C38" s="176" t="s">
        <v>832</v>
      </c>
      <c r="D38" s="175" t="s">
        <v>879</v>
      </c>
      <c r="E38" s="277" t="s">
        <v>836</v>
      </c>
      <c r="F38" s="11"/>
      <c r="G38" s="11"/>
      <c r="H38" s="11"/>
      <c r="I38" s="11"/>
      <c r="N38" s="230"/>
      <c r="R38" s="231"/>
      <c r="AA38" s="229"/>
    </row>
    <row r="39" spans="1:27" s="145" customFormat="1" ht="15" customHeight="1">
      <c r="A39" s="1559"/>
      <c r="B39" s="175" t="s">
        <v>880</v>
      </c>
      <c r="C39" s="175">
        <v>25</v>
      </c>
      <c r="D39" s="175">
        <v>0.32</v>
      </c>
      <c r="E39" s="278" t="s">
        <v>899</v>
      </c>
      <c r="F39" s="11"/>
      <c r="G39" s="11"/>
      <c r="H39" s="11"/>
      <c r="I39" s="11"/>
      <c r="N39" s="230"/>
      <c r="R39" s="231"/>
      <c r="AA39" s="229"/>
    </row>
    <row r="40" spans="1:27" s="145" customFormat="1">
      <c r="A40" s="1559"/>
      <c r="B40" s="175" t="s">
        <v>881</v>
      </c>
      <c r="C40" s="175">
        <v>22</v>
      </c>
      <c r="D40" s="175">
        <v>0.3</v>
      </c>
      <c r="E40" s="278"/>
      <c r="F40" s="11"/>
      <c r="G40" s="11"/>
      <c r="H40" s="11"/>
      <c r="I40" s="11"/>
      <c r="N40" s="230"/>
      <c r="R40" s="231"/>
      <c r="AA40" s="229"/>
    </row>
    <row r="41" spans="1:27" s="145" customFormat="1">
      <c r="A41" s="1559"/>
      <c r="B41" s="175" t="s">
        <v>882</v>
      </c>
      <c r="C41" s="175">
        <v>15</v>
      </c>
      <c r="D41" s="175">
        <v>0.19</v>
      </c>
      <c r="E41" s="278"/>
      <c r="F41" s="11"/>
      <c r="G41" s="11"/>
      <c r="H41" s="11"/>
      <c r="I41" s="11"/>
      <c r="N41" s="230"/>
      <c r="R41" s="231"/>
      <c r="AA41" s="229"/>
    </row>
    <row r="42" spans="1:27" s="145" customFormat="1">
      <c r="F42" s="11"/>
      <c r="G42" s="11"/>
      <c r="H42" s="11"/>
      <c r="I42" s="11"/>
      <c r="N42" s="230"/>
      <c r="R42" s="231"/>
      <c r="AA42" s="229"/>
    </row>
    <row r="43" spans="1:27" s="145" customFormat="1" ht="47.25" customHeight="1">
      <c r="B43" s="175"/>
      <c r="C43" s="1555" t="s">
        <v>980</v>
      </c>
      <c r="D43" s="1555"/>
      <c r="E43" s="1555"/>
      <c r="F43" s="1555"/>
      <c r="G43" s="1555"/>
      <c r="H43" s="1555"/>
      <c r="N43" s="230"/>
      <c r="R43" s="231"/>
      <c r="AA43" s="229"/>
    </row>
    <row r="44" spans="1:27" s="279" customFormat="1" ht="16.5" thickBot="1">
      <c r="B44" s="280"/>
      <c r="C44" s="247">
        <v>1</v>
      </c>
      <c r="D44" s="247">
        <v>3</v>
      </c>
      <c r="E44" s="247">
        <v>5</v>
      </c>
      <c r="F44" s="247">
        <v>15</v>
      </c>
      <c r="G44" s="247">
        <v>30</v>
      </c>
      <c r="H44" s="247">
        <v>90</v>
      </c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AA44" s="281"/>
    </row>
    <row r="45" spans="1:27" s="145" customFormat="1" ht="16.5" thickBot="1">
      <c r="B45" s="145" t="s">
        <v>971</v>
      </c>
      <c r="C45" s="248">
        <v>0.3</v>
      </c>
      <c r="D45" s="248">
        <v>0.3</v>
      </c>
      <c r="E45" s="248">
        <v>0.3</v>
      </c>
      <c r="F45" s="248">
        <v>0.49</v>
      </c>
      <c r="G45" s="248">
        <v>0.65</v>
      </c>
      <c r="H45" s="248">
        <v>1.01</v>
      </c>
      <c r="L45" s="282"/>
      <c r="AA45" s="229"/>
    </row>
    <row r="46" spans="1:27" s="145" customFormat="1">
      <c r="B46" s="145" t="s">
        <v>972</v>
      </c>
      <c r="C46" s="248">
        <v>0.52</v>
      </c>
      <c r="D46" s="248">
        <v>0.85</v>
      </c>
      <c r="E46" s="248">
        <v>1.06</v>
      </c>
      <c r="F46" s="248">
        <v>2.2200000000000002</v>
      </c>
      <c r="G46" s="248">
        <v>3.4</v>
      </c>
      <c r="H46" s="248">
        <v>6.68</v>
      </c>
      <c r="AA46" s="229"/>
    </row>
    <row r="47" spans="1:27" s="145" customFormat="1">
      <c r="B47" s="145" t="s">
        <v>973</v>
      </c>
      <c r="C47" s="248">
        <v>0.59</v>
      </c>
      <c r="D47" s="248">
        <v>1.1299999999999999</v>
      </c>
      <c r="E47" s="248">
        <v>1.53</v>
      </c>
      <c r="F47" s="248">
        <v>3.39</v>
      </c>
      <c r="G47" s="248">
        <v>5.34</v>
      </c>
      <c r="H47" s="248">
        <v>11.01</v>
      </c>
      <c r="AA47" s="229"/>
    </row>
    <row r="48" spans="1:27" s="145" customFormat="1">
      <c r="B48" s="145" t="s">
        <v>974</v>
      </c>
      <c r="C48" s="248">
        <v>0.65</v>
      </c>
      <c r="D48" s="248">
        <v>1.38</v>
      </c>
      <c r="E48" s="248">
        <v>1.95</v>
      </c>
      <c r="F48" s="248">
        <v>4.45</v>
      </c>
      <c r="G48" s="248">
        <v>7.14</v>
      </c>
      <c r="H48" s="248">
        <v>15.14</v>
      </c>
      <c r="AA48" s="229"/>
    </row>
    <row r="49" spans="2:27" s="145" customFormat="1">
      <c r="N49" s="230"/>
      <c r="R49" s="231"/>
      <c r="AA49" s="229"/>
    </row>
    <row r="50" spans="2:27" s="145" customFormat="1">
      <c r="N50" s="230"/>
      <c r="R50" s="231"/>
      <c r="AA50" s="229"/>
    </row>
    <row r="51" spans="2:27" s="145" customFormat="1">
      <c r="N51" s="230"/>
      <c r="R51" s="231"/>
      <c r="AA51" s="229"/>
    </row>
    <row r="52" spans="2:27" s="145" customFormat="1">
      <c r="N52" s="230"/>
      <c r="R52" s="231"/>
      <c r="AA52" s="229"/>
    </row>
    <row r="53" spans="2:27" s="145" customFormat="1">
      <c r="N53" s="230"/>
      <c r="R53" s="231"/>
      <c r="AA53" s="229"/>
    </row>
    <row r="54" spans="2:27" s="145" customFormat="1">
      <c r="B54" s="1554" t="s">
        <v>976</v>
      </c>
      <c r="C54" s="1554"/>
      <c r="D54" s="1554"/>
      <c r="E54" s="1554"/>
      <c r="F54" s="1554"/>
      <c r="G54" s="1554"/>
      <c r="H54" s="1554"/>
      <c r="I54" s="1554"/>
      <c r="J54" s="1554"/>
      <c r="K54" s="1554"/>
      <c r="L54" s="1554"/>
      <c r="M54" s="1554"/>
      <c r="N54" s="1554"/>
      <c r="O54" s="1554"/>
      <c r="P54" s="1554"/>
      <c r="Q54" s="1554"/>
      <c r="R54" s="1554"/>
      <c r="S54" s="1554"/>
      <c r="AA54" s="229"/>
    </row>
    <row r="55" spans="2:27" s="145" customFormat="1">
      <c r="B55" s="283"/>
      <c r="C55" s="283"/>
      <c r="D55" s="283"/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283"/>
      <c r="AA55" s="229"/>
    </row>
    <row r="56" spans="2:27" s="145" customFormat="1">
      <c r="B56" s="284"/>
      <c r="C56" s="284"/>
      <c r="D56" s="284"/>
      <c r="E56" s="284"/>
      <c r="F56" s="284"/>
      <c r="G56" s="284"/>
      <c r="H56" s="284"/>
      <c r="I56" s="284"/>
      <c r="J56" s="284"/>
      <c r="K56" s="284"/>
      <c r="L56" s="284"/>
      <c r="M56" s="284"/>
      <c r="N56" s="284"/>
      <c r="O56" s="284"/>
      <c r="P56" s="284"/>
      <c r="Q56" s="284"/>
      <c r="R56" s="284"/>
      <c r="S56" s="284"/>
      <c r="AA56" s="229"/>
    </row>
    <row r="57" spans="2:27" s="231" customFormat="1">
      <c r="B57" s="285" t="s">
        <v>979</v>
      </c>
      <c r="C57" s="286" t="s">
        <v>977</v>
      </c>
      <c r="D57" s="286">
        <v>6</v>
      </c>
      <c r="E57" s="286">
        <v>9</v>
      </c>
      <c r="F57" s="286">
        <v>12</v>
      </c>
      <c r="G57" s="286">
        <v>15</v>
      </c>
      <c r="H57" s="286">
        <v>25</v>
      </c>
      <c r="I57" s="286">
        <v>50</v>
      </c>
      <c r="J57" s="286">
        <v>75</v>
      </c>
      <c r="K57" s="286">
        <v>100</v>
      </c>
      <c r="L57" s="286">
        <v>150</v>
      </c>
      <c r="M57" s="286">
        <v>200</v>
      </c>
      <c r="N57" s="286">
        <v>250</v>
      </c>
      <c r="O57" s="286">
        <v>300</v>
      </c>
      <c r="P57" s="286">
        <v>400</v>
      </c>
      <c r="Q57" s="286">
        <v>600</v>
      </c>
      <c r="R57" s="286">
        <v>800</v>
      </c>
      <c r="S57" s="287">
        <v>1000</v>
      </c>
      <c r="AA57" s="229"/>
    </row>
    <row r="58" spans="2:27" s="279" customFormat="1">
      <c r="B58" s="288" t="s">
        <v>978</v>
      </c>
      <c r="C58" s="288">
        <f>3*0.3048</f>
        <v>0.9144000000000001</v>
      </c>
      <c r="D58" s="288">
        <f t="shared" ref="D58:S58" si="0">D57*0.3048</f>
        <v>1.8288000000000002</v>
      </c>
      <c r="E58" s="288">
        <f t="shared" si="0"/>
        <v>2.7432000000000003</v>
      </c>
      <c r="F58" s="288">
        <f t="shared" si="0"/>
        <v>3.6576000000000004</v>
      </c>
      <c r="G58" s="288">
        <f t="shared" si="0"/>
        <v>4.5720000000000001</v>
      </c>
      <c r="H58" s="288">
        <f t="shared" si="0"/>
        <v>7.62</v>
      </c>
      <c r="I58" s="288">
        <f t="shared" si="0"/>
        <v>15.24</v>
      </c>
      <c r="J58" s="288">
        <f t="shared" si="0"/>
        <v>22.86</v>
      </c>
      <c r="K58" s="288">
        <f t="shared" si="0"/>
        <v>30.48</v>
      </c>
      <c r="L58" s="288">
        <f t="shared" si="0"/>
        <v>45.72</v>
      </c>
      <c r="M58" s="288">
        <f t="shared" si="0"/>
        <v>60.96</v>
      </c>
      <c r="N58" s="288">
        <f t="shared" si="0"/>
        <v>76.2</v>
      </c>
      <c r="O58" s="288">
        <f t="shared" si="0"/>
        <v>91.44</v>
      </c>
      <c r="P58" s="288">
        <f t="shared" si="0"/>
        <v>121.92</v>
      </c>
      <c r="Q58" s="288">
        <f t="shared" si="0"/>
        <v>182.88</v>
      </c>
      <c r="R58" s="288">
        <f t="shared" si="0"/>
        <v>243.84</v>
      </c>
      <c r="S58" s="288">
        <f t="shared" si="0"/>
        <v>304.8</v>
      </c>
      <c r="AA58" s="281"/>
    </row>
    <row r="59" spans="2:27" s="145" customFormat="1">
      <c r="B59" s="289" t="s">
        <v>360</v>
      </c>
      <c r="C59" s="290"/>
      <c r="D59" s="290"/>
      <c r="E59" s="290"/>
      <c r="F59" s="290"/>
      <c r="G59" s="290"/>
      <c r="H59" s="290"/>
      <c r="I59" s="290"/>
      <c r="J59" s="290"/>
      <c r="K59" s="290"/>
      <c r="L59" s="290"/>
      <c r="M59" s="290"/>
      <c r="N59" s="290"/>
      <c r="O59" s="290"/>
      <c r="P59" s="290"/>
      <c r="Q59" s="290"/>
      <c r="R59" s="290"/>
      <c r="S59" s="290"/>
      <c r="AA59" s="229"/>
    </row>
    <row r="60" spans="2:27" s="145" customFormat="1">
      <c r="B60" s="286">
        <v>0.2</v>
      </c>
      <c r="C60" s="291">
        <v>0.05</v>
      </c>
      <c r="D60" s="291">
        <v>0.05</v>
      </c>
      <c r="E60" s="291">
        <v>0.05</v>
      </c>
      <c r="F60" s="291">
        <v>0.05</v>
      </c>
      <c r="G60" s="291">
        <v>0.05</v>
      </c>
      <c r="H60" s="291">
        <v>0.05</v>
      </c>
      <c r="I60" s="291">
        <v>0.05</v>
      </c>
      <c r="J60" s="291">
        <v>0.05</v>
      </c>
      <c r="K60" s="291">
        <v>0.05</v>
      </c>
      <c r="L60" s="291">
        <v>0.05</v>
      </c>
      <c r="M60" s="291">
        <v>0.05</v>
      </c>
      <c r="N60" s="291">
        <v>0.05</v>
      </c>
      <c r="O60" s="291">
        <v>0.05</v>
      </c>
      <c r="P60" s="291">
        <v>0.05</v>
      </c>
      <c r="Q60" s="291">
        <v>0.06</v>
      </c>
      <c r="R60" s="291">
        <v>0.06</v>
      </c>
      <c r="S60" s="291">
        <v>0.06</v>
      </c>
      <c r="AA60" s="229"/>
    </row>
    <row r="61" spans="2:27" s="145" customFormat="1">
      <c r="B61" s="286">
        <v>0.5</v>
      </c>
      <c r="C61" s="291">
        <v>7.0000000000000007E-2</v>
      </c>
      <c r="D61" s="291">
        <v>7.0000000000000007E-2</v>
      </c>
      <c r="E61" s="291">
        <v>7.0000000000000007E-2</v>
      </c>
      <c r="F61" s="291">
        <v>7.0000000000000007E-2</v>
      </c>
      <c r="G61" s="291">
        <v>7.0000000000000007E-2</v>
      </c>
      <c r="H61" s="291">
        <v>0.08</v>
      </c>
      <c r="I61" s="291">
        <v>0.08</v>
      </c>
      <c r="J61" s="291">
        <v>0.08</v>
      </c>
      <c r="K61" s="291">
        <v>0.09</v>
      </c>
      <c r="L61" s="291">
        <v>0.09</v>
      </c>
      <c r="M61" s="291">
        <v>0.09</v>
      </c>
      <c r="N61" s="291">
        <v>0.09</v>
      </c>
      <c r="O61" s="291">
        <v>0.09</v>
      </c>
      <c r="P61" s="291">
        <v>0.1</v>
      </c>
      <c r="Q61" s="291">
        <v>0.1</v>
      </c>
      <c r="R61" s="291">
        <v>0.1</v>
      </c>
      <c r="S61" s="291">
        <v>0.1</v>
      </c>
      <c r="AA61" s="229"/>
    </row>
    <row r="62" spans="2:27" s="145" customFormat="1">
      <c r="B62" s="286">
        <v>1</v>
      </c>
      <c r="C62" s="291">
        <v>0.11</v>
      </c>
      <c r="D62" s="291">
        <v>0.11</v>
      </c>
      <c r="E62" s="291">
        <v>0.11</v>
      </c>
      <c r="F62" s="291">
        <v>0.11</v>
      </c>
      <c r="G62" s="291">
        <v>0.11</v>
      </c>
      <c r="H62" s="291">
        <v>0.12</v>
      </c>
      <c r="I62" s="291">
        <v>0.13</v>
      </c>
      <c r="J62" s="291">
        <v>0.14000000000000001</v>
      </c>
      <c r="K62" s="291">
        <v>0.14000000000000001</v>
      </c>
      <c r="L62" s="291">
        <v>0.15</v>
      </c>
      <c r="M62" s="291">
        <v>0.16</v>
      </c>
      <c r="N62" s="291">
        <v>0.17</v>
      </c>
      <c r="O62" s="291">
        <v>0.17</v>
      </c>
      <c r="P62" s="291">
        <v>0.18</v>
      </c>
      <c r="Q62" s="291">
        <v>0.19</v>
      </c>
      <c r="R62" s="291">
        <v>0.2</v>
      </c>
      <c r="S62" s="291">
        <v>0.2</v>
      </c>
      <c r="AA62" s="229"/>
    </row>
    <row r="63" spans="2:27" s="145" customFormat="1">
      <c r="B63" s="286">
        <v>2</v>
      </c>
      <c r="C63" s="291">
        <v>0.17</v>
      </c>
      <c r="D63" s="291">
        <v>0.17</v>
      </c>
      <c r="E63" s="291">
        <v>0.17</v>
      </c>
      <c r="F63" s="291">
        <v>0.17</v>
      </c>
      <c r="G63" s="291">
        <v>0.17</v>
      </c>
      <c r="H63" s="291">
        <v>0.19</v>
      </c>
      <c r="I63" s="291">
        <v>0.22</v>
      </c>
      <c r="J63" s="291">
        <v>0.25</v>
      </c>
      <c r="K63" s="291">
        <v>0.27</v>
      </c>
      <c r="L63" s="291">
        <v>0.28999999999999998</v>
      </c>
      <c r="M63" s="291">
        <v>0.31</v>
      </c>
      <c r="N63" s="291">
        <v>0.33</v>
      </c>
      <c r="O63" s="291">
        <v>0.35</v>
      </c>
      <c r="P63" s="291">
        <v>0.37</v>
      </c>
      <c r="Q63" s="291">
        <v>0.41</v>
      </c>
      <c r="R63" s="291">
        <v>0.44</v>
      </c>
      <c r="S63" s="291">
        <v>0.47</v>
      </c>
      <c r="AA63" s="229"/>
    </row>
    <row r="64" spans="2:27" s="145" customFormat="1">
      <c r="B64" s="286">
        <v>3</v>
      </c>
      <c r="C64" s="291">
        <v>0.22</v>
      </c>
      <c r="D64" s="291">
        <v>0.22</v>
      </c>
      <c r="E64" s="291">
        <v>0.22</v>
      </c>
      <c r="F64" s="291">
        <v>0.22</v>
      </c>
      <c r="G64" s="291">
        <v>0.22</v>
      </c>
      <c r="H64" s="291">
        <v>0.25</v>
      </c>
      <c r="I64" s="291">
        <v>0.32</v>
      </c>
      <c r="J64" s="291">
        <v>0.36</v>
      </c>
      <c r="K64" s="291">
        <v>0.39</v>
      </c>
      <c r="L64" s="291">
        <v>0.44</v>
      </c>
      <c r="M64" s="291">
        <v>0.48</v>
      </c>
      <c r="N64" s="291">
        <v>0.52</v>
      </c>
      <c r="O64" s="291">
        <v>0.55000000000000004</v>
      </c>
      <c r="P64" s="291">
        <v>0.6</v>
      </c>
      <c r="Q64" s="291">
        <v>0.68</v>
      </c>
      <c r="R64" s="291">
        <v>0.75</v>
      </c>
      <c r="S64" s="291">
        <v>0.8</v>
      </c>
      <c r="AA64" s="229"/>
    </row>
    <row r="65" spans="2:27" s="145" customFormat="1">
      <c r="B65" s="286">
        <v>4</v>
      </c>
      <c r="C65" s="291">
        <v>0.26</v>
      </c>
      <c r="D65" s="291">
        <v>0.26</v>
      </c>
      <c r="E65" s="291">
        <v>0.26</v>
      </c>
      <c r="F65" s="291">
        <v>0.26</v>
      </c>
      <c r="G65" s="291">
        <v>0.26</v>
      </c>
      <c r="H65" s="291">
        <v>0.31</v>
      </c>
      <c r="I65" s="291">
        <v>0.4</v>
      </c>
      <c r="J65" s="291">
        <v>0.47</v>
      </c>
      <c r="K65" s="291">
        <v>0.52</v>
      </c>
      <c r="L65" s="291">
        <v>0.6</v>
      </c>
      <c r="M65" s="291">
        <v>0.67</v>
      </c>
      <c r="N65" s="291">
        <v>0.72</v>
      </c>
      <c r="O65" s="291">
        <v>0.77</v>
      </c>
      <c r="P65" s="291">
        <v>0.86</v>
      </c>
      <c r="Q65" s="291">
        <v>0.99</v>
      </c>
      <c r="R65" s="291">
        <v>1.1000000000000001</v>
      </c>
      <c r="S65" s="291">
        <v>1.19</v>
      </c>
      <c r="AA65" s="229"/>
    </row>
    <row r="66" spans="2:27" s="145" customFormat="1">
      <c r="B66" s="286">
        <v>5</v>
      </c>
      <c r="C66" s="291">
        <v>0.3</v>
      </c>
      <c r="D66" s="291">
        <v>0.3</v>
      </c>
      <c r="E66" s="291">
        <v>0.3</v>
      </c>
      <c r="F66" s="291">
        <v>0.3</v>
      </c>
      <c r="G66" s="291">
        <v>0.3</v>
      </c>
      <c r="H66" s="291">
        <v>0.37</v>
      </c>
      <c r="I66" s="291">
        <v>0.49</v>
      </c>
      <c r="J66" s="291">
        <v>0.57999999999999996</v>
      </c>
      <c r="K66" s="291">
        <v>0.65</v>
      </c>
      <c r="L66" s="291">
        <v>0.76</v>
      </c>
      <c r="M66" s="291">
        <v>0.85</v>
      </c>
      <c r="N66" s="291">
        <v>0.93</v>
      </c>
      <c r="O66" s="291">
        <v>1.01</v>
      </c>
      <c r="P66" s="291">
        <v>1.1299999999999999</v>
      </c>
      <c r="Q66" s="291">
        <v>1.33</v>
      </c>
      <c r="R66" s="291">
        <v>1.49</v>
      </c>
      <c r="S66" s="291">
        <v>1.63</v>
      </c>
      <c r="AA66" s="229"/>
    </row>
    <row r="67" spans="2:27" s="145" customFormat="1">
      <c r="B67" s="286">
        <v>6</v>
      </c>
      <c r="C67" s="291">
        <v>0.34</v>
      </c>
      <c r="D67" s="291">
        <v>0.34</v>
      </c>
      <c r="E67" s="291">
        <v>0.34</v>
      </c>
      <c r="F67" s="291">
        <v>0.34</v>
      </c>
      <c r="G67" s="291">
        <v>0.34</v>
      </c>
      <c r="H67" s="291">
        <v>0.43</v>
      </c>
      <c r="I67" s="291">
        <v>0.57999999999999996</v>
      </c>
      <c r="J67" s="291">
        <v>0.69</v>
      </c>
      <c r="K67" s="291">
        <v>0.78</v>
      </c>
      <c r="L67" s="291">
        <v>0.93</v>
      </c>
      <c r="M67" s="291">
        <v>1.05</v>
      </c>
      <c r="N67" s="291">
        <v>1.1599999999999999</v>
      </c>
      <c r="O67" s="291">
        <v>1.25</v>
      </c>
      <c r="P67" s="291">
        <v>1.42</v>
      </c>
      <c r="Q67" s="291">
        <v>1.69</v>
      </c>
      <c r="R67" s="291">
        <v>1.91</v>
      </c>
      <c r="S67" s="291">
        <v>2.11</v>
      </c>
      <c r="AA67" s="229"/>
    </row>
    <row r="68" spans="2:27" s="145" customFormat="1">
      <c r="B68" s="286">
        <v>8</v>
      </c>
      <c r="C68" s="291">
        <v>0.42</v>
      </c>
      <c r="D68" s="291">
        <v>0.42</v>
      </c>
      <c r="E68" s="291">
        <v>0.42</v>
      </c>
      <c r="F68" s="291">
        <v>0.42</v>
      </c>
      <c r="G68" s="291">
        <v>0.42</v>
      </c>
      <c r="H68" s="291">
        <v>0.53</v>
      </c>
      <c r="I68" s="291">
        <v>0.74</v>
      </c>
      <c r="J68" s="291">
        <v>0.91</v>
      </c>
      <c r="K68" s="291">
        <v>1.04</v>
      </c>
      <c r="L68" s="291">
        <v>1.26</v>
      </c>
      <c r="M68" s="291">
        <v>1.45</v>
      </c>
      <c r="N68" s="291">
        <v>1.62</v>
      </c>
      <c r="O68" s="291">
        <v>1.77</v>
      </c>
      <c r="P68" s="291">
        <v>2.0299999999999998</v>
      </c>
      <c r="Q68" s="291">
        <v>2.4700000000000002</v>
      </c>
      <c r="R68" s="291">
        <v>2.83</v>
      </c>
      <c r="S68" s="291">
        <v>3.15</v>
      </c>
      <c r="AA68" s="229"/>
    </row>
    <row r="69" spans="2:27" s="145" customFormat="1">
      <c r="B69" s="286">
        <v>10</v>
      </c>
      <c r="C69" s="291">
        <v>0.46</v>
      </c>
      <c r="D69" s="291">
        <v>0.48</v>
      </c>
      <c r="E69" s="291">
        <v>0.5</v>
      </c>
      <c r="F69" s="291">
        <v>0.51</v>
      </c>
      <c r="G69" s="291">
        <v>0.52</v>
      </c>
      <c r="H69" s="291">
        <v>0.67</v>
      </c>
      <c r="I69" s="291">
        <v>0.97</v>
      </c>
      <c r="J69" s="291">
        <v>1.19</v>
      </c>
      <c r="K69" s="291">
        <v>1.38</v>
      </c>
      <c r="L69" s="291">
        <v>1.71</v>
      </c>
      <c r="M69" s="291">
        <v>1.98</v>
      </c>
      <c r="N69" s="291">
        <v>2.2200000000000002</v>
      </c>
      <c r="O69" s="291">
        <v>2.44</v>
      </c>
      <c r="P69" s="291">
        <v>2.84</v>
      </c>
      <c r="Q69" s="291">
        <v>3.5</v>
      </c>
      <c r="R69" s="291">
        <v>4.0599999999999996</v>
      </c>
      <c r="S69" s="291">
        <v>4.5599999999999996</v>
      </c>
      <c r="AA69" s="229"/>
    </row>
    <row r="70" spans="2:27" s="145" customFormat="1">
      <c r="B70" s="286">
        <v>12</v>
      </c>
      <c r="C70" s="291">
        <v>0.47</v>
      </c>
      <c r="D70" s="291">
        <v>0.53</v>
      </c>
      <c r="E70" s="291">
        <v>0.57999999999999996</v>
      </c>
      <c r="F70" s="291">
        <v>0.61</v>
      </c>
      <c r="G70" s="291">
        <v>0.64</v>
      </c>
      <c r="H70" s="291">
        <v>0.84</v>
      </c>
      <c r="I70" s="291">
        <v>1.23</v>
      </c>
      <c r="J70" s="291">
        <v>1.53</v>
      </c>
      <c r="K70" s="291">
        <v>1.79</v>
      </c>
      <c r="L70" s="291">
        <v>2.23</v>
      </c>
      <c r="M70" s="291">
        <v>2.61</v>
      </c>
      <c r="N70" s="291">
        <v>2.95</v>
      </c>
      <c r="O70" s="291">
        <v>3.26</v>
      </c>
      <c r="P70" s="291">
        <v>3.81</v>
      </c>
      <c r="Q70" s="291">
        <v>4.75</v>
      </c>
      <c r="R70" s="291">
        <v>5.56</v>
      </c>
      <c r="S70" s="291">
        <v>6.28</v>
      </c>
      <c r="AA70" s="229"/>
    </row>
    <row r="71" spans="2:27" s="145" customFormat="1">
      <c r="B71" s="286">
        <v>14</v>
      </c>
      <c r="C71" s="291">
        <v>0.48</v>
      </c>
      <c r="D71" s="291">
        <v>0.57999999999999996</v>
      </c>
      <c r="E71" s="291">
        <v>0.65</v>
      </c>
      <c r="F71" s="291">
        <v>0.7</v>
      </c>
      <c r="G71" s="291">
        <v>0.75</v>
      </c>
      <c r="H71" s="291">
        <v>1</v>
      </c>
      <c r="I71" s="291">
        <v>1.48</v>
      </c>
      <c r="J71" s="291">
        <v>1.86</v>
      </c>
      <c r="K71" s="291">
        <v>2.19</v>
      </c>
      <c r="L71" s="291">
        <v>2.76</v>
      </c>
      <c r="M71" s="291">
        <v>3.25</v>
      </c>
      <c r="N71" s="291">
        <v>3.69</v>
      </c>
      <c r="O71" s="291">
        <v>4.09</v>
      </c>
      <c r="P71" s="291">
        <v>4.82</v>
      </c>
      <c r="Q71" s="291">
        <v>6.07</v>
      </c>
      <c r="R71" s="291">
        <v>7.15</v>
      </c>
      <c r="S71" s="291">
        <v>8.11</v>
      </c>
      <c r="AA71" s="229"/>
    </row>
    <row r="72" spans="2:27" s="145" customFormat="1">
      <c r="B72" s="286">
        <v>16</v>
      </c>
      <c r="C72" s="291">
        <v>0.49</v>
      </c>
      <c r="D72" s="291">
        <v>0.63</v>
      </c>
      <c r="E72" s="291">
        <v>0.72</v>
      </c>
      <c r="F72" s="291">
        <v>0.79</v>
      </c>
      <c r="G72" s="291">
        <v>0.85</v>
      </c>
      <c r="H72" s="291">
        <v>1.1499999999999999</v>
      </c>
      <c r="I72" s="291">
        <v>1.73</v>
      </c>
      <c r="J72" s="291">
        <v>2.2000000000000002</v>
      </c>
      <c r="K72" s="291">
        <v>2.6</v>
      </c>
      <c r="L72" s="291">
        <v>3.3</v>
      </c>
      <c r="M72" s="291">
        <v>3.9</v>
      </c>
      <c r="N72" s="291">
        <v>4.45</v>
      </c>
      <c r="O72" s="291">
        <v>4.95</v>
      </c>
      <c r="P72" s="291">
        <v>5.86</v>
      </c>
      <c r="Q72" s="291">
        <v>7.43</v>
      </c>
      <c r="R72" s="291">
        <v>8.7899999999999991</v>
      </c>
      <c r="S72" s="291">
        <v>10.02</v>
      </c>
      <c r="AA72" s="229"/>
    </row>
    <row r="73" spans="2:27" s="145" customFormat="1">
      <c r="B73" s="286">
        <v>20</v>
      </c>
      <c r="C73" s="291">
        <v>0.52</v>
      </c>
      <c r="D73" s="291">
        <v>0.71</v>
      </c>
      <c r="E73" s="291">
        <v>0.85</v>
      </c>
      <c r="F73" s="291">
        <v>0.96</v>
      </c>
      <c r="G73" s="291">
        <v>1.06</v>
      </c>
      <c r="H73" s="291">
        <v>1.45</v>
      </c>
      <c r="I73" s="291">
        <v>2.2200000000000002</v>
      </c>
      <c r="J73" s="291">
        <v>2.85</v>
      </c>
      <c r="K73" s="291">
        <v>3.4</v>
      </c>
      <c r="L73" s="291">
        <v>4.3600000000000003</v>
      </c>
      <c r="M73" s="291">
        <v>5.21</v>
      </c>
      <c r="N73" s="291">
        <v>5.97</v>
      </c>
      <c r="O73" s="291">
        <v>6.68</v>
      </c>
      <c r="P73" s="291">
        <v>7.97</v>
      </c>
      <c r="Q73" s="291">
        <v>10.23</v>
      </c>
      <c r="R73" s="291">
        <v>12.2</v>
      </c>
      <c r="S73" s="291">
        <v>13.99</v>
      </c>
      <c r="AA73" s="229"/>
    </row>
    <row r="74" spans="2:27" s="145" customFormat="1">
      <c r="B74" s="286">
        <v>25</v>
      </c>
      <c r="C74" s="291">
        <v>0.56000000000000005</v>
      </c>
      <c r="D74" s="291">
        <v>0.8</v>
      </c>
      <c r="E74" s="291">
        <v>1</v>
      </c>
      <c r="F74" s="291">
        <v>1.1599999999999999</v>
      </c>
      <c r="G74" s="291">
        <v>1.3</v>
      </c>
      <c r="H74" s="291">
        <v>1.81</v>
      </c>
      <c r="I74" s="291">
        <v>2.82</v>
      </c>
      <c r="J74" s="291">
        <v>3.65</v>
      </c>
      <c r="K74" s="291">
        <v>4.3899999999999997</v>
      </c>
      <c r="L74" s="291">
        <v>5.69</v>
      </c>
      <c r="M74" s="291">
        <v>6.83</v>
      </c>
      <c r="N74" s="291">
        <v>7.88</v>
      </c>
      <c r="O74" s="291">
        <v>8.86</v>
      </c>
      <c r="P74" s="291">
        <v>10.65</v>
      </c>
      <c r="Q74" s="291">
        <v>13.8</v>
      </c>
      <c r="R74" s="291">
        <v>16.579999999999998</v>
      </c>
      <c r="S74" s="291">
        <v>19.13</v>
      </c>
      <c r="AA74" s="229"/>
    </row>
    <row r="75" spans="2:27" s="145" customFormat="1">
      <c r="B75" s="286">
        <v>30</v>
      </c>
      <c r="C75" s="291">
        <v>0.59</v>
      </c>
      <c r="D75" s="291">
        <v>0.89</v>
      </c>
      <c r="E75" s="291">
        <v>1.1299999999999999</v>
      </c>
      <c r="F75" s="291">
        <v>1.34</v>
      </c>
      <c r="G75" s="291">
        <v>1.53</v>
      </c>
      <c r="H75" s="291">
        <v>2.15</v>
      </c>
      <c r="I75" s="291">
        <v>3.39</v>
      </c>
      <c r="J75" s="291">
        <v>4.42</v>
      </c>
      <c r="K75" s="291">
        <v>5.34</v>
      </c>
      <c r="L75" s="291">
        <v>6.98</v>
      </c>
      <c r="M75" s="291">
        <v>8.43</v>
      </c>
      <c r="N75" s="291">
        <v>9.76</v>
      </c>
      <c r="O75" s="291">
        <v>11.01</v>
      </c>
      <c r="P75" s="291">
        <v>13.3</v>
      </c>
      <c r="Q75" s="291">
        <v>17.37</v>
      </c>
      <c r="R75" s="291">
        <v>20.99</v>
      </c>
      <c r="S75" s="291">
        <v>24.31</v>
      </c>
      <c r="AA75" s="229"/>
    </row>
    <row r="76" spans="2:27" s="145" customFormat="1">
      <c r="B76" s="286">
        <v>40</v>
      </c>
      <c r="C76" s="291">
        <v>0.65</v>
      </c>
      <c r="D76" s="291">
        <v>1.05</v>
      </c>
      <c r="E76" s="291">
        <v>1.38</v>
      </c>
      <c r="F76" s="291">
        <v>1.68</v>
      </c>
      <c r="G76" s="291">
        <v>1.95</v>
      </c>
      <c r="H76" s="291">
        <v>2.77</v>
      </c>
      <c r="I76" s="291">
        <v>4.45</v>
      </c>
      <c r="J76" s="291">
        <v>5.87</v>
      </c>
      <c r="K76" s="291">
        <v>7.14</v>
      </c>
      <c r="L76" s="291">
        <v>9.43</v>
      </c>
      <c r="M76" s="291">
        <v>11.47</v>
      </c>
      <c r="N76" s="291">
        <v>13.37</v>
      </c>
      <c r="O76" s="291">
        <v>15.14</v>
      </c>
      <c r="P76" s="291">
        <v>18.43</v>
      </c>
      <c r="Q76" s="291">
        <v>24.32</v>
      </c>
      <c r="R76" s="291">
        <v>29.6</v>
      </c>
      <c r="S76" s="291">
        <v>34.479999999999997</v>
      </c>
      <c r="AA76" s="229"/>
    </row>
    <row r="77" spans="2:27" s="145" customFormat="1">
      <c r="B77" s="286">
        <v>50</v>
      </c>
      <c r="C77" s="291">
        <v>0.71</v>
      </c>
      <c r="D77" s="291">
        <v>1.18</v>
      </c>
      <c r="E77" s="291">
        <v>1.59</v>
      </c>
      <c r="F77" s="291">
        <v>1.97</v>
      </c>
      <c r="G77" s="291">
        <v>2.3199999999999998</v>
      </c>
      <c r="H77" s="291">
        <v>3.32</v>
      </c>
      <c r="I77" s="291">
        <v>5.4</v>
      </c>
      <c r="J77" s="291">
        <v>7.17</v>
      </c>
      <c r="K77" s="291">
        <v>8.7799999999999994</v>
      </c>
      <c r="L77" s="291">
        <v>11.66</v>
      </c>
      <c r="M77" s="291">
        <v>14.26</v>
      </c>
      <c r="N77" s="291">
        <v>16.670000000000002</v>
      </c>
      <c r="O77" s="291">
        <v>18.940000000000001</v>
      </c>
      <c r="P77" s="291">
        <v>23.17</v>
      </c>
      <c r="Q77" s="291">
        <v>30.78</v>
      </c>
      <c r="R77" s="291">
        <v>37.65</v>
      </c>
      <c r="S77" s="291">
        <v>44.02</v>
      </c>
      <c r="AA77" s="229"/>
    </row>
    <row r="78" spans="2:27" s="145" customFormat="1">
      <c r="B78" s="289">
        <v>60</v>
      </c>
      <c r="C78" s="292">
        <v>0.76</v>
      </c>
      <c r="D78" s="292">
        <v>1.3</v>
      </c>
      <c r="E78" s="292">
        <v>1.78</v>
      </c>
      <c r="F78" s="292">
        <v>2.23</v>
      </c>
      <c r="G78" s="292">
        <v>2.65</v>
      </c>
      <c r="H78" s="292">
        <v>3.81</v>
      </c>
      <c r="I78" s="292">
        <v>6.24</v>
      </c>
      <c r="J78" s="292">
        <v>8.33</v>
      </c>
      <c r="K78" s="292">
        <v>10.23</v>
      </c>
      <c r="L78" s="292">
        <v>13.65</v>
      </c>
      <c r="M78" s="292">
        <v>16.760000000000002</v>
      </c>
      <c r="N78" s="292">
        <v>19.64</v>
      </c>
      <c r="O78" s="292">
        <v>22.36</v>
      </c>
      <c r="P78" s="292">
        <v>27.45</v>
      </c>
      <c r="Q78" s="292">
        <v>36.630000000000003</v>
      </c>
      <c r="R78" s="292">
        <v>44.96</v>
      </c>
      <c r="S78" s="292">
        <v>52.7</v>
      </c>
      <c r="AA78" s="229"/>
    </row>
    <row r="79" spans="2:27" s="145" customFormat="1">
      <c r="N79" s="230"/>
      <c r="R79" s="231"/>
      <c r="AA79" s="229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91"/>
  <sheetViews>
    <sheetView topLeftCell="A156" zoomScale="90" zoomScaleNormal="90" workbookViewId="0">
      <selection activeCell="H137" sqref="H137"/>
    </sheetView>
  </sheetViews>
  <sheetFormatPr defaultColWidth="11" defaultRowHeight="15.75"/>
  <cols>
    <col min="1" max="1" width="24.125" customWidth="1"/>
    <col min="2" max="2" width="25.375" customWidth="1"/>
    <col min="3" max="3" width="22.625" customWidth="1"/>
    <col min="4" max="4" width="22" bestFit="1" customWidth="1"/>
    <col min="5" max="5" width="23.125" customWidth="1"/>
    <col min="6" max="6" width="19.75" customWidth="1"/>
    <col min="7" max="7" width="23" customWidth="1"/>
    <col min="8" max="8" width="23.5" customWidth="1"/>
    <col min="9" max="9" width="21.875" customWidth="1"/>
    <col min="10" max="10" width="21.125" customWidth="1"/>
    <col min="11" max="11" width="20.625" customWidth="1"/>
    <col min="12" max="12" width="14.25" customWidth="1"/>
    <col min="13" max="13" width="15.5" bestFit="1" customWidth="1"/>
    <col min="14" max="14" width="14.125" customWidth="1"/>
    <col min="16" max="16" width="17.875" bestFit="1" customWidth="1"/>
    <col min="22" max="22" width="15" style="581" customWidth="1"/>
  </cols>
  <sheetData>
    <row r="1" spans="1:38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577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>
      <c r="A2" s="373" t="s">
        <v>1111</v>
      </c>
      <c r="B2" s="373"/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577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 s="154" customFormat="1" ht="63.75" thickBot="1">
      <c r="A3" s="520"/>
      <c r="B3" s="521"/>
      <c r="C3" s="521"/>
      <c r="D3" s="521"/>
      <c r="E3" s="521"/>
      <c r="F3" s="522" t="s">
        <v>947</v>
      </c>
      <c r="G3" s="523">
        <f>INPUTS!D14/365</f>
        <v>0.52054794520547942</v>
      </c>
      <c r="H3" s="524"/>
      <c r="I3" s="521"/>
      <c r="J3" s="521"/>
      <c r="K3" s="521"/>
      <c r="L3" s="525"/>
      <c r="M3" s="521"/>
      <c r="N3" s="526"/>
      <c r="O3" s="522" t="s">
        <v>946</v>
      </c>
      <c r="P3" s="523">
        <f>INPUTS!D15/365</f>
        <v>0.47945205479452052</v>
      </c>
      <c r="Q3" s="521"/>
      <c r="R3" s="521"/>
      <c r="S3" s="521"/>
      <c r="T3" s="521"/>
      <c r="U3" s="498"/>
      <c r="V3" s="579"/>
      <c r="X3" s="522" t="s">
        <v>946</v>
      </c>
      <c r="Y3" s="523">
        <f>INPUTS!D16/365</f>
        <v>0</v>
      </c>
    </row>
    <row r="4" spans="1:38" s="145" customFormat="1" ht="16.5" thickBot="1">
      <c r="H4" s="230"/>
      <c r="L4" s="231"/>
      <c r="U4" s="229"/>
      <c r="V4" s="577"/>
    </row>
    <row r="5" spans="1:38" s="145" customFormat="1" ht="32.25" thickBot="1">
      <c r="B5" s="270"/>
      <c r="C5" s="270"/>
      <c r="D5" s="270"/>
      <c r="E5" s="374" t="s">
        <v>1841</v>
      </c>
      <c r="F5" s="375"/>
      <c r="G5" s="375"/>
      <c r="H5" s="375"/>
      <c r="I5" s="375"/>
      <c r="J5" s="375"/>
      <c r="K5" s="375"/>
      <c r="L5" s="376"/>
      <c r="M5" s="384"/>
      <c r="N5" s="375" t="s">
        <v>819</v>
      </c>
      <c r="O5" s="375"/>
      <c r="P5" s="375"/>
      <c r="Q5" s="375"/>
      <c r="R5" s="375"/>
      <c r="S5" s="375"/>
      <c r="T5" s="375"/>
      <c r="U5" s="376"/>
      <c r="V5" s="384"/>
      <c r="W5" s="375" t="s">
        <v>1840</v>
      </c>
      <c r="X5" s="375"/>
      <c r="Y5" s="375"/>
      <c r="Z5" s="375"/>
      <c r="AA5" s="375"/>
      <c r="AB5" s="375"/>
      <c r="AC5" s="375"/>
      <c r="AD5" s="376"/>
      <c r="AE5" s="584" t="s">
        <v>1842</v>
      </c>
    </row>
    <row r="6" spans="1:38" s="145" customFormat="1" ht="78.75">
      <c r="B6" s="508"/>
      <c r="C6" s="529"/>
      <c r="D6" s="509"/>
      <c r="E6" s="767" t="str">
        <f>INPUTS!B60</f>
        <v>Concentrate (commercial)</v>
      </c>
      <c r="F6" s="765" t="str">
        <f>INPUTS!B61</f>
        <v>Pennisetum purpureum - forage</v>
      </c>
      <c r="G6" s="765" t="str">
        <f>INPUTS!B62</f>
        <v>Rhodes grass (Chloris gayana) - forage</v>
      </c>
      <c r="H6" s="766" t="str">
        <f>INPUTS!B63</f>
        <v>Guatemala (Tripsacum andersonii) - forage</v>
      </c>
      <c r="I6" s="765" t="str">
        <f>INPUTS!B64</f>
        <v>Maize (Zea mays) - stover</v>
      </c>
      <c r="J6" s="765" t="str">
        <f>INPUTS!B65</f>
        <v xml:space="preserve">Naturally occuring pasture - green fodder </v>
      </c>
      <c r="K6" s="765" t="str">
        <f>INPUTS!B66</f>
        <v>N/A</v>
      </c>
      <c r="L6" s="630" t="s">
        <v>814</v>
      </c>
      <c r="M6" s="379"/>
      <c r="N6" s="950" t="str">
        <f>E6</f>
        <v>Concentrate (commercial)</v>
      </c>
      <c r="O6" s="950" t="str">
        <f t="shared" ref="O6:T6" si="0">F6</f>
        <v>Pennisetum purpureum - forage</v>
      </c>
      <c r="P6" s="950" t="str">
        <f t="shared" si="0"/>
        <v>Rhodes grass (Chloris gayana) - forage</v>
      </c>
      <c r="Q6" s="950" t="str">
        <f t="shared" si="0"/>
        <v>Guatemala (Tripsacum andersonii) - forage</v>
      </c>
      <c r="R6" s="950" t="str">
        <f t="shared" si="0"/>
        <v>Maize (Zea mays) - stover</v>
      </c>
      <c r="S6" s="950" t="str">
        <f t="shared" si="0"/>
        <v xml:space="preserve">Naturally occuring pasture - green fodder </v>
      </c>
      <c r="T6" s="950" t="str">
        <f t="shared" si="0"/>
        <v>N/A</v>
      </c>
      <c r="U6" s="385" t="s">
        <v>814</v>
      </c>
      <c r="V6" s="379"/>
      <c r="W6" s="950" t="str">
        <f>N6</f>
        <v>Concentrate (commercial)</v>
      </c>
      <c r="X6" s="950" t="str">
        <f t="shared" ref="X6" si="1">O6</f>
        <v>Pennisetum purpureum - forage</v>
      </c>
      <c r="Y6" s="950" t="str">
        <f t="shared" ref="Y6" si="2">P6</f>
        <v>Rhodes grass (Chloris gayana) - forage</v>
      </c>
      <c r="Z6" s="950" t="str">
        <f t="shared" ref="Z6" si="3">Q6</f>
        <v>Guatemala (Tripsacum andersonii) - forage</v>
      </c>
      <c r="AA6" s="950" t="str">
        <f t="shared" ref="AA6" si="4">R6</f>
        <v>Maize (Zea mays) - stover</v>
      </c>
      <c r="AB6" s="950" t="str">
        <f t="shared" ref="AB6" si="5">S6</f>
        <v xml:space="preserve">Naturally occuring pasture - green fodder </v>
      </c>
      <c r="AC6" s="950" t="str">
        <f t="shared" ref="AC6" si="6">T6</f>
        <v>N/A</v>
      </c>
      <c r="AD6" s="385" t="s">
        <v>814</v>
      </c>
      <c r="AE6" s="577"/>
    </row>
    <row r="7" spans="1:38" s="301" customFormat="1" ht="32.25" customHeight="1">
      <c r="B7" s="510" t="str">
        <f>INPUTS!C21</f>
        <v>Cows (local)</v>
      </c>
      <c r="C7" s="530"/>
      <c r="D7" s="511" t="s">
        <v>1171</v>
      </c>
      <c r="E7" s="377">
        <f>INPUTS!C60</f>
        <v>0</v>
      </c>
      <c r="F7" s="302">
        <f>INPUTS!C61</f>
        <v>0</v>
      </c>
      <c r="G7" s="302">
        <f>INPUTS!C62</f>
        <v>0</v>
      </c>
      <c r="H7" s="302">
        <f>INPUTS!C63</f>
        <v>0</v>
      </c>
      <c r="I7" s="302">
        <f>INPUTS!C64</f>
        <v>0</v>
      </c>
      <c r="J7" s="302">
        <f>INPUTS!C65</f>
        <v>0</v>
      </c>
      <c r="K7" s="302">
        <f>INPUTS!C66</f>
        <v>0</v>
      </c>
      <c r="L7" s="378"/>
      <c r="M7" s="573" t="s">
        <v>1171</v>
      </c>
      <c r="N7" s="302">
        <f>INPUTS!R60</f>
        <v>0</v>
      </c>
      <c r="O7" s="302">
        <f>INPUTS!R61</f>
        <v>0</v>
      </c>
      <c r="P7" s="302">
        <f>INPUTS!R62</f>
        <v>0</v>
      </c>
      <c r="Q7" s="302">
        <f>INPUTS!R63</f>
        <v>0</v>
      </c>
      <c r="R7" s="302">
        <f>INPUTS!R64</f>
        <v>0</v>
      </c>
      <c r="S7" s="302">
        <f>INPUTS!R65</f>
        <v>0</v>
      </c>
      <c r="T7" s="302">
        <f>INPUTS!R66</f>
        <v>0</v>
      </c>
      <c r="U7" s="386"/>
      <c r="V7" s="573" t="s">
        <v>1171</v>
      </c>
      <c r="W7" s="302">
        <f>INPUTS!AG60</f>
        <v>0</v>
      </c>
      <c r="X7" s="302">
        <f>INPUTS!AG61</f>
        <v>0</v>
      </c>
      <c r="Y7" s="302">
        <f>INPUTS!AG62</f>
        <v>0</v>
      </c>
      <c r="Z7" s="302">
        <f>INPUTS!AG63</f>
        <v>0</v>
      </c>
      <c r="AA7" s="302">
        <f>INPUTS!AG64</f>
        <v>0</v>
      </c>
      <c r="AB7" s="302">
        <f>INPUTS!AG65</f>
        <v>0</v>
      </c>
      <c r="AC7" s="302">
        <f>INPUTS!AG66</f>
        <v>0</v>
      </c>
      <c r="AD7" s="386"/>
      <c r="AE7" s="580"/>
    </row>
    <row r="8" spans="1:38" s="492" customFormat="1">
      <c r="B8" s="512"/>
      <c r="C8" s="531"/>
      <c r="D8" s="513" t="s">
        <v>815</v>
      </c>
      <c r="E8" s="389">
        <f>VLOOKUP(E6,'Feed parameters'!$A$2:$M$113,6, FALSE)</f>
        <v>14.4</v>
      </c>
      <c r="F8" s="1184">
        <f>VLOOKUP(F6,'Feed parameters'!$A$2:$M$113,6, FALSE)</f>
        <v>1.65</v>
      </c>
      <c r="G8" s="499">
        <f>VLOOKUP(G6,FEED_P[[#All],[Feed]:[DE (fraction)]],6, FALSE)</f>
        <v>2.5148999999999999</v>
      </c>
      <c r="H8" s="499">
        <f>VLOOKUP(H6,'Feed parameters'!$A$2:$M$113,6, FALSE)</f>
        <v>1.21</v>
      </c>
      <c r="I8" s="499">
        <f>VLOOKUP(I6,'Feed parameters'!$A$2:$M$113,6, FALSE)</f>
        <v>3.3930000000000002</v>
      </c>
      <c r="J8" s="499">
        <f>VLOOKUP(J6,'Feed parameters'!$A$2:$M$113,6, FALSE)</f>
        <v>3.6</v>
      </c>
      <c r="K8" s="499">
        <f>VLOOKUP(K6,'Feed parameters'!$A$2:$M$113,6, FALSE)</f>
        <v>0</v>
      </c>
      <c r="L8" s="500">
        <f>IFERROR(SUMPRODUCT(E7:K7,E8:K8)/ SUM(E7:K7), 0)</f>
        <v>0</v>
      </c>
      <c r="M8" s="389" t="s">
        <v>815</v>
      </c>
      <c r="N8" s="741">
        <f>VLOOKUP(N6,'Feed parameters'!$A$2:$M$113,6, FALSE)</f>
        <v>14.4</v>
      </c>
      <c r="O8" s="741">
        <f>VLOOKUP(O6,'Feed parameters'!$A$2:$M$113,6, FALSE)</f>
        <v>1.65</v>
      </c>
      <c r="P8" s="741">
        <f>VLOOKUP(P6,FEED_P[[#All],[Feed]:[DE (fraction)]],6, FALSE)</f>
        <v>2.5148999999999999</v>
      </c>
      <c r="Q8" s="741">
        <f>VLOOKUP(Q6,'Feed parameters'!$A$2:$M$113,6, FALSE)</f>
        <v>1.21</v>
      </c>
      <c r="R8" s="741">
        <f>VLOOKUP(R6,'Feed parameters'!$A$2:$M$113,6, FALSE)</f>
        <v>3.3930000000000002</v>
      </c>
      <c r="S8" s="741">
        <f>VLOOKUP(S6,'Feed parameters'!$A$2:$M$113,6, FALSE)</f>
        <v>3.6</v>
      </c>
      <c r="T8" s="741">
        <f>VLOOKUP(T6,'Feed parameters'!$A$2:$M$113,6, FALSE)</f>
        <v>0</v>
      </c>
      <c r="U8" s="501">
        <f>IFERROR(SUMPRODUCT(N7:T7,N8:T8)/ SUM(N7:T7), 0)</f>
        <v>0</v>
      </c>
      <c r="V8" s="389" t="s">
        <v>815</v>
      </c>
      <c r="W8" s="741">
        <f>VLOOKUP(W6,'Feed parameters'!$A$2:$M$113,6, FALSE)</f>
        <v>14.4</v>
      </c>
      <c r="X8" s="741">
        <f>VLOOKUP(X6,'Feed parameters'!$A$2:$M$113,6, FALSE)</f>
        <v>1.65</v>
      </c>
      <c r="Y8" s="741">
        <f>VLOOKUP(Y6,FEED_P[[#All],[Feed]:[DE (fraction)]],6, FALSE)</f>
        <v>2.5148999999999999</v>
      </c>
      <c r="Z8" s="741">
        <f>VLOOKUP(Z6,'Feed parameters'!$A$2:$M$113,6, FALSE)</f>
        <v>1.21</v>
      </c>
      <c r="AA8" s="741">
        <f>VLOOKUP(AA6,'Feed parameters'!$A$2:$M$113,6, FALSE)</f>
        <v>3.3930000000000002</v>
      </c>
      <c r="AB8" s="741">
        <f>VLOOKUP(AB6,'Feed parameters'!$A$2:$M$113,6, FALSE)</f>
        <v>3.6</v>
      </c>
      <c r="AC8" s="741">
        <f>VLOOKUP(AC6,'Feed parameters'!$A$2:$M$113,6, FALSE)</f>
        <v>0</v>
      </c>
      <c r="AD8" s="501">
        <f>IFERROR(SUMPRODUCT(W7:AC7,W8:AC8)/ SUM(W7:AC7), 0)</f>
        <v>0</v>
      </c>
      <c r="AE8" s="583">
        <f>L8*$G$3+U8*$P$3+AD8*$Y$3</f>
        <v>0</v>
      </c>
      <c r="AF8" s="493" t="e">
        <f>L8*$G$3/(L11*0.01)+U8*$P$3/(U11*0.01)+AD8*$Y$3/(AD11*0.01)</f>
        <v>#DIV/0!</v>
      </c>
    </row>
    <row r="9" spans="1:38" s="145" customFormat="1">
      <c r="B9" s="512"/>
      <c r="C9" s="531"/>
      <c r="D9" s="513" t="s">
        <v>816</v>
      </c>
      <c r="E9" s="379">
        <f>VLOOKUP(E6,'Feed parameters'!$A$2:$M$113,7, FALSE)</f>
        <v>0.79859999999999998</v>
      </c>
      <c r="F9" s="1185">
        <f>VLOOKUP(F6,'Feed parameters'!$A$2:$M$113,7, FALSE)</f>
        <v>0.65213596800000007</v>
      </c>
      <c r="G9" s="271">
        <f>VLOOKUP(G6,FEED_P[[#All],[Feed]:[DE (fraction)]],7, FALSE)</f>
        <v>0.53459999999999996</v>
      </c>
      <c r="H9" s="271">
        <f>VLOOKUP(H6,'Feed parameters'!$A$2:$M$113,7, FALSE)</f>
        <v>0.5411999999999999</v>
      </c>
      <c r="I9" s="271">
        <f>VLOOKUP(I6,'Feed parameters'!$A$2:$M$113,7, FALSE)</f>
        <v>0.45539999999999997</v>
      </c>
      <c r="J9" s="271">
        <f>VLOOKUP(J6,'Feed parameters'!$A$2:$M$113,7, FALSE)</f>
        <v>0.33</v>
      </c>
      <c r="K9" s="271">
        <f>VLOOKUP(K6,'Feed parameters'!$A$2:$M$113,7, FALSE)</f>
        <v>0</v>
      </c>
      <c r="L9" s="380">
        <f>IFERROR(SUMPRODUCT(E7:K7,E9:K9)/ SUM(E7:K7), 0)</f>
        <v>0</v>
      </c>
      <c r="M9" s="389" t="s">
        <v>816</v>
      </c>
      <c r="N9" s="741">
        <f>VLOOKUP(N6,'Feed parameters'!$A$2:$M$113,7, FALSE)</f>
        <v>0.79859999999999998</v>
      </c>
      <c r="O9" s="741">
        <f>VLOOKUP(O6,'Feed parameters'!$A$2:$M$113,7, FALSE)</f>
        <v>0.65213596800000007</v>
      </c>
      <c r="P9" s="741">
        <f>VLOOKUP(P6,FEED_P[[#All],[Feed]:[DE (fraction)]],7, FALSE)</f>
        <v>0.53459999999999996</v>
      </c>
      <c r="Q9" s="741">
        <f>VLOOKUP(Q6,'Feed parameters'!$A$2:$M$113,7, FALSE)</f>
        <v>0.5411999999999999</v>
      </c>
      <c r="R9" s="741">
        <f>VLOOKUP(R6,'Feed parameters'!$A$2:$M$113,7, FALSE)</f>
        <v>0.45539999999999997</v>
      </c>
      <c r="S9" s="741">
        <f>VLOOKUP(S6,'Feed parameters'!$A$2:$M$113,7, FALSE)</f>
        <v>0.33</v>
      </c>
      <c r="T9" s="741">
        <f>VLOOKUP(T6,'Feed parameters'!$A$2:$M$113,7, FALSE)</f>
        <v>0</v>
      </c>
      <c r="U9" s="387">
        <f>IFERROR(SUMPRODUCT(N7:T7,N9:T9)/ SUM(N7:T7), 0)</f>
        <v>0</v>
      </c>
      <c r="V9" s="389" t="s">
        <v>816</v>
      </c>
      <c r="W9" s="741">
        <f>VLOOKUP(W6,'Feed parameters'!$A$2:$M$113,7, FALSE)</f>
        <v>0.79859999999999998</v>
      </c>
      <c r="X9" s="741">
        <f>VLOOKUP(X6,'Feed parameters'!$A$2:$M$113,7, FALSE)</f>
        <v>0.65213596800000007</v>
      </c>
      <c r="Y9" s="741">
        <f>VLOOKUP(Y6,FEED_P[[#All],[Feed]:[DE (fraction)]],7, FALSE)</f>
        <v>0.53459999999999996</v>
      </c>
      <c r="Z9" s="741">
        <f>VLOOKUP(Z6,'Feed parameters'!$A$2:$M$113,7, FALSE)</f>
        <v>0.5411999999999999</v>
      </c>
      <c r="AA9" s="741">
        <f>VLOOKUP(AA6,'Feed parameters'!$A$2:$M$113,7, FALSE)</f>
        <v>0.45539999999999997</v>
      </c>
      <c r="AB9" s="741">
        <f>VLOOKUP(AB6,'Feed parameters'!$A$2:$M$113,7, FALSE)</f>
        <v>0.33</v>
      </c>
      <c r="AC9" s="741">
        <f>VLOOKUP(AC6,'Feed parameters'!$A$2:$M$113,7, FALSE)</f>
        <v>0</v>
      </c>
      <c r="AD9" s="387">
        <f>IFERROR(SUMPRODUCT(W7:AC7,W9:AC9)/ SUM(W7:AC7), 0)</f>
        <v>0</v>
      </c>
      <c r="AE9" s="583">
        <f>L9*$G$3+U9*$P$3+AD9*$Y$3</f>
        <v>0</v>
      </c>
    </row>
    <row r="10" spans="1:38" s="145" customFormat="1">
      <c r="B10" s="512"/>
      <c r="C10" s="531"/>
      <c r="D10" s="513" t="s">
        <v>906</v>
      </c>
      <c r="E10" s="379">
        <f>VLOOKUP(E6,'Feed parameters'!$A$2:$M$113,4, FALSE)</f>
        <v>10.89</v>
      </c>
      <c r="F10" s="1185">
        <f>VLOOKUP(F6,'Feed parameters'!$A$2:$M$113,4, FALSE)</f>
        <v>1.4821271999999999</v>
      </c>
      <c r="G10" s="271">
        <f>VLOOKUP(G6,FEED_P[[#All],[Feed]:[DE (fraction)]],4, FALSE)</f>
        <v>2.0168999999999997</v>
      </c>
      <c r="H10" s="271">
        <f>VLOOKUP(H6,'Feed parameters'!$A$2:$M$113,4, FALSE)</f>
        <v>1.8039999999999998</v>
      </c>
      <c r="I10" s="271">
        <f>VLOOKUP(I6,'Feed parameters'!$A$2:$M$113,4, FALSE)</f>
        <v>6.003000000000001</v>
      </c>
      <c r="J10" s="271">
        <f>VLOOKUP(J6,'Feed parameters'!$A$2:$M$113,4, FALSE)</f>
        <v>3</v>
      </c>
      <c r="K10" s="271">
        <f>VLOOKUP(K6,'Feed parameters'!$A$2:$M$113,4, FALSE)</f>
        <v>0</v>
      </c>
      <c r="L10" s="380">
        <f>IFERROR(SUMPRODUCT(E7:K7,E10:K10)/ SUM(E7:K7), 0)</f>
        <v>0</v>
      </c>
      <c r="M10" s="389" t="s">
        <v>906</v>
      </c>
      <c r="N10" s="741">
        <f>VLOOKUP(N6,'Feed parameters'!$A$2:$M$113,4, FALSE)</f>
        <v>10.89</v>
      </c>
      <c r="O10" s="741">
        <f>VLOOKUP(O6,'Feed parameters'!$A$2:$M$113,4, FALSE)</f>
        <v>1.4821271999999999</v>
      </c>
      <c r="P10" s="741">
        <f>VLOOKUP(P6,FEED_P[[#All],[Feed]:[DE (fraction)]],4, FALSE)</f>
        <v>2.0168999999999997</v>
      </c>
      <c r="Q10" s="741">
        <f>VLOOKUP(Q6,'Feed parameters'!$A$2:$M$113,4, FALSE)</f>
        <v>1.8039999999999998</v>
      </c>
      <c r="R10" s="741">
        <f>VLOOKUP(R6,'Feed parameters'!$A$2:$M$113,4, FALSE)</f>
        <v>6.003000000000001</v>
      </c>
      <c r="S10" s="741">
        <f>VLOOKUP(S6,'Feed parameters'!$A$2:$M$113,4, FALSE)</f>
        <v>3</v>
      </c>
      <c r="T10" s="741">
        <f>VLOOKUP(T6,'Feed parameters'!$A$2:$M$113,4, FALSE)</f>
        <v>0</v>
      </c>
      <c r="U10" s="387">
        <f>IFERROR(SUMPRODUCT(N7:T7,N10:T10)/ SUM(N7:T7), 0)</f>
        <v>0</v>
      </c>
      <c r="V10" s="389" t="s">
        <v>906</v>
      </c>
      <c r="W10" s="741">
        <f>VLOOKUP(W6,'Feed parameters'!$A$2:$M$113,4, FALSE)</f>
        <v>10.89</v>
      </c>
      <c r="X10" s="741">
        <f>VLOOKUP(X6,'Feed parameters'!$A$2:$M$113,4, FALSE)</f>
        <v>1.4821271999999999</v>
      </c>
      <c r="Y10" s="741">
        <f>VLOOKUP(Y6,FEED_P[[#All],[Feed]:[DE (fraction)]],4, FALSE)</f>
        <v>2.0168999999999997</v>
      </c>
      <c r="Z10" s="741">
        <f>VLOOKUP(Z6,'Feed parameters'!$A$2:$M$113,4, FALSE)</f>
        <v>1.8039999999999998</v>
      </c>
      <c r="AA10" s="741">
        <f>VLOOKUP(AA6,'Feed parameters'!$A$2:$M$113,4, FALSE)</f>
        <v>6.003000000000001</v>
      </c>
      <c r="AB10" s="741">
        <f>VLOOKUP(AB6,'Feed parameters'!$A$2:$M$113,4, FALSE)</f>
        <v>3</v>
      </c>
      <c r="AC10" s="741">
        <f>VLOOKUP(AC6,'Feed parameters'!$A$2:$M$113,4, FALSE)</f>
        <v>0</v>
      </c>
      <c r="AD10" s="387">
        <f>IFERROR(SUMPRODUCT(W7:AC7,W10:AC10)/ SUM(W7:AC7), 0)</f>
        <v>0</v>
      </c>
      <c r="AE10" s="583"/>
    </row>
    <row r="11" spans="1:38" s="145" customFormat="1">
      <c r="B11" s="512"/>
      <c r="C11" s="531"/>
      <c r="D11" s="513" t="s">
        <v>1154</v>
      </c>
      <c r="E11" s="379">
        <f>VLOOKUP(E6,'Feed parameters'!$A$2:$M$113,2, FALSE)</f>
        <v>90</v>
      </c>
      <c r="F11" s="1185">
        <f>VLOOKUP(F6,'Feed parameters'!$A$2:$M$113,2, FALSE)</f>
        <v>15</v>
      </c>
      <c r="G11" s="271">
        <f>VLOOKUP(G6,FEED_P[[#All],[Feed]:[DE (fraction)]],2, FALSE)</f>
        <v>24.9</v>
      </c>
      <c r="H11" s="271">
        <f>VLOOKUP(H6,'Feed parameters'!$A$2:$M$113,2, FALSE)</f>
        <v>22</v>
      </c>
      <c r="I11" s="271">
        <f>VLOOKUP(I6,'Feed parameters'!$A$2:$M$113,2, FALSE)</f>
        <v>87</v>
      </c>
      <c r="J11" s="271">
        <f>VLOOKUP(J6,'Feed parameters'!$A$2:$M$113,2, FALSE)</f>
        <v>60</v>
      </c>
      <c r="K11" s="271">
        <f>VLOOKUP(K6,'Feed parameters'!$A$2:$M$113,2, FALSE)</f>
        <v>0</v>
      </c>
      <c r="L11" s="380">
        <f>IFERROR(SUMPRODUCT(E7:K7,E11:K11)/ SUM(E7:K7), 0)</f>
        <v>0</v>
      </c>
      <c r="M11" s="557" t="s">
        <v>1154</v>
      </c>
      <c r="N11" s="741">
        <f>VLOOKUP(N6,'Feed parameters'!$A$2:$M$113,2, FALSE)</f>
        <v>90</v>
      </c>
      <c r="O11" s="741">
        <f>VLOOKUP(O6,'Feed parameters'!$A$2:$M$113,2, FALSE)</f>
        <v>15</v>
      </c>
      <c r="P11" s="741">
        <f>VLOOKUP(P6,FEED_P[[#All],[Feed]:[DE (fraction)]],2, FALSE)</f>
        <v>24.9</v>
      </c>
      <c r="Q11" s="741">
        <f>VLOOKUP(Q6,'Feed parameters'!$A$2:$M$113,2, FALSE)</f>
        <v>22</v>
      </c>
      <c r="R11" s="741">
        <f>VLOOKUP(R6,'Feed parameters'!$A$2:$M$113,2, FALSE)</f>
        <v>87</v>
      </c>
      <c r="S11" s="741">
        <f>VLOOKUP(S6,'Feed parameters'!$A$2:$M$113,2, FALSE)</f>
        <v>60</v>
      </c>
      <c r="T11" s="741">
        <f>VLOOKUP(T6,'Feed parameters'!$A$2:$M$113,2, FALSE)</f>
        <v>0</v>
      </c>
      <c r="U11" s="387">
        <f>IFERROR(SUMPRODUCT(N7:T7,N11:T11)/ SUM(N7:T7), 0)</f>
        <v>0</v>
      </c>
      <c r="V11" s="557" t="s">
        <v>1154</v>
      </c>
      <c r="W11" s="741">
        <f>VLOOKUP(W6,'Feed parameters'!$A$2:$M$113,2, FALSE)</f>
        <v>90</v>
      </c>
      <c r="X11" s="741">
        <f>VLOOKUP(X6,'Feed parameters'!$A$2:$M$113,2, FALSE)</f>
        <v>15</v>
      </c>
      <c r="Y11" s="741">
        <f>VLOOKUP(Y6,FEED_P[[#All],[Feed]:[DE (fraction)]],2, FALSE)</f>
        <v>24.9</v>
      </c>
      <c r="Z11" s="741">
        <f>VLOOKUP(Z6,'Feed parameters'!$A$2:$M$113,2, FALSE)</f>
        <v>22</v>
      </c>
      <c r="AA11" s="741">
        <f>VLOOKUP(AA6,'Feed parameters'!$A$2:$M$113,2, FALSE)</f>
        <v>87</v>
      </c>
      <c r="AB11" s="741">
        <f>VLOOKUP(AB6,'Feed parameters'!$A$2:$M$113,2, FALSE)</f>
        <v>60</v>
      </c>
      <c r="AC11" s="741">
        <f>VLOOKUP(AC6,'Feed parameters'!$A$2:$M$113,2, FALSE)</f>
        <v>0</v>
      </c>
      <c r="AD11" s="387">
        <f>IFERROR(SUMPRODUCT(W7:AC7,W11:AC11)/ SUM(W7:AC7), 0)</f>
        <v>0</v>
      </c>
      <c r="AE11" s="583">
        <f>L11*$G$3+U11*$P$3+AD11*$Y$3</f>
        <v>0</v>
      </c>
    </row>
    <row r="12" spans="1:38" s="145" customFormat="1">
      <c r="B12" s="512"/>
      <c r="C12" s="531"/>
      <c r="D12" s="513" t="s">
        <v>1172</v>
      </c>
      <c r="E12" s="379">
        <f t="shared" ref="E12:K12" si="7">IFERROR((E7*E11)/SUMPRODUCT($E7:$K7,$E11:$K11), 0)</f>
        <v>0</v>
      </c>
      <c r="F12" s="271">
        <f t="shared" si="7"/>
        <v>0</v>
      </c>
      <c r="G12" s="271">
        <f t="shared" si="7"/>
        <v>0</v>
      </c>
      <c r="H12" s="271">
        <f t="shared" si="7"/>
        <v>0</v>
      </c>
      <c r="I12" s="271">
        <f t="shared" si="7"/>
        <v>0</v>
      </c>
      <c r="J12" s="271">
        <f t="shared" si="7"/>
        <v>0</v>
      </c>
      <c r="K12" s="271">
        <f t="shared" si="7"/>
        <v>0</v>
      </c>
      <c r="L12" s="380"/>
      <c r="M12" s="557" t="s">
        <v>1172</v>
      </c>
      <c r="N12" s="271">
        <f t="shared" ref="N12:T12" si="8">IFERROR((N7*N11)/SUMPRODUCT($N7:$T7,$N11:$T11), 0)</f>
        <v>0</v>
      </c>
      <c r="O12" s="271">
        <f t="shared" si="8"/>
        <v>0</v>
      </c>
      <c r="P12" s="271">
        <f t="shared" si="8"/>
        <v>0</v>
      </c>
      <c r="Q12" s="271">
        <f t="shared" si="8"/>
        <v>0</v>
      </c>
      <c r="R12" s="271">
        <f t="shared" si="8"/>
        <v>0</v>
      </c>
      <c r="S12" s="271">
        <f t="shared" si="8"/>
        <v>0</v>
      </c>
      <c r="T12" s="271">
        <f t="shared" si="8"/>
        <v>0</v>
      </c>
      <c r="U12" s="387"/>
      <c r="V12" s="557" t="s">
        <v>1172</v>
      </c>
      <c r="W12" s="271">
        <f>IFERROR((W7*W11)/SUMPRODUCT($W7:$AC7,$W11:$AC11), 0)</f>
        <v>0</v>
      </c>
      <c r="X12" s="271">
        <f t="shared" ref="X12:AC12" si="9">IFERROR((X7*X11)/SUMPRODUCT($W7:$AC7,$W11:$AC11), 0)</f>
        <v>0</v>
      </c>
      <c r="Y12" s="271">
        <f t="shared" si="9"/>
        <v>0</v>
      </c>
      <c r="Z12" s="271">
        <f t="shared" si="9"/>
        <v>0</v>
      </c>
      <c r="AA12" s="271">
        <f t="shared" si="9"/>
        <v>0</v>
      </c>
      <c r="AB12" s="271">
        <f t="shared" si="9"/>
        <v>0</v>
      </c>
      <c r="AC12" s="271">
        <f t="shared" si="9"/>
        <v>0</v>
      </c>
      <c r="AD12" s="387"/>
      <c r="AE12" s="583"/>
    </row>
    <row r="13" spans="1:38" s="145" customFormat="1">
      <c r="B13" s="512"/>
      <c r="C13" s="531"/>
      <c r="D13" s="513"/>
      <c r="E13" s="379"/>
      <c r="F13" s="271"/>
      <c r="G13" s="271"/>
      <c r="H13" s="271"/>
      <c r="I13" s="271"/>
      <c r="J13" s="271"/>
      <c r="K13" s="271"/>
      <c r="L13" s="380"/>
      <c r="M13" s="389"/>
      <c r="N13" s="271"/>
      <c r="O13" s="271"/>
      <c r="P13" s="271"/>
      <c r="Q13" s="271"/>
      <c r="R13" s="271"/>
      <c r="S13" s="271"/>
      <c r="T13" s="271"/>
      <c r="U13" s="387"/>
      <c r="V13" s="389"/>
      <c r="W13" s="271"/>
      <c r="X13" s="271"/>
      <c r="Y13" s="271"/>
      <c r="Z13" s="271"/>
      <c r="AA13" s="271"/>
      <c r="AB13" s="271"/>
      <c r="AC13" s="271"/>
      <c r="AD13" s="387"/>
      <c r="AE13" s="583"/>
    </row>
    <row r="14" spans="1:38" s="301" customFormat="1">
      <c r="B14" s="510" t="str">
        <f>INPUTS!C22</f>
        <v>Cows (improved)</v>
      </c>
      <c r="C14" s="530"/>
      <c r="D14" s="511" t="s">
        <v>1171</v>
      </c>
      <c r="E14" s="377">
        <f>INPUTS!D60</f>
        <v>0.05</v>
      </c>
      <c r="F14" s="302">
        <f>INPUTS!D61</f>
        <v>0.15</v>
      </c>
      <c r="G14" s="302">
        <f>INPUTS!D62</f>
        <v>0.37</v>
      </c>
      <c r="H14" s="302">
        <f>INPUTS!D63</f>
        <v>0.05</v>
      </c>
      <c r="I14" s="302">
        <f>INPUTS!D64</f>
        <v>0.02</v>
      </c>
      <c r="J14" s="302">
        <f>INPUTS!D65</f>
        <v>0.36</v>
      </c>
      <c r="K14" s="302">
        <f>INPUTS!D66</f>
        <v>0</v>
      </c>
      <c r="L14" s="378"/>
      <c r="M14" s="573" t="s">
        <v>1171</v>
      </c>
      <c r="N14" s="302">
        <f>INPUTS!S60</f>
        <v>0.08</v>
      </c>
      <c r="O14" s="302">
        <f>INPUTS!S61</f>
        <v>0.08</v>
      </c>
      <c r="P14" s="302">
        <f>INPUTS!S62</f>
        <v>0.19</v>
      </c>
      <c r="Q14" s="302">
        <f>INPUTS!S63</f>
        <v>0.3</v>
      </c>
      <c r="R14" s="302">
        <f>INPUTS!S64</f>
        <v>0.15</v>
      </c>
      <c r="S14" s="302">
        <f>INPUTS!S65</f>
        <v>0.2</v>
      </c>
      <c r="T14" s="302">
        <f>INPUTS!S66</f>
        <v>0</v>
      </c>
      <c r="U14" s="386"/>
      <c r="V14" s="573" t="s">
        <v>1171</v>
      </c>
      <c r="W14" s="302">
        <f>INPUTS!AH60</f>
        <v>0</v>
      </c>
      <c r="X14" s="302">
        <f>INPUTS!AH61</f>
        <v>0</v>
      </c>
      <c r="Y14" s="302">
        <f>INPUTS!AH62</f>
        <v>0</v>
      </c>
      <c r="Z14" s="302">
        <f>INPUTS!AH63</f>
        <v>0</v>
      </c>
      <c r="AA14" s="302">
        <f>INPUTS!AH64</f>
        <v>0</v>
      </c>
      <c r="AB14" s="302">
        <f>INPUTS!AH65</f>
        <v>0</v>
      </c>
      <c r="AC14" s="302">
        <f>INPUTS!AH66</f>
        <v>0</v>
      </c>
      <c r="AD14" s="386"/>
      <c r="AE14" s="582"/>
    </row>
    <row r="15" spans="1:38" s="145" customFormat="1">
      <c r="B15" s="512"/>
      <c r="C15" s="531"/>
      <c r="D15" s="513" t="s">
        <v>815</v>
      </c>
      <c r="E15" s="379">
        <f>VLOOKUP(E6,'Feed parameters'!$A$2:$M$113,6, FALSE)</f>
        <v>14.4</v>
      </c>
      <c r="F15" s="271">
        <f>VLOOKUP(F6,'Feed parameters'!$A$2:$M$113,6, FALSE)</f>
        <v>1.65</v>
      </c>
      <c r="G15" s="271">
        <f>VLOOKUP(G6,FEED_P[[#All],[Feed]:[DE (fraction)]],6, FALSE)</f>
        <v>2.5148999999999999</v>
      </c>
      <c r="H15" s="271">
        <f>VLOOKUP(H6,'Feed parameters'!$A$2:$M$113,6, FALSE)</f>
        <v>1.21</v>
      </c>
      <c r="I15" s="271">
        <f>VLOOKUP(I6,'Feed parameters'!$A$2:$M$113,6, FALSE)</f>
        <v>3.3930000000000002</v>
      </c>
      <c r="J15" s="271">
        <f>VLOOKUP(J6,'Feed parameters'!$A$2:$M$113,6, FALSE)</f>
        <v>3.6</v>
      </c>
      <c r="K15" s="271">
        <f>VLOOKUP(K6,'Feed parameters'!$A$2:$M$113,6, FALSE)</f>
        <v>0</v>
      </c>
      <c r="L15" s="380">
        <f>IFERROR(SUMPRODUCT(E14:K14,E15:K15)/ SUM(E14:K14), 0)</f>
        <v>3.3223729999999998</v>
      </c>
      <c r="M15" s="389" t="s">
        <v>815</v>
      </c>
      <c r="N15" s="741">
        <f>N8</f>
        <v>14.4</v>
      </c>
      <c r="O15" s="741">
        <f t="shared" ref="O15:T15" si="10">O8</f>
        <v>1.65</v>
      </c>
      <c r="P15" s="741">
        <f t="shared" si="10"/>
        <v>2.5148999999999999</v>
      </c>
      <c r="Q15" s="741">
        <f t="shared" si="10"/>
        <v>1.21</v>
      </c>
      <c r="R15" s="741">
        <f t="shared" si="10"/>
        <v>3.3930000000000002</v>
      </c>
      <c r="S15" s="741">
        <f t="shared" si="10"/>
        <v>3.6</v>
      </c>
      <c r="T15" s="741">
        <f t="shared" si="10"/>
        <v>0</v>
      </c>
      <c r="U15" s="387">
        <f>IFERROR(SUMPRODUCT(N14:T14,N15:T15)/ SUM(N14:T14), 0)</f>
        <v>3.3537810000000006</v>
      </c>
      <c r="V15" s="389" t="s">
        <v>815</v>
      </c>
      <c r="W15" s="741">
        <f>W8</f>
        <v>14.4</v>
      </c>
      <c r="X15" s="741">
        <f t="shared" ref="X15:AC15" si="11">X8</f>
        <v>1.65</v>
      </c>
      <c r="Y15" s="741">
        <f t="shared" si="11"/>
        <v>2.5148999999999999</v>
      </c>
      <c r="Z15" s="741">
        <f t="shared" si="11"/>
        <v>1.21</v>
      </c>
      <c r="AA15" s="741">
        <f t="shared" si="11"/>
        <v>3.3930000000000002</v>
      </c>
      <c r="AB15" s="741">
        <f t="shared" si="11"/>
        <v>3.6</v>
      </c>
      <c r="AC15" s="741">
        <f t="shared" si="11"/>
        <v>0</v>
      </c>
      <c r="AD15" s="387">
        <f>IFERROR(SUMPRODUCT(W14:AC14,W15:AC15)/ SUM(W14:AC14), 0)</f>
        <v>0</v>
      </c>
      <c r="AE15" s="583">
        <f>L15*$G$3+U15*$P$3+AD15*$Y$3</f>
        <v>3.3374316301369862</v>
      </c>
      <c r="AF15" s="493" t="e">
        <f>L15*$G$3/(L18*0.01)+U15*$P$3/(U18*0.01)+AD15*$Y$3/(AD18*0.01)</f>
        <v>#DIV/0!</v>
      </c>
    </row>
    <row r="16" spans="1:38" s="145" customFormat="1">
      <c r="B16" s="512"/>
      <c r="C16" s="531"/>
      <c r="D16" s="513" t="s">
        <v>816</v>
      </c>
      <c r="E16" s="379">
        <f>VLOOKUP(E6,'Feed parameters'!$A$2:$M$113,7, FALSE)</f>
        <v>0.79859999999999998</v>
      </c>
      <c r="F16" s="271">
        <f>VLOOKUP(F6,'Feed parameters'!$A$2:$M$113,7, FALSE)</f>
        <v>0.65213596800000007</v>
      </c>
      <c r="G16" s="271">
        <f>VLOOKUP(G6,FEED_P[[#All],[Feed]:[DE (fraction)]],7, FALSE)</f>
        <v>0.53459999999999996</v>
      </c>
      <c r="H16" s="271">
        <f>VLOOKUP(H6,'Feed parameters'!$A$2:$M$113,7, FALSE)</f>
        <v>0.5411999999999999</v>
      </c>
      <c r="I16" s="271">
        <f>VLOOKUP(I6,'Feed parameters'!$A$2:$M$113,7, FALSE)</f>
        <v>0.45539999999999997</v>
      </c>
      <c r="J16" s="271">
        <f>VLOOKUP(J6,'Feed parameters'!$A$2:$M$113,7, FALSE)</f>
        <v>0.33</v>
      </c>
      <c r="K16" s="271">
        <f>VLOOKUP(K6,'Feed parameters'!$A$2:$M$113,7, FALSE)</f>
        <v>0</v>
      </c>
      <c r="L16" s="380">
        <f>IFERROR(SUMPRODUCT(E14:K14,E16:K16)/ SUM(E14:K14), 0)</f>
        <v>0.49052039520000001</v>
      </c>
      <c r="M16" s="389" t="s">
        <v>816</v>
      </c>
      <c r="N16" s="741">
        <f t="shared" ref="N16:N18" si="12">N9</f>
        <v>0.79859999999999998</v>
      </c>
      <c r="O16" s="741">
        <f t="shared" ref="O16:T16" si="13">O9</f>
        <v>0.65213596800000007</v>
      </c>
      <c r="P16" s="741">
        <f t="shared" si="13"/>
        <v>0.53459999999999996</v>
      </c>
      <c r="Q16" s="741">
        <f t="shared" si="13"/>
        <v>0.5411999999999999</v>
      </c>
      <c r="R16" s="741">
        <f t="shared" si="13"/>
        <v>0.45539999999999997</v>
      </c>
      <c r="S16" s="741">
        <f t="shared" si="13"/>
        <v>0.33</v>
      </c>
      <c r="T16" s="741">
        <f t="shared" si="13"/>
        <v>0</v>
      </c>
      <c r="U16" s="387">
        <f>IFERROR(SUMPRODUCT(N14:T14,N16:T16)/ SUM(N14:T14), 0)</f>
        <v>0.51430287744000003</v>
      </c>
      <c r="V16" s="389" t="s">
        <v>816</v>
      </c>
      <c r="W16" s="741">
        <f t="shared" ref="W16:AC18" si="14">W9</f>
        <v>0.79859999999999998</v>
      </c>
      <c r="X16" s="741">
        <f t="shared" si="14"/>
        <v>0.65213596800000007</v>
      </c>
      <c r="Y16" s="741">
        <f t="shared" si="14"/>
        <v>0.53459999999999996</v>
      </c>
      <c r="Z16" s="741">
        <f t="shared" si="14"/>
        <v>0.5411999999999999</v>
      </c>
      <c r="AA16" s="741">
        <f t="shared" si="14"/>
        <v>0.45539999999999997</v>
      </c>
      <c r="AB16" s="741">
        <f t="shared" si="14"/>
        <v>0.33</v>
      </c>
      <c r="AC16" s="741">
        <f t="shared" si="14"/>
        <v>0</v>
      </c>
      <c r="AD16" s="387">
        <f>IFERROR(SUMPRODUCT(W14:AC14,W16:AC16)/ SUM(W14:AC14), 0)</f>
        <v>0</v>
      </c>
      <c r="AE16" s="583">
        <f>L16*$G$3+U16*$P$3+AD16*$Y$3</f>
        <v>0.50192295517808216</v>
      </c>
    </row>
    <row r="17" spans="1:32" s="145" customFormat="1">
      <c r="B17" s="512"/>
      <c r="C17" s="531"/>
      <c r="D17" s="513" t="s">
        <v>906</v>
      </c>
      <c r="E17" s="379">
        <f>VLOOKUP(E6,'Feed parameters'!$A$2:$M$113,4, FALSE)</f>
        <v>10.89</v>
      </c>
      <c r="F17" s="271">
        <f>VLOOKUP(F6,'Feed parameters'!$A$2:$M$113,4, FALSE)</f>
        <v>1.4821271999999999</v>
      </c>
      <c r="G17" s="271">
        <f>VLOOKUP(G6,FEED_P[[#All],[Feed]:[DE (fraction)]],4, FALSE)</f>
        <v>2.0168999999999997</v>
      </c>
      <c r="H17" s="271">
        <f>VLOOKUP(H6,'Feed parameters'!$A$2:$M$113,4, FALSE)</f>
        <v>1.8039999999999998</v>
      </c>
      <c r="I17" s="271">
        <f>VLOOKUP(I6,'Feed parameters'!$A$2:$M$113,4, FALSE)</f>
        <v>6.003000000000001</v>
      </c>
      <c r="J17" s="271">
        <f>VLOOKUP(J6,'Feed parameters'!$A$2:$M$113,4, FALSE)</f>
        <v>3</v>
      </c>
      <c r="K17" s="271">
        <f>VLOOKUP(K6,'Feed parameters'!$A$2:$M$113,4, FALSE)</f>
        <v>0</v>
      </c>
      <c r="L17" s="380">
        <f>IFERROR(SUMPRODUCT(E14:K14,E17:K17)/ SUM(E14:K14), 0)</f>
        <v>2.8033320800000001</v>
      </c>
      <c r="M17" s="389" t="s">
        <v>906</v>
      </c>
      <c r="N17" s="741">
        <f t="shared" si="12"/>
        <v>10.89</v>
      </c>
      <c r="O17" s="741">
        <f t="shared" ref="O17:T17" si="15">O10</f>
        <v>1.4821271999999999</v>
      </c>
      <c r="P17" s="741">
        <f t="shared" si="15"/>
        <v>2.0168999999999997</v>
      </c>
      <c r="Q17" s="741">
        <f t="shared" si="15"/>
        <v>1.8039999999999998</v>
      </c>
      <c r="R17" s="741">
        <f t="shared" si="15"/>
        <v>6.003000000000001</v>
      </c>
      <c r="S17" s="741">
        <f t="shared" si="15"/>
        <v>3</v>
      </c>
      <c r="T17" s="741">
        <f t="shared" si="15"/>
        <v>0</v>
      </c>
      <c r="U17" s="387">
        <f>IFERROR(SUMPRODUCT(N14:T14,N17:T17)/ SUM(N14:T14), 0)</f>
        <v>3.4146311760000003</v>
      </c>
      <c r="V17" s="389" t="s">
        <v>906</v>
      </c>
      <c r="W17" s="741">
        <f t="shared" si="14"/>
        <v>10.89</v>
      </c>
      <c r="X17" s="741">
        <f t="shared" si="14"/>
        <v>1.4821271999999999</v>
      </c>
      <c r="Y17" s="741">
        <f t="shared" si="14"/>
        <v>2.0168999999999997</v>
      </c>
      <c r="Z17" s="741">
        <f t="shared" si="14"/>
        <v>1.8039999999999998</v>
      </c>
      <c r="AA17" s="741">
        <f t="shared" si="14"/>
        <v>6.003000000000001</v>
      </c>
      <c r="AB17" s="741">
        <f t="shared" si="14"/>
        <v>3</v>
      </c>
      <c r="AC17" s="741">
        <f t="shared" si="14"/>
        <v>0</v>
      </c>
      <c r="AD17" s="387">
        <f>IFERROR(SUMPRODUCT(W14:AC14,W17:AC17)/ SUM(W14:AC14), 0)</f>
        <v>0</v>
      </c>
      <c r="AE17" s="583"/>
    </row>
    <row r="18" spans="1:32" s="145" customFormat="1">
      <c r="B18" s="512"/>
      <c r="C18" s="531"/>
      <c r="D18" s="513" t="s">
        <v>1154</v>
      </c>
      <c r="E18" s="379">
        <f>VLOOKUP(E6,'Feed parameters'!$A$2:$M$113,2, FALSE)</f>
        <v>90</v>
      </c>
      <c r="F18" s="271">
        <f>VLOOKUP(F6,'Feed parameters'!$A$2:$M$113,2, FALSE)</f>
        <v>15</v>
      </c>
      <c r="G18" s="271">
        <f>VLOOKUP(G6,FEED_P[[#All],[Feed]:[DE (fraction)]],2, FALSE)</f>
        <v>24.9</v>
      </c>
      <c r="H18" s="271">
        <f>VLOOKUP(H6,'Feed parameters'!$A$2:$M$113,2, FALSE)</f>
        <v>22</v>
      </c>
      <c r="I18" s="271">
        <f>VLOOKUP(I6,'Feed parameters'!$A$2:$M$113,2, FALSE)</f>
        <v>87</v>
      </c>
      <c r="J18" s="271">
        <f>VLOOKUP(J6,'Feed parameters'!$A$2:$M$113,2, FALSE)</f>
        <v>60</v>
      </c>
      <c r="K18" s="271">
        <f>VLOOKUP(K6,'Feed parameters'!$A$2:$M$113,2, FALSE)</f>
        <v>0</v>
      </c>
      <c r="L18" s="380">
        <f>IFERROR(SUMPRODUCT(E14:K14,E18:K18)/ SUM(E14:K14), 0)</f>
        <v>40.402999999999992</v>
      </c>
      <c r="M18" s="557" t="s">
        <v>1154</v>
      </c>
      <c r="N18" s="741">
        <f t="shared" si="12"/>
        <v>90</v>
      </c>
      <c r="O18" s="741">
        <f t="shared" ref="O18:T18" si="16">O11</f>
        <v>15</v>
      </c>
      <c r="P18" s="741">
        <f t="shared" si="16"/>
        <v>24.9</v>
      </c>
      <c r="Q18" s="741">
        <f t="shared" si="16"/>
        <v>22</v>
      </c>
      <c r="R18" s="741">
        <f t="shared" si="16"/>
        <v>87</v>
      </c>
      <c r="S18" s="741">
        <f t="shared" si="16"/>
        <v>60</v>
      </c>
      <c r="T18" s="741">
        <f t="shared" si="16"/>
        <v>0</v>
      </c>
      <c r="U18" s="387">
        <f>IFERROR(SUMPRODUCT(N14:T14,N18:T18)/ SUM(N14:T14), 0)</f>
        <v>44.780999999999999</v>
      </c>
      <c r="V18" s="557" t="s">
        <v>1154</v>
      </c>
      <c r="W18" s="741">
        <f t="shared" si="14"/>
        <v>90</v>
      </c>
      <c r="X18" s="741">
        <f t="shared" si="14"/>
        <v>15</v>
      </c>
      <c r="Y18" s="741">
        <f t="shared" si="14"/>
        <v>24.9</v>
      </c>
      <c r="Z18" s="741">
        <f t="shared" si="14"/>
        <v>22</v>
      </c>
      <c r="AA18" s="741">
        <f t="shared" si="14"/>
        <v>87</v>
      </c>
      <c r="AB18" s="741">
        <f t="shared" si="14"/>
        <v>60</v>
      </c>
      <c r="AC18" s="741">
        <f t="shared" si="14"/>
        <v>0</v>
      </c>
      <c r="AD18" s="387">
        <f>IFERROR(SUMPRODUCT(W14:AC14,W18:AC18)/ SUM(W14:AC14), 0)</f>
        <v>0</v>
      </c>
      <c r="AE18" s="583">
        <f>L18*$G$3+U18*$P$3+AD18*$Y$3</f>
        <v>42.502041095890405</v>
      </c>
    </row>
    <row r="19" spans="1:32" s="145" customFormat="1">
      <c r="B19" s="512"/>
      <c r="C19" s="531"/>
      <c r="D19" s="513" t="s">
        <v>1172</v>
      </c>
      <c r="E19" s="379">
        <f t="shared" ref="E19:K19" si="17">IFERROR((E14*E18)/SUMPRODUCT($E14:$K14,$E18:$K18), 0)</f>
        <v>0.11137786798010051</v>
      </c>
      <c r="F19" s="271">
        <f t="shared" si="17"/>
        <v>5.5688933990050253E-2</v>
      </c>
      <c r="G19" s="271">
        <f t="shared" si="17"/>
        <v>0.22802762171125909</v>
      </c>
      <c r="H19" s="271">
        <f t="shared" si="17"/>
        <v>2.7225701061802349E-2</v>
      </c>
      <c r="I19" s="271">
        <f t="shared" si="17"/>
        <v>4.3066108952305532E-2</v>
      </c>
      <c r="J19" s="271">
        <f t="shared" si="17"/>
        <v>0.53461376630448243</v>
      </c>
      <c r="K19" s="271">
        <f t="shared" si="17"/>
        <v>0</v>
      </c>
      <c r="L19" s="380"/>
      <c r="M19" s="557" t="s">
        <v>1172</v>
      </c>
      <c r="N19" s="271">
        <f t="shared" ref="N19:T19" si="18">IFERROR(IFERROR((N14*N18)/SUMPRODUCT($N14:$T14,$N18:$T18), 0), 0)</f>
        <v>0.16078247471025658</v>
      </c>
      <c r="O19" s="271">
        <f t="shared" si="18"/>
        <v>2.6797079118376095E-2</v>
      </c>
      <c r="P19" s="271">
        <f t="shared" si="18"/>
        <v>0.10564748442419776</v>
      </c>
      <c r="Q19" s="271">
        <f t="shared" si="18"/>
        <v>0.14738393515106854</v>
      </c>
      <c r="R19" s="271">
        <f t="shared" si="18"/>
        <v>0.29141823541234002</v>
      </c>
      <c r="S19" s="271">
        <f t="shared" si="18"/>
        <v>0.26797079118376099</v>
      </c>
      <c r="T19" s="271">
        <f t="shared" si="18"/>
        <v>0</v>
      </c>
      <c r="U19" s="387"/>
      <c r="V19" s="557" t="s">
        <v>1172</v>
      </c>
      <c r="W19" s="271">
        <f>IFERROR((W14*W18)/SUMPRODUCT($W14:$AC14,$W18:$AC18), 0)</f>
        <v>0</v>
      </c>
      <c r="X19" s="271">
        <f t="shared" ref="X19" si="19">IFERROR((X14*X18)/SUMPRODUCT($W14:$AC14,$W18:$AC18), 0)</f>
        <v>0</v>
      </c>
      <c r="Y19" s="271">
        <f t="shared" ref="Y19" si="20">IFERROR((Y14*Y18)/SUMPRODUCT($W14:$AC14,$W18:$AC18), 0)</f>
        <v>0</v>
      </c>
      <c r="Z19" s="271">
        <f t="shared" ref="Z19" si="21">IFERROR((Z14*Z18)/SUMPRODUCT($W14:$AC14,$W18:$AC18), 0)</f>
        <v>0</v>
      </c>
      <c r="AA19" s="271">
        <f t="shared" ref="AA19" si="22">IFERROR((AA14*AA18)/SUMPRODUCT($W14:$AC14,$W18:$AC18), 0)</f>
        <v>0</v>
      </c>
      <c r="AB19" s="271">
        <f t="shared" ref="AB19" si="23">IFERROR((AB14*AB18)/SUMPRODUCT($W14:$AC14,$W18:$AC18), 0)</f>
        <v>0</v>
      </c>
      <c r="AC19" s="271">
        <f t="shared" ref="AC19" si="24">IFERROR((AC14*AC18)/SUMPRODUCT($W14:$AC14,$W18:$AC18), 0)</f>
        <v>0</v>
      </c>
      <c r="AD19" s="387"/>
      <c r="AE19" s="583"/>
    </row>
    <row r="20" spans="1:32" s="145" customFormat="1">
      <c r="B20" s="512"/>
      <c r="C20" s="531"/>
      <c r="D20" s="513"/>
      <c r="E20" s="379"/>
      <c r="F20" s="271"/>
      <c r="G20" s="271"/>
      <c r="H20" s="271"/>
      <c r="I20" s="271"/>
      <c r="J20" s="271"/>
      <c r="K20" s="271"/>
      <c r="L20" s="380"/>
      <c r="M20" s="557"/>
      <c r="N20" s="187"/>
      <c r="O20" s="187"/>
      <c r="P20" s="187"/>
      <c r="Q20" s="187"/>
      <c r="R20" s="187"/>
      <c r="S20" s="187"/>
      <c r="T20" s="187"/>
      <c r="U20" s="387"/>
      <c r="V20" s="557"/>
      <c r="W20" s="187"/>
      <c r="X20" s="187"/>
      <c r="Y20" s="187"/>
      <c r="Z20" s="187"/>
      <c r="AA20" s="187"/>
      <c r="AB20" s="187"/>
      <c r="AC20" s="187"/>
      <c r="AD20" s="387"/>
      <c r="AE20" s="583"/>
    </row>
    <row r="21" spans="1:32" s="301" customFormat="1">
      <c r="B21" s="514" t="str">
        <f>INPUTS!C23</f>
        <v>Adult cattle - male</v>
      </c>
      <c r="C21" s="532"/>
      <c r="D21" s="511" t="s">
        <v>1171</v>
      </c>
      <c r="E21" s="377">
        <f>INPUTS!E60</f>
        <v>0</v>
      </c>
      <c r="F21" s="302">
        <f>INPUTS!E61</f>
        <v>0</v>
      </c>
      <c r="G21" s="302">
        <f>INPUTS!E62</f>
        <v>0</v>
      </c>
      <c r="H21" s="302">
        <f>INPUTS!E63</f>
        <v>0</v>
      </c>
      <c r="I21" s="302">
        <f>INPUTS!E64</f>
        <v>0</v>
      </c>
      <c r="J21" s="302">
        <f>INPUTS!E65</f>
        <v>0</v>
      </c>
      <c r="K21" s="302">
        <f>INPUTS!E66</f>
        <v>0</v>
      </c>
      <c r="L21" s="378"/>
      <c r="M21" s="573" t="s">
        <v>1171</v>
      </c>
      <c r="N21" s="302">
        <f>INPUTS!T60</f>
        <v>0</v>
      </c>
      <c r="O21" s="302">
        <f>INPUTS!T61</f>
        <v>0</v>
      </c>
      <c r="P21" s="302">
        <f>INPUTS!T62</f>
        <v>0</v>
      </c>
      <c r="Q21" s="302">
        <f>INPUTS!T63</f>
        <v>0</v>
      </c>
      <c r="R21" s="302">
        <f>INPUTS!T64</f>
        <v>0</v>
      </c>
      <c r="S21" s="302">
        <f>INPUTS!T65</f>
        <v>0</v>
      </c>
      <c r="T21" s="302">
        <f>INPUTS!T66</f>
        <v>0</v>
      </c>
      <c r="U21" s="386"/>
      <c r="V21" s="573" t="s">
        <v>1171</v>
      </c>
      <c r="W21" s="302">
        <f>INPUTS!AI60</f>
        <v>0</v>
      </c>
      <c r="X21" s="302">
        <f>INPUTS!AI61</f>
        <v>0</v>
      </c>
      <c r="Y21" s="302">
        <f>INPUTS!AI62</f>
        <v>0</v>
      </c>
      <c r="Z21" s="302">
        <f>INPUTS!AI63</f>
        <v>0</v>
      </c>
      <c r="AA21" s="302">
        <f>INPUTS!AI64</f>
        <v>0</v>
      </c>
      <c r="AB21" s="302">
        <f>INPUTS!AI65</f>
        <v>0</v>
      </c>
      <c r="AC21" s="302">
        <f>INPUTS!AI66</f>
        <v>0</v>
      </c>
      <c r="AD21" s="386"/>
      <c r="AE21" s="582"/>
    </row>
    <row r="22" spans="1:32" s="145" customFormat="1">
      <c r="B22" s="515"/>
      <c r="C22" s="533"/>
      <c r="D22" s="513" t="s">
        <v>815</v>
      </c>
      <c r="E22" s="381">
        <f>VLOOKUP(E6,'Feed parameters'!$A$2:$M$113,6, FALSE)</f>
        <v>14.4</v>
      </c>
      <c r="F22" s="187">
        <f>VLOOKUP(F6,'Feed parameters'!$A$2:$M$113,6, FALSE)</f>
        <v>1.65</v>
      </c>
      <c r="G22" s="187">
        <f>VLOOKUP(G6,FEED_P[[#All],[Feed]:[DE (fraction)]],6, FALSE)</f>
        <v>2.5148999999999999</v>
      </c>
      <c r="H22" s="187">
        <f>VLOOKUP(H6,'Feed parameters'!$A$2:$M$113,6, FALSE)</f>
        <v>1.21</v>
      </c>
      <c r="I22" s="187">
        <f>VLOOKUP(I6,'Feed parameters'!$A$2:$M$113,6, FALSE)</f>
        <v>3.3930000000000002</v>
      </c>
      <c r="J22" s="187">
        <f>VLOOKUP(J6,'Feed parameters'!$A$2:$M$113,6, FALSE)</f>
        <v>3.6</v>
      </c>
      <c r="K22" s="187">
        <f>VLOOKUP(K6,'Feed parameters'!$A$2:$M$113,6, FALSE)</f>
        <v>0</v>
      </c>
      <c r="L22" s="382">
        <f>IFERROR(SUMPRODUCT(E21:K21,E22:K22)/ SUM(E21:K21), 0)</f>
        <v>0</v>
      </c>
      <c r="M22" s="389" t="s">
        <v>815</v>
      </c>
      <c r="N22" s="741">
        <f>N15</f>
        <v>14.4</v>
      </c>
      <c r="O22" s="741">
        <f t="shared" ref="O22:T22" si="25">O15</f>
        <v>1.65</v>
      </c>
      <c r="P22" s="741">
        <f t="shared" si="25"/>
        <v>2.5148999999999999</v>
      </c>
      <c r="Q22" s="741">
        <f t="shared" si="25"/>
        <v>1.21</v>
      </c>
      <c r="R22" s="741">
        <f t="shared" si="25"/>
        <v>3.3930000000000002</v>
      </c>
      <c r="S22" s="741">
        <f t="shared" si="25"/>
        <v>3.6</v>
      </c>
      <c r="T22" s="741">
        <f t="shared" si="25"/>
        <v>0</v>
      </c>
      <c r="U22" s="388">
        <f>IFERROR(SUMPRODUCT(N21:T21,N22:T22)/ SUM(N21:T21), 0)</f>
        <v>0</v>
      </c>
      <c r="V22" s="389" t="s">
        <v>815</v>
      </c>
      <c r="W22" s="741">
        <f>W15</f>
        <v>14.4</v>
      </c>
      <c r="X22" s="741">
        <f t="shared" ref="X22:AC22" si="26">X15</f>
        <v>1.65</v>
      </c>
      <c r="Y22" s="741">
        <f t="shared" si="26"/>
        <v>2.5148999999999999</v>
      </c>
      <c r="Z22" s="741">
        <f t="shared" si="26"/>
        <v>1.21</v>
      </c>
      <c r="AA22" s="741">
        <f t="shared" si="26"/>
        <v>3.3930000000000002</v>
      </c>
      <c r="AB22" s="741">
        <f t="shared" si="26"/>
        <v>3.6</v>
      </c>
      <c r="AC22" s="741">
        <f t="shared" si="26"/>
        <v>0</v>
      </c>
      <c r="AD22" s="388">
        <f>IFERROR(SUMPRODUCT(W21:AC21,W22:AC22)/ SUM(W21:AC21), 0)</f>
        <v>0</v>
      </c>
      <c r="AE22" s="583">
        <f>L22*$G$3+U22*$P$3+AD22*$Y$3</f>
        <v>0</v>
      </c>
      <c r="AF22" s="493" t="e">
        <f>L22*$G$3/(L25*0.01)+U22*$P$3/(U25*0.01)+AD22*$Y$3/(AD25*0.01)</f>
        <v>#DIV/0!</v>
      </c>
    </row>
    <row r="23" spans="1:32" s="145" customFormat="1">
      <c r="B23" s="515"/>
      <c r="C23" s="533"/>
      <c r="D23" s="513" t="s">
        <v>816</v>
      </c>
      <c r="E23" s="381">
        <f>VLOOKUP(E6,'Feed parameters'!$A$2:$M$113,7, FALSE)</f>
        <v>0.79859999999999998</v>
      </c>
      <c r="F23" s="187">
        <f>VLOOKUP(F6,'Feed parameters'!$A$2:$M$113,7, FALSE)</f>
        <v>0.65213596800000007</v>
      </c>
      <c r="G23" s="187">
        <f>VLOOKUP(G6,FEED_P[[#All],[Feed]:[DE (fraction)]],7, FALSE)</f>
        <v>0.53459999999999996</v>
      </c>
      <c r="H23" s="187">
        <f>VLOOKUP(H6,'Feed parameters'!$A$2:$M$113,7, FALSE)</f>
        <v>0.5411999999999999</v>
      </c>
      <c r="I23" s="187">
        <f>VLOOKUP(I6,'Feed parameters'!$A$2:$M$113,7, FALSE)</f>
        <v>0.45539999999999997</v>
      </c>
      <c r="J23" s="187">
        <f>VLOOKUP(J6,'Feed parameters'!$A$2:$M$113,7, FALSE)</f>
        <v>0.33</v>
      </c>
      <c r="K23" s="187">
        <f>VLOOKUP(K6,'Feed parameters'!$A$2:$M$113,7, FALSE)</f>
        <v>0</v>
      </c>
      <c r="L23" s="382">
        <f>IFERROR(SUMPRODUCT(E21:K21,E23:K23)/ SUM(E21:K21), 0)</f>
        <v>0</v>
      </c>
      <c r="M23" s="389" t="s">
        <v>816</v>
      </c>
      <c r="N23" s="741">
        <f t="shared" ref="N23" si="27">N16</f>
        <v>0.79859999999999998</v>
      </c>
      <c r="O23" s="741">
        <f t="shared" ref="O23:T23" si="28">O16</f>
        <v>0.65213596800000007</v>
      </c>
      <c r="P23" s="741">
        <f t="shared" si="28"/>
        <v>0.53459999999999996</v>
      </c>
      <c r="Q23" s="741">
        <f t="shared" si="28"/>
        <v>0.5411999999999999</v>
      </c>
      <c r="R23" s="741">
        <f t="shared" si="28"/>
        <v>0.45539999999999997</v>
      </c>
      <c r="S23" s="741">
        <f t="shared" si="28"/>
        <v>0.33</v>
      </c>
      <c r="T23" s="741">
        <f t="shared" si="28"/>
        <v>0</v>
      </c>
      <c r="U23" s="388">
        <f>IFERROR(SUMPRODUCT(N21:T21,N23:T23)/ SUM(N21:T21), 0)</f>
        <v>0</v>
      </c>
      <c r="V23" s="389" t="s">
        <v>816</v>
      </c>
      <c r="W23" s="741">
        <f t="shared" ref="W23:AC25" si="29">W16</f>
        <v>0.79859999999999998</v>
      </c>
      <c r="X23" s="741">
        <f t="shared" si="29"/>
        <v>0.65213596800000007</v>
      </c>
      <c r="Y23" s="741">
        <f t="shared" si="29"/>
        <v>0.53459999999999996</v>
      </c>
      <c r="Z23" s="741">
        <f t="shared" si="29"/>
        <v>0.5411999999999999</v>
      </c>
      <c r="AA23" s="741">
        <f t="shared" si="29"/>
        <v>0.45539999999999997</v>
      </c>
      <c r="AB23" s="741">
        <f t="shared" si="29"/>
        <v>0.33</v>
      </c>
      <c r="AC23" s="741">
        <f t="shared" si="29"/>
        <v>0</v>
      </c>
      <c r="AD23" s="388">
        <f>IFERROR(SUMPRODUCT(W21:AC21,W23:AC23)/ SUM(W21:AC21), 0)</f>
        <v>0</v>
      </c>
      <c r="AE23" s="583">
        <f>L23*$G$3+U23*$P$3+AD23*$Y$3</f>
        <v>0</v>
      </c>
    </row>
    <row r="24" spans="1:32" s="145" customFormat="1">
      <c r="B24" s="512"/>
      <c r="C24" s="531"/>
      <c r="D24" s="513" t="s">
        <v>906</v>
      </c>
      <c r="E24" s="379">
        <f>VLOOKUP(E6,'Feed parameters'!$A$2:$M$113,4, FALSE)</f>
        <v>10.89</v>
      </c>
      <c r="F24" s="271">
        <f>VLOOKUP(F6,'Feed parameters'!$A$2:$M$113,4, FALSE)</f>
        <v>1.4821271999999999</v>
      </c>
      <c r="G24" s="271">
        <f>VLOOKUP(G6,FEED_P[[#All],[Feed]:[DE (fraction)]],4, FALSE)</f>
        <v>2.0168999999999997</v>
      </c>
      <c r="H24" s="271">
        <f>VLOOKUP(H6,'Feed parameters'!$A$2:$M$113,4, FALSE)</f>
        <v>1.8039999999999998</v>
      </c>
      <c r="I24" s="271">
        <f>VLOOKUP(I6,'Feed parameters'!$A$2:$M$113,4, FALSE)</f>
        <v>6.003000000000001</v>
      </c>
      <c r="J24" s="271">
        <f>VLOOKUP(J6,'Feed parameters'!$A$2:$M$113,4, FALSE)</f>
        <v>3</v>
      </c>
      <c r="K24" s="271">
        <f>VLOOKUP(K6,'Feed parameters'!$A$2:$M$113,4, FALSE)</f>
        <v>0</v>
      </c>
      <c r="L24" s="380">
        <f>IFERROR(SUMPRODUCT(E21:K21,E24:K24)/ SUM(E21:K21), 0)</f>
        <v>0</v>
      </c>
      <c r="M24" s="389" t="s">
        <v>906</v>
      </c>
      <c r="N24" s="741">
        <f t="shared" ref="N24" si="30">N17</f>
        <v>10.89</v>
      </c>
      <c r="O24" s="741">
        <f t="shared" ref="O24:T24" si="31">O17</f>
        <v>1.4821271999999999</v>
      </c>
      <c r="P24" s="741">
        <f t="shared" si="31"/>
        <v>2.0168999999999997</v>
      </c>
      <c r="Q24" s="741">
        <f t="shared" si="31"/>
        <v>1.8039999999999998</v>
      </c>
      <c r="R24" s="741">
        <f t="shared" si="31"/>
        <v>6.003000000000001</v>
      </c>
      <c r="S24" s="741">
        <f t="shared" si="31"/>
        <v>3</v>
      </c>
      <c r="T24" s="741">
        <f t="shared" si="31"/>
        <v>0</v>
      </c>
      <c r="U24" s="387">
        <f>IFERROR(SUMPRODUCT(N21:T21,N24:T24)/ SUM(N21:T21), 0)</f>
        <v>0</v>
      </c>
      <c r="V24" s="389" t="s">
        <v>906</v>
      </c>
      <c r="W24" s="741">
        <f t="shared" si="29"/>
        <v>10.89</v>
      </c>
      <c r="X24" s="741">
        <f t="shared" si="29"/>
        <v>1.4821271999999999</v>
      </c>
      <c r="Y24" s="741">
        <f t="shared" si="29"/>
        <v>2.0168999999999997</v>
      </c>
      <c r="Z24" s="741">
        <f t="shared" si="29"/>
        <v>1.8039999999999998</v>
      </c>
      <c r="AA24" s="741">
        <f t="shared" si="29"/>
        <v>6.003000000000001</v>
      </c>
      <c r="AB24" s="741">
        <f t="shared" si="29"/>
        <v>3</v>
      </c>
      <c r="AC24" s="741">
        <f t="shared" si="29"/>
        <v>0</v>
      </c>
      <c r="AD24" s="387">
        <f>IFERROR(SUMPRODUCT(W21:AC21,W24:AC24)/ SUM(W21:AC21), 0)</f>
        <v>0</v>
      </c>
      <c r="AE24" s="583"/>
    </row>
    <row r="25" spans="1:32" s="145" customFormat="1">
      <c r="B25" s="512"/>
      <c r="C25" s="531"/>
      <c r="D25" s="513" t="s">
        <v>1154</v>
      </c>
      <c r="E25" s="379">
        <f>VLOOKUP(E6,'Feed parameters'!$A$2:$M$113,2, FALSE)</f>
        <v>90</v>
      </c>
      <c r="F25" s="271">
        <f>VLOOKUP(F6,'Feed parameters'!$A$2:$M$113,2, FALSE)</f>
        <v>15</v>
      </c>
      <c r="G25" s="271">
        <f>VLOOKUP(G6,FEED_P[[#All],[Feed]:[DE (fraction)]],2, FALSE)</f>
        <v>24.9</v>
      </c>
      <c r="H25" s="271">
        <f>VLOOKUP(H6,'Feed parameters'!$A$2:$M$113,2, FALSE)</f>
        <v>22</v>
      </c>
      <c r="I25" s="271">
        <f>VLOOKUP(I6,'Feed parameters'!$A$2:$M$113,2, FALSE)</f>
        <v>87</v>
      </c>
      <c r="J25" s="271">
        <f>VLOOKUP(J6,'Feed parameters'!$A$2:$M$113,2, FALSE)</f>
        <v>60</v>
      </c>
      <c r="K25" s="271">
        <f>VLOOKUP(K6,'Feed parameters'!$A$2:$M$113,2, FALSE)</f>
        <v>0</v>
      </c>
      <c r="L25" s="380">
        <f>IFERROR(SUMPRODUCT(E21:K21,E25:K25)/ SUM(E21:K21), 0)</f>
        <v>0</v>
      </c>
      <c r="M25" s="557" t="s">
        <v>1154</v>
      </c>
      <c r="N25" s="741">
        <f t="shared" ref="N25" si="32">N18</f>
        <v>90</v>
      </c>
      <c r="O25" s="741">
        <f t="shared" ref="O25:T25" si="33">O18</f>
        <v>15</v>
      </c>
      <c r="P25" s="741">
        <f t="shared" si="33"/>
        <v>24.9</v>
      </c>
      <c r="Q25" s="741">
        <f t="shared" si="33"/>
        <v>22</v>
      </c>
      <c r="R25" s="741">
        <f t="shared" si="33"/>
        <v>87</v>
      </c>
      <c r="S25" s="741">
        <f t="shared" si="33"/>
        <v>60</v>
      </c>
      <c r="T25" s="741">
        <f t="shared" si="33"/>
        <v>0</v>
      </c>
      <c r="U25" s="387">
        <f>IFERROR(SUMPRODUCT(N21:T21,N25:T25)/ SUM(N21:T21), 0)</f>
        <v>0</v>
      </c>
      <c r="V25" s="557" t="s">
        <v>1154</v>
      </c>
      <c r="W25" s="741">
        <f t="shared" si="29"/>
        <v>90</v>
      </c>
      <c r="X25" s="741">
        <f t="shared" si="29"/>
        <v>15</v>
      </c>
      <c r="Y25" s="741">
        <f t="shared" si="29"/>
        <v>24.9</v>
      </c>
      <c r="Z25" s="741">
        <f t="shared" si="29"/>
        <v>22</v>
      </c>
      <c r="AA25" s="741">
        <f t="shared" si="29"/>
        <v>87</v>
      </c>
      <c r="AB25" s="741">
        <f t="shared" si="29"/>
        <v>60</v>
      </c>
      <c r="AC25" s="741">
        <f t="shared" si="29"/>
        <v>0</v>
      </c>
      <c r="AD25" s="387">
        <f>IFERROR(SUMPRODUCT(W21:AC21,W25:AC25)/ SUM(W21:AC21), 0)</f>
        <v>0</v>
      </c>
      <c r="AE25" s="583">
        <f>L25*$G$3+U25*$P$3+AD25*$Y$3</f>
        <v>0</v>
      </c>
    </row>
    <row r="26" spans="1:32" s="145" customFormat="1">
      <c r="B26" s="512"/>
      <c r="C26" s="531"/>
      <c r="D26" s="513" t="s">
        <v>1172</v>
      </c>
      <c r="E26" s="379">
        <f t="shared" ref="E26:K26" si="34">IFERROR((E21*E25)/SUMPRODUCT($E21:$K21,$E25:$K25), 0)</f>
        <v>0</v>
      </c>
      <c r="F26" s="271">
        <f t="shared" si="34"/>
        <v>0</v>
      </c>
      <c r="G26" s="271">
        <f t="shared" si="34"/>
        <v>0</v>
      </c>
      <c r="H26" s="271">
        <f t="shared" si="34"/>
        <v>0</v>
      </c>
      <c r="I26" s="271">
        <f t="shared" si="34"/>
        <v>0</v>
      </c>
      <c r="J26" s="271">
        <f t="shared" si="34"/>
        <v>0</v>
      </c>
      <c r="K26" s="271">
        <f t="shared" si="34"/>
        <v>0</v>
      </c>
      <c r="L26" s="380"/>
      <c r="M26" s="557" t="s">
        <v>1172</v>
      </c>
      <c r="N26" s="271">
        <f t="shared" ref="N26:T26" si="35">IFERROR(IFERROR((N21*N25)/SUMPRODUCT($N21:$T21,$N25:$T25), 0), 0)</f>
        <v>0</v>
      </c>
      <c r="O26" s="271">
        <f t="shared" si="35"/>
        <v>0</v>
      </c>
      <c r="P26" s="271">
        <f t="shared" si="35"/>
        <v>0</v>
      </c>
      <c r="Q26" s="271">
        <f t="shared" si="35"/>
        <v>0</v>
      </c>
      <c r="R26" s="271">
        <f t="shared" si="35"/>
        <v>0</v>
      </c>
      <c r="S26" s="271">
        <f t="shared" si="35"/>
        <v>0</v>
      </c>
      <c r="T26" s="271">
        <f t="shared" si="35"/>
        <v>0</v>
      </c>
      <c r="U26" s="387"/>
      <c r="V26" s="557" t="s">
        <v>1172</v>
      </c>
      <c r="W26" s="271">
        <f>IFERROR((W21*W25)/SUMPRODUCT($W21:$AC21,$W25:$AC25), 0)</f>
        <v>0</v>
      </c>
      <c r="X26" s="271">
        <f t="shared" ref="X26" si="36">IFERROR((X21*X25)/SUMPRODUCT($W21:$AC21,$W25:$AC25), 0)</f>
        <v>0</v>
      </c>
      <c r="Y26" s="271">
        <f t="shared" ref="Y26" si="37">IFERROR((Y21*Y25)/SUMPRODUCT($W21:$AC21,$W25:$AC25), 0)</f>
        <v>0</v>
      </c>
      <c r="Z26" s="271">
        <f t="shared" ref="Z26" si="38">IFERROR((Z21*Z25)/SUMPRODUCT($W21:$AC21,$W25:$AC25), 0)</f>
        <v>0</v>
      </c>
      <c r="AA26" s="271">
        <f t="shared" ref="AA26" si="39">IFERROR((AA21*AA25)/SUMPRODUCT($W21:$AC21,$W25:$AC25), 0)</f>
        <v>0</v>
      </c>
      <c r="AB26" s="271">
        <f t="shared" ref="AB26" si="40">IFERROR((AB21*AB25)/SUMPRODUCT($W21:$AC21,$W25:$AC25), 0)</f>
        <v>0</v>
      </c>
      <c r="AC26" s="271">
        <f t="shared" ref="AC26" si="41">IFERROR((AC21*AC25)/SUMPRODUCT($W21:$AC21,$W25:$AC25), 0)</f>
        <v>0</v>
      </c>
      <c r="AD26" s="387"/>
      <c r="AE26" s="583"/>
    </row>
    <row r="27" spans="1:32" s="145" customFormat="1">
      <c r="B27" s="512"/>
      <c r="C27" s="531"/>
      <c r="D27" s="513"/>
      <c r="E27" s="379"/>
      <c r="F27" s="271"/>
      <c r="G27" s="271"/>
      <c r="H27" s="271"/>
      <c r="I27" s="271"/>
      <c r="J27" s="271"/>
      <c r="K27" s="271"/>
      <c r="L27" s="380"/>
      <c r="M27" s="389"/>
      <c r="N27" s="187"/>
      <c r="O27" s="187"/>
      <c r="P27" s="187"/>
      <c r="Q27" s="187"/>
      <c r="R27" s="187"/>
      <c r="S27" s="187"/>
      <c r="T27" s="187"/>
      <c r="U27" s="387"/>
      <c r="V27" s="389"/>
      <c r="W27" s="187"/>
      <c r="X27" s="187"/>
      <c r="Y27" s="187"/>
      <c r="Z27" s="187"/>
      <c r="AA27" s="187"/>
      <c r="AB27" s="187"/>
      <c r="AC27" s="187"/>
      <c r="AD27" s="387"/>
      <c r="AE27" s="583"/>
    </row>
    <row r="28" spans="1:32" s="301" customFormat="1">
      <c r="B28" s="514" t="str">
        <f>INPUTS!C24</f>
        <v>Calves</v>
      </c>
      <c r="C28" s="532"/>
      <c r="D28" s="511" t="s">
        <v>1171</v>
      </c>
      <c r="E28" s="377">
        <f>INPUTS!F60</f>
        <v>0</v>
      </c>
      <c r="F28" s="302">
        <f>INPUTS!F61</f>
        <v>0</v>
      </c>
      <c r="G28" s="302">
        <f>INPUTS!F62</f>
        <v>0</v>
      </c>
      <c r="H28" s="302">
        <f>INPUTS!F63</f>
        <v>0</v>
      </c>
      <c r="I28" s="302">
        <f>INPUTS!F64</f>
        <v>0</v>
      </c>
      <c r="J28" s="302">
        <f>INPUTS!F65</f>
        <v>0</v>
      </c>
      <c r="K28" s="302">
        <f>INPUTS!F66</f>
        <v>0</v>
      </c>
      <c r="L28" s="378"/>
      <c r="M28" s="573" t="s">
        <v>1171</v>
      </c>
      <c r="N28" s="302">
        <f>INPUTS!U60</f>
        <v>0</v>
      </c>
      <c r="O28" s="302">
        <f>INPUTS!U61</f>
        <v>0</v>
      </c>
      <c r="P28" s="302">
        <f>INPUTS!U62</f>
        <v>0</v>
      </c>
      <c r="Q28" s="302">
        <f>INPUTS!U63</f>
        <v>0</v>
      </c>
      <c r="R28" s="302">
        <f>INPUTS!U64</f>
        <v>0</v>
      </c>
      <c r="S28" s="302">
        <f>INPUTS!U65</f>
        <v>0</v>
      </c>
      <c r="T28" s="302">
        <f>INPUTS!U66</f>
        <v>0</v>
      </c>
      <c r="U28" s="386"/>
      <c r="V28" s="573" t="s">
        <v>1171</v>
      </c>
      <c r="W28" s="302">
        <f>INPUTS!AJ60</f>
        <v>0</v>
      </c>
      <c r="X28" s="302">
        <f>INPUTS!AJ61</f>
        <v>0</v>
      </c>
      <c r="Y28" s="302">
        <f>INPUTS!AJ62</f>
        <v>0</v>
      </c>
      <c r="Z28" s="302">
        <f>INPUTS!AJ63</f>
        <v>0</v>
      </c>
      <c r="AA28" s="302">
        <f>INPUTS!AJ64</f>
        <v>0</v>
      </c>
      <c r="AB28" s="302">
        <f>INPUTS!AJ65</f>
        <v>0</v>
      </c>
      <c r="AC28" s="302">
        <f>INPUTS!AJ66</f>
        <v>0</v>
      </c>
      <c r="AD28" s="386"/>
      <c r="AE28" s="582"/>
    </row>
    <row r="29" spans="1:32" s="145" customFormat="1">
      <c r="B29" s="515"/>
      <c r="C29" s="533"/>
      <c r="D29" s="513" t="s">
        <v>815</v>
      </c>
      <c r="E29" s="381">
        <f>VLOOKUP(E6,'Feed parameters'!$A$2:$M$113,6, FALSE)</f>
        <v>14.4</v>
      </c>
      <c r="F29" s="187">
        <f>VLOOKUP(F6,'Feed parameters'!$A$2:$M$113,6, FALSE)</f>
        <v>1.65</v>
      </c>
      <c r="G29" s="187">
        <f>VLOOKUP(G6,FEED_P[[#All],[Feed]:[DE (fraction)]],6, FALSE)</f>
        <v>2.5148999999999999</v>
      </c>
      <c r="H29" s="187">
        <f>VLOOKUP(H6,'Feed parameters'!$A$2:$M$113,6, FALSE)</f>
        <v>1.21</v>
      </c>
      <c r="I29" s="187">
        <f>VLOOKUP(I6,'Feed parameters'!$A$2:$M$113,6, FALSE)</f>
        <v>3.3930000000000002</v>
      </c>
      <c r="J29" s="187">
        <f>VLOOKUP(J6,'Feed parameters'!$A$2:$M$113,6, FALSE)</f>
        <v>3.6</v>
      </c>
      <c r="K29" s="187">
        <f>VLOOKUP(K6,'Feed parameters'!$A$2:$M$113,6, FALSE)</f>
        <v>0</v>
      </c>
      <c r="L29" s="382">
        <f>IFERROR(SUMPRODUCT(E28:K28,E29:K29)/ SUM(E28:K28), 0)</f>
        <v>0</v>
      </c>
      <c r="M29" s="389" t="s">
        <v>815</v>
      </c>
      <c r="N29" s="741">
        <f>N22</f>
        <v>14.4</v>
      </c>
      <c r="O29" s="741">
        <f t="shared" ref="O29:T29" si="42">O22</f>
        <v>1.65</v>
      </c>
      <c r="P29" s="741">
        <f t="shared" si="42"/>
        <v>2.5148999999999999</v>
      </c>
      <c r="Q29" s="741">
        <f t="shared" si="42"/>
        <v>1.21</v>
      </c>
      <c r="R29" s="741">
        <f t="shared" si="42"/>
        <v>3.3930000000000002</v>
      </c>
      <c r="S29" s="741">
        <f t="shared" si="42"/>
        <v>3.6</v>
      </c>
      <c r="T29" s="741">
        <f t="shared" si="42"/>
        <v>0</v>
      </c>
      <c r="U29" s="388">
        <f>IFERROR(SUMPRODUCT(N28:T28,N29:T29)/ SUM(N28:T28), 0)</f>
        <v>0</v>
      </c>
      <c r="V29" s="389" t="s">
        <v>815</v>
      </c>
      <c r="W29" s="741">
        <f>W22</f>
        <v>14.4</v>
      </c>
      <c r="X29" s="741">
        <f t="shared" ref="X29:AC29" si="43">X22</f>
        <v>1.65</v>
      </c>
      <c r="Y29" s="741">
        <f t="shared" si="43"/>
        <v>2.5148999999999999</v>
      </c>
      <c r="Z29" s="741">
        <f t="shared" si="43"/>
        <v>1.21</v>
      </c>
      <c r="AA29" s="741">
        <f t="shared" si="43"/>
        <v>3.3930000000000002</v>
      </c>
      <c r="AB29" s="741">
        <f t="shared" si="43"/>
        <v>3.6</v>
      </c>
      <c r="AC29" s="741">
        <f t="shared" si="43"/>
        <v>0</v>
      </c>
      <c r="AD29" s="388">
        <f>IFERROR(SUMPRODUCT(W28:AC28,W29:AC29)/ SUM(W28:AC28), 0)</f>
        <v>0</v>
      </c>
      <c r="AE29" s="583">
        <f>L29*$G$3+U29*$P$3+AD29*$Y$3</f>
        <v>0</v>
      </c>
      <c r="AF29" s="493" t="e">
        <f>L29*$G$3/(L32*0.01)+U29*$P$3/(U32*0.01)+AD29*$Y$3/(AD32*0.01)</f>
        <v>#DIV/0!</v>
      </c>
    </row>
    <row r="30" spans="1:32">
      <c r="B30" s="516"/>
      <c r="C30" s="534"/>
      <c r="D30" s="513" t="s">
        <v>816</v>
      </c>
      <c r="E30" s="478">
        <f>VLOOKUP(E6,'Feed parameters'!$A$2:$M$113,7, FALSE)</f>
        <v>0.79859999999999998</v>
      </c>
      <c r="F30" s="39">
        <f>VLOOKUP(F6,'Feed parameters'!$A$2:$M$113,7, FALSE)</f>
        <v>0.65213596800000007</v>
      </c>
      <c r="G30" s="39">
        <f>VLOOKUP(G6,FEED_P[[#All],[Feed]:[DE (fraction)]],7, FALSE)</f>
        <v>0.53459999999999996</v>
      </c>
      <c r="H30" s="39">
        <f>VLOOKUP(H6,'Feed parameters'!$A$2:$M$113,7, FALSE)</f>
        <v>0.5411999999999999</v>
      </c>
      <c r="I30" s="39">
        <f>VLOOKUP(I6,'Feed parameters'!$A$2:$M$113,7, FALSE)</f>
        <v>0.45539999999999997</v>
      </c>
      <c r="J30" s="39">
        <f>VLOOKUP(J6,'Feed parameters'!$A$2:$M$113,7, FALSE)</f>
        <v>0.33</v>
      </c>
      <c r="K30" s="39">
        <f>VLOOKUP(K6,'Feed parameters'!$A$2:$M$113,7, FALSE)</f>
        <v>0</v>
      </c>
      <c r="L30" s="1186">
        <f>IFERROR(SUMPRODUCT(E28:K28,E30:K30)/ SUM(E28:K28), 0)</f>
        <v>0</v>
      </c>
      <c r="M30" s="389" t="s">
        <v>816</v>
      </c>
      <c r="N30" s="741">
        <f t="shared" ref="N30" si="44">N23</f>
        <v>0.79859999999999998</v>
      </c>
      <c r="O30" s="741">
        <f t="shared" ref="O30:T30" si="45">O23</f>
        <v>0.65213596800000007</v>
      </c>
      <c r="P30" s="741">
        <f t="shared" si="45"/>
        <v>0.53459999999999996</v>
      </c>
      <c r="Q30" s="741">
        <f t="shared" si="45"/>
        <v>0.5411999999999999</v>
      </c>
      <c r="R30" s="741">
        <f t="shared" si="45"/>
        <v>0.45539999999999997</v>
      </c>
      <c r="S30" s="741">
        <f t="shared" si="45"/>
        <v>0.33</v>
      </c>
      <c r="T30" s="741">
        <f t="shared" si="45"/>
        <v>0</v>
      </c>
      <c r="U30" s="388">
        <f>IFERROR(SUMPRODUCT(N28:T28,N30:T30)/ SUM(N28:T28), 0)</f>
        <v>0</v>
      </c>
      <c r="V30" s="389" t="s">
        <v>816</v>
      </c>
      <c r="W30" s="741">
        <f t="shared" ref="W30:AC32" si="46">W23</f>
        <v>0.79859999999999998</v>
      </c>
      <c r="X30" s="741">
        <f t="shared" si="46"/>
        <v>0.65213596800000007</v>
      </c>
      <c r="Y30" s="741">
        <f t="shared" si="46"/>
        <v>0.53459999999999996</v>
      </c>
      <c r="Z30" s="741">
        <f t="shared" si="46"/>
        <v>0.5411999999999999</v>
      </c>
      <c r="AA30" s="741">
        <f t="shared" si="46"/>
        <v>0.45539999999999997</v>
      </c>
      <c r="AB30" s="741">
        <f t="shared" si="46"/>
        <v>0.33</v>
      </c>
      <c r="AC30" s="741">
        <f t="shared" si="46"/>
        <v>0</v>
      </c>
      <c r="AD30" s="388">
        <f>IFERROR(SUMPRODUCT(W28:AC28,W30:AC30)/ SUM(W28:AC28), 0)</f>
        <v>0</v>
      </c>
      <c r="AE30" s="583">
        <f>L30*$G$3+U30*$P$3+AD30*$Y$3</f>
        <v>0</v>
      </c>
      <c r="AF30" s="145"/>
    </row>
    <row r="31" spans="1:32">
      <c r="A31" s="271"/>
      <c r="B31" s="517"/>
      <c r="C31" s="535"/>
      <c r="D31" s="513" t="s">
        <v>906</v>
      </c>
      <c r="E31" s="379">
        <f>VLOOKUP(E6,'Feed parameters'!$A$2:$M$113,4, FALSE)</f>
        <v>10.89</v>
      </c>
      <c r="F31" s="271">
        <f>VLOOKUP(F6,'Feed parameters'!$A$2:$M$113,4, FALSE)</f>
        <v>1.4821271999999999</v>
      </c>
      <c r="G31" s="271">
        <f>VLOOKUP(G6,FEED_P[[#All],[Feed]:[DE (fraction)]],4, FALSE)</f>
        <v>2.0168999999999997</v>
      </c>
      <c r="H31" s="271">
        <f>VLOOKUP(H6,'Feed parameters'!$A$2:$M$113,4, FALSE)</f>
        <v>1.8039999999999998</v>
      </c>
      <c r="I31" s="271">
        <f>VLOOKUP(I6,'Feed parameters'!$A$2:$M$113,4, FALSE)</f>
        <v>6.003000000000001</v>
      </c>
      <c r="J31" s="271">
        <f>VLOOKUP(J6,'Feed parameters'!$A$2:$M$113,4, FALSE)</f>
        <v>3</v>
      </c>
      <c r="K31" s="271">
        <f>VLOOKUP(K6,'Feed parameters'!$A$2:$M$113,4, FALSE)</f>
        <v>0</v>
      </c>
      <c r="L31" s="387">
        <f>IFERROR(SUMPRODUCT(E28:K28,E31:K31)/ SUM(E28:K28), 0)</f>
        <v>0</v>
      </c>
      <c r="M31" s="389" t="s">
        <v>906</v>
      </c>
      <c r="N31" s="741">
        <f t="shared" ref="N31" si="47">N24</f>
        <v>10.89</v>
      </c>
      <c r="O31" s="741">
        <f t="shared" ref="O31:T31" si="48">O24</f>
        <v>1.4821271999999999</v>
      </c>
      <c r="P31" s="741">
        <f t="shared" si="48"/>
        <v>2.0168999999999997</v>
      </c>
      <c r="Q31" s="741">
        <f t="shared" si="48"/>
        <v>1.8039999999999998</v>
      </c>
      <c r="R31" s="741">
        <f t="shared" si="48"/>
        <v>6.003000000000001</v>
      </c>
      <c r="S31" s="741">
        <f t="shared" si="48"/>
        <v>3</v>
      </c>
      <c r="T31" s="741">
        <f t="shared" si="48"/>
        <v>0</v>
      </c>
      <c r="U31" s="380">
        <f>IFERROR(SUMPRODUCT(N28:T28,N31:T31)/ SUM(N28:T28), 0)</f>
        <v>0</v>
      </c>
      <c r="V31" s="389" t="s">
        <v>906</v>
      </c>
      <c r="W31" s="741">
        <f t="shared" si="46"/>
        <v>10.89</v>
      </c>
      <c r="X31" s="741">
        <f t="shared" si="46"/>
        <v>1.4821271999999999</v>
      </c>
      <c r="Y31" s="741">
        <f t="shared" si="46"/>
        <v>2.0168999999999997</v>
      </c>
      <c r="Z31" s="741">
        <f t="shared" si="46"/>
        <v>1.8039999999999998</v>
      </c>
      <c r="AA31" s="741">
        <f t="shared" si="46"/>
        <v>6.003000000000001</v>
      </c>
      <c r="AB31" s="741">
        <f t="shared" si="46"/>
        <v>3</v>
      </c>
      <c r="AC31" s="741">
        <f t="shared" si="46"/>
        <v>0</v>
      </c>
      <c r="AD31" s="380">
        <f>IFERROR(SUMPRODUCT(W28:AC28,W31:AC31)/ SUM(W28:AC28), 0)</f>
        <v>0</v>
      </c>
      <c r="AE31" s="583"/>
      <c r="AF31" s="145"/>
    </row>
    <row r="32" spans="1:32" s="145" customFormat="1">
      <c r="B32" s="512"/>
      <c r="C32" s="531"/>
      <c r="D32" s="513" t="s">
        <v>1154</v>
      </c>
      <c r="E32" s="379">
        <f>VLOOKUP(E6,'Feed parameters'!$A$2:$M$113,2, FALSE)</f>
        <v>90</v>
      </c>
      <c r="F32" s="271">
        <f>VLOOKUP(F6,'Feed parameters'!$A$2:$M$113,2, FALSE)</f>
        <v>15</v>
      </c>
      <c r="G32" s="271">
        <f>VLOOKUP(G6,FEED_P[[#All],[Feed]:[DE (fraction)]],2, FALSE)</f>
        <v>24.9</v>
      </c>
      <c r="H32" s="271">
        <f>VLOOKUP(H6,'Feed parameters'!$A$2:$M$113,2, FALSE)</f>
        <v>22</v>
      </c>
      <c r="I32" s="271">
        <f>VLOOKUP(I6,'Feed parameters'!$A$2:$M$113,2, FALSE)</f>
        <v>87</v>
      </c>
      <c r="J32" s="271">
        <f>VLOOKUP(J6,'Feed parameters'!$A$2:$M$113,2, FALSE)</f>
        <v>60</v>
      </c>
      <c r="K32" s="271">
        <f>VLOOKUP(K6,'Feed parameters'!$A$2:$M$113,2, FALSE)</f>
        <v>0</v>
      </c>
      <c r="L32" s="380">
        <f>IFERROR(SUMPRODUCT(E28:K28,E32:K32)/ SUM(E28:K28), 0)</f>
        <v>0</v>
      </c>
      <c r="M32" s="557" t="s">
        <v>1154</v>
      </c>
      <c r="N32" s="741">
        <f t="shared" ref="N32" si="49">N25</f>
        <v>90</v>
      </c>
      <c r="O32" s="741">
        <f t="shared" ref="O32:T32" si="50">O25</f>
        <v>15</v>
      </c>
      <c r="P32" s="741">
        <f t="shared" si="50"/>
        <v>24.9</v>
      </c>
      <c r="Q32" s="741">
        <f t="shared" si="50"/>
        <v>22</v>
      </c>
      <c r="R32" s="741">
        <f t="shared" si="50"/>
        <v>87</v>
      </c>
      <c r="S32" s="741">
        <f t="shared" si="50"/>
        <v>60</v>
      </c>
      <c r="T32" s="741">
        <f t="shared" si="50"/>
        <v>0</v>
      </c>
      <c r="U32" s="387">
        <f>IFERROR(SUMPRODUCT(N28:T28,N32:T32)/ SUM(N28:T28), 0)</f>
        <v>0</v>
      </c>
      <c r="V32" s="557" t="s">
        <v>1154</v>
      </c>
      <c r="W32" s="741">
        <f t="shared" si="46"/>
        <v>90</v>
      </c>
      <c r="X32" s="741">
        <f t="shared" si="46"/>
        <v>15</v>
      </c>
      <c r="Y32" s="741">
        <f t="shared" si="46"/>
        <v>24.9</v>
      </c>
      <c r="Z32" s="741">
        <f t="shared" si="46"/>
        <v>22</v>
      </c>
      <c r="AA32" s="741">
        <f t="shared" si="46"/>
        <v>87</v>
      </c>
      <c r="AB32" s="741">
        <f t="shared" si="46"/>
        <v>60</v>
      </c>
      <c r="AC32" s="741">
        <f t="shared" si="46"/>
        <v>0</v>
      </c>
      <c r="AD32" s="387">
        <f>IFERROR(SUMPRODUCT(W28:AC28,W32:AC32)/ SUM(W28:AC28), 0)</f>
        <v>0</v>
      </c>
      <c r="AE32" s="583">
        <f>L32*$G$3+U32*$P$3+AD32*$Y$3</f>
        <v>0</v>
      </c>
    </row>
    <row r="33" spans="1:32" s="145" customFormat="1">
      <c r="B33" s="512"/>
      <c r="C33" s="531"/>
      <c r="D33" s="513" t="s">
        <v>1172</v>
      </c>
      <c r="E33" s="379">
        <f t="shared" ref="E33:K33" si="51">IFERROR((E28*E32)/SUMPRODUCT($E28:$K28,$E32:$K32), 0)</f>
        <v>0</v>
      </c>
      <c r="F33" s="271">
        <f t="shared" si="51"/>
        <v>0</v>
      </c>
      <c r="G33" s="271">
        <f t="shared" si="51"/>
        <v>0</v>
      </c>
      <c r="H33" s="271">
        <f t="shared" si="51"/>
        <v>0</v>
      </c>
      <c r="I33" s="271">
        <f t="shared" si="51"/>
        <v>0</v>
      </c>
      <c r="J33" s="271">
        <f t="shared" si="51"/>
        <v>0</v>
      </c>
      <c r="K33" s="271">
        <f t="shared" si="51"/>
        <v>0</v>
      </c>
      <c r="L33" s="380"/>
      <c r="M33" s="557" t="s">
        <v>1172</v>
      </c>
      <c r="N33" s="271">
        <f t="shared" ref="N33:T33" si="52">IFERROR((N28*N32)/SUMPRODUCT($N28:$T28,$N32:$T32), 0)</f>
        <v>0</v>
      </c>
      <c r="O33" s="271">
        <f t="shared" si="52"/>
        <v>0</v>
      </c>
      <c r="P33" s="271">
        <f t="shared" si="52"/>
        <v>0</v>
      </c>
      <c r="Q33" s="271">
        <f t="shared" si="52"/>
        <v>0</v>
      </c>
      <c r="R33" s="271">
        <f t="shared" si="52"/>
        <v>0</v>
      </c>
      <c r="S33" s="271">
        <f t="shared" si="52"/>
        <v>0</v>
      </c>
      <c r="T33" s="271">
        <f t="shared" si="52"/>
        <v>0</v>
      </c>
      <c r="U33" s="387"/>
      <c r="V33" s="557" t="s">
        <v>1172</v>
      </c>
      <c r="W33" s="271">
        <f>IFERROR((W28*W32)/SUMPRODUCT($W28:$AC28,$W32:$AC32), 0)</f>
        <v>0</v>
      </c>
      <c r="X33" s="271">
        <f t="shared" ref="X33" si="53">IFERROR((X28*X32)/SUMPRODUCT($W28:$AC28,$W32:$AC32), 0)</f>
        <v>0</v>
      </c>
      <c r="Y33" s="271">
        <f t="shared" ref="Y33" si="54">IFERROR((Y28*Y32)/SUMPRODUCT($W28:$AC28,$W32:$AC32), 0)</f>
        <v>0</v>
      </c>
      <c r="Z33" s="271">
        <f t="shared" ref="Z33" si="55">IFERROR((Z28*Z32)/SUMPRODUCT($W28:$AC28,$W32:$AC32), 0)</f>
        <v>0</v>
      </c>
      <c r="AA33" s="271">
        <f t="shared" ref="AA33" si="56">IFERROR((AA28*AA32)/SUMPRODUCT($W28:$AC28,$W32:$AC32), 0)</f>
        <v>0</v>
      </c>
      <c r="AB33" s="271">
        <f t="shared" ref="AB33" si="57">IFERROR((AB28*AB32)/SUMPRODUCT($W28:$AC28,$W32:$AC32), 0)</f>
        <v>0</v>
      </c>
      <c r="AC33" s="271">
        <f t="shared" ref="AC33" si="58">IFERROR((AC28*AC32)/SUMPRODUCT($W28:$AC28,$W32:$AC32), 0)</f>
        <v>0</v>
      </c>
      <c r="AD33" s="387"/>
      <c r="AE33" s="583"/>
    </row>
    <row r="34" spans="1:32" s="145" customFormat="1">
      <c r="A34" s="271"/>
      <c r="B34" s="517"/>
      <c r="C34" s="535"/>
      <c r="D34" s="513"/>
      <c r="E34" s="379"/>
      <c r="F34" s="271"/>
      <c r="G34" s="271"/>
      <c r="H34" s="271"/>
      <c r="I34" s="271"/>
      <c r="J34" s="271"/>
      <c r="K34" s="271"/>
      <c r="L34" s="383"/>
      <c r="M34" s="389"/>
      <c r="N34" s="271"/>
      <c r="O34" s="271"/>
      <c r="P34" s="271"/>
      <c r="Q34" s="271"/>
      <c r="R34" s="271"/>
      <c r="S34" s="271"/>
      <c r="T34" s="271"/>
      <c r="U34" s="383"/>
      <c r="V34" s="389"/>
      <c r="W34" s="271"/>
      <c r="X34" s="271"/>
      <c r="Y34" s="271"/>
      <c r="Z34" s="271"/>
      <c r="AA34" s="271"/>
      <c r="AB34" s="271"/>
      <c r="AC34" s="271"/>
      <c r="AD34" s="383"/>
      <c r="AE34" s="583"/>
    </row>
    <row r="35" spans="1:32" s="301" customFormat="1">
      <c r="B35" s="518" t="str">
        <f>INPUTS!C25</f>
        <v>Steers/heifers</v>
      </c>
      <c r="C35" s="536"/>
      <c r="D35" s="511" t="s">
        <v>1171</v>
      </c>
      <c r="E35" s="377">
        <f>INPUTS!G60</f>
        <v>0.05</v>
      </c>
      <c r="F35" s="302">
        <f>INPUTS!G61</f>
        <v>0.15</v>
      </c>
      <c r="G35" s="302">
        <f>INPUTS!G62</f>
        <v>0.37</v>
      </c>
      <c r="H35" s="302">
        <f>INPUTS!G63</f>
        <v>0.05</v>
      </c>
      <c r="I35" s="302">
        <f>INPUTS!G64</f>
        <v>0.02</v>
      </c>
      <c r="J35" s="302">
        <f>INPUTS!G65</f>
        <v>0.36</v>
      </c>
      <c r="K35" s="302">
        <f>INPUTS!G66</f>
        <v>0</v>
      </c>
      <c r="L35" s="378"/>
      <c r="M35" s="573" t="s">
        <v>1171</v>
      </c>
      <c r="N35" s="302">
        <f>INPUTS!V60</f>
        <v>0.08</v>
      </c>
      <c r="O35" s="302">
        <f>INPUTS!V61</f>
        <v>0.08</v>
      </c>
      <c r="P35" s="302">
        <f>INPUTS!V62</f>
        <v>0.19</v>
      </c>
      <c r="Q35" s="302">
        <f>INPUTS!V63</f>
        <v>0.3</v>
      </c>
      <c r="R35" s="302">
        <f>INPUTS!V64</f>
        <v>0.15</v>
      </c>
      <c r="S35" s="302">
        <f>INPUTS!V65</f>
        <v>0.2</v>
      </c>
      <c r="T35" s="302">
        <f>INPUTS!V66</f>
        <v>0</v>
      </c>
      <c r="U35" s="386"/>
      <c r="V35" s="573" t="s">
        <v>1171</v>
      </c>
      <c r="W35" s="302">
        <f>INPUTS!AK60</f>
        <v>0</v>
      </c>
      <c r="X35" s="302">
        <f>INPUTS!AK61</f>
        <v>0</v>
      </c>
      <c r="Y35" s="302">
        <f>INPUTS!AK62</f>
        <v>0</v>
      </c>
      <c r="Z35" s="302">
        <f>INPUTS!AK63</f>
        <v>0</v>
      </c>
      <c r="AA35" s="302">
        <f>INPUTS!AK64</f>
        <v>0</v>
      </c>
      <c r="AB35" s="302">
        <f>INPUTS!AK65</f>
        <v>0</v>
      </c>
      <c r="AC35" s="302">
        <f>INPUTS!AK66</f>
        <v>0</v>
      </c>
      <c r="AD35" s="386"/>
      <c r="AE35" s="582"/>
    </row>
    <row r="36" spans="1:32" s="145" customFormat="1">
      <c r="B36" s="517"/>
      <c r="C36" s="535"/>
      <c r="D36" s="513" t="s">
        <v>815</v>
      </c>
      <c r="E36" s="379">
        <f>VLOOKUP(E6,'Feed parameters'!$A$2:$M$113,6, FALSE)</f>
        <v>14.4</v>
      </c>
      <c r="F36" s="271">
        <f>VLOOKUP(F6,'Feed parameters'!$A$2:$M$113,6, FALSE)</f>
        <v>1.65</v>
      </c>
      <c r="G36" s="271">
        <f>VLOOKUP(G6,FEED_P[[#All],[Feed]:[DE (fraction)]],6, FALSE)</f>
        <v>2.5148999999999999</v>
      </c>
      <c r="H36" s="271">
        <f>VLOOKUP(H6,'Feed parameters'!$A$2:$M$113,6, FALSE)</f>
        <v>1.21</v>
      </c>
      <c r="I36" s="271">
        <f>VLOOKUP(I6,'Feed parameters'!$A$2:$M$113,6, FALSE)</f>
        <v>3.3930000000000002</v>
      </c>
      <c r="J36" s="271">
        <f>VLOOKUP(J6,'Feed parameters'!$A$2:$M$113,6, FALSE)</f>
        <v>3.6</v>
      </c>
      <c r="K36" s="271">
        <f>VLOOKUP(K6,'Feed parameters'!$A$2:$M$113,6, FALSE)</f>
        <v>0</v>
      </c>
      <c r="L36" s="380">
        <f>IFERROR(SUMPRODUCT(E35:K35,E36:K36)/ SUM(E35:K35), 0)</f>
        <v>3.3223729999999998</v>
      </c>
      <c r="M36" s="389" t="s">
        <v>815</v>
      </c>
      <c r="N36" s="741">
        <f>N29</f>
        <v>14.4</v>
      </c>
      <c r="O36" s="741">
        <f t="shared" ref="O36:T36" si="59">O29</f>
        <v>1.65</v>
      </c>
      <c r="P36" s="741">
        <f t="shared" si="59"/>
        <v>2.5148999999999999</v>
      </c>
      <c r="Q36" s="741">
        <f t="shared" si="59"/>
        <v>1.21</v>
      </c>
      <c r="R36" s="741">
        <f t="shared" si="59"/>
        <v>3.3930000000000002</v>
      </c>
      <c r="S36" s="741">
        <f t="shared" si="59"/>
        <v>3.6</v>
      </c>
      <c r="T36" s="741">
        <f t="shared" si="59"/>
        <v>0</v>
      </c>
      <c r="U36" s="387">
        <f>IFERROR(SUMPRODUCT(N35:T35,N36:T36)/ SUM(N35:T35), 0)</f>
        <v>3.3537810000000006</v>
      </c>
      <c r="V36" s="389" t="s">
        <v>815</v>
      </c>
      <c r="W36" s="741">
        <f>W29</f>
        <v>14.4</v>
      </c>
      <c r="X36" s="741">
        <f t="shared" ref="X36:AC36" si="60">X29</f>
        <v>1.65</v>
      </c>
      <c r="Y36" s="741">
        <f t="shared" si="60"/>
        <v>2.5148999999999999</v>
      </c>
      <c r="Z36" s="741">
        <f t="shared" si="60"/>
        <v>1.21</v>
      </c>
      <c r="AA36" s="741">
        <f t="shared" si="60"/>
        <v>3.3930000000000002</v>
      </c>
      <c r="AB36" s="741">
        <f t="shared" si="60"/>
        <v>3.6</v>
      </c>
      <c r="AC36" s="741">
        <f t="shared" si="60"/>
        <v>0</v>
      </c>
      <c r="AD36" s="387">
        <f>IFERROR(SUMPRODUCT(W35:AC35,W36:AC36)/ SUM(W35:AC35), 0)</f>
        <v>0</v>
      </c>
      <c r="AE36" s="583">
        <f>L36*$G$3+U36*$P$3+AD36*$Y$3</f>
        <v>3.3374316301369862</v>
      </c>
      <c r="AF36" s="493" t="e">
        <f>L36*$G$3/(L39*0.01)+U36*$P$3/(U39*0.01)+AD36*$Y$3/(AD39*0.01)</f>
        <v>#DIV/0!</v>
      </c>
    </row>
    <row r="37" spans="1:32" s="145" customFormat="1">
      <c r="B37" s="517"/>
      <c r="C37" s="535"/>
      <c r="D37" s="513" t="s">
        <v>816</v>
      </c>
      <c r="E37" s="379">
        <f>VLOOKUP(E6,'Feed parameters'!$A$2:$M$113,7, FALSE)</f>
        <v>0.79859999999999998</v>
      </c>
      <c r="F37" s="271">
        <f>VLOOKUP(F6,'Feed parameters'!$A$2:$M$113,7, FALSE)</f>
        <v>0.65213596800000007</v>
      </c>
      <c r="G37" s="271">
        <f>VLOOKUP(G6,FEED_P[[#All],[Feed]:[DE (fraction)]],7, FALSE)</f>
        <v>0.53459999999999996</v>
      </c>
      <c r="H37" s="271">
        <f>VLOOKUP(H6,'Feed parameters'!$A$2:$M$113,7, FALSE)</f>
        <v>0.5411999999999999</v>
      </c>
      <c r="I37" s="271">
        <f>VLOOKUP(I6,'Feed parameters'!$A$2:$M$113,7, FALSE)</f>
        <v>0.45539999999999997</v>
      </c>
      <c r="J37" s="271">
        <f>VLOOKUP(J6,'Feed parameters'!$A$2:$M$113,7, FALSE)</f>
        <v>0.33</v>
      </c>
      <c r="K37" s="271">
        <f>VLOOKUP(K6,'Feed parameters'!$A$2:$M$113,7, FALSE)</f>
        <v>0</v>
      </c>
      <c r="L37" s="380">
        <f>IFERROR(SUMPRODUCT(E35:K35,E37:K37)/ SUM(E35:K35), 0)</f>
        <v>0.49052039520000001</v>
      </c>
      <c r="M37" s="389" t="s">
        <v>816</v>
      </c>
      <c r="N37" s="741">
        <f t="shared" ref="N37" si="61">N30</f>
        <v>0.79859999999999998</v>
      </c>
      <c r="O37" s="741">
        <f t="shared" ref="O37:T37" si="62">O30</f>
        <v>0.65213596800000007</v>
      </c>
      <c r="P37" s="741">
        <f t="shared" si="62"/>
        <v>0.53459999999999996</v>
      </c>
      <c r="Q37" s="741">
        <f t="shared" si="62"/>
        <v>0.5411999999999999</v>
      </c>
      <c r="R37" s="741">
        <f t="shared" si="62"/>
        <v>0.45539999999999997</v>
      </c>
      <c r="S37" s="741">
        <f t="shared" si="62"/>
        <v>0.33</v>
      </c>
      <c r="T37" s="741">
        <f t="shared" si="62"/>
        <v>0</v>
      </c>
      <c r="U37" s="387">
        <f>IFERROR(SUMPRODUCT(N35:T35,N37:T37)/ SUM(N35:T35), 0)</f>
        <v>0.51430287744000003</v>
      </c>
      <c r="V37" s="389" t="s">
        <v>816</v>
      </c>
      <c r="W37" s="741">
        <f t="shared" ref="W37:AC39" si="63">W30</f>
        <v>0.79859999999999998</v>
      </c>
      <c r="X37" s="741">
        <f t="shared" si="63"/>
        <v>0.65213596800000007</v>
      </c>
      <c r="Y37" s="741">
        <f t="shared" si="63"/>
        <v>0.53459999999999996</v>
      </c>
      <c r="Z37" s="741">
        <f t="shared" si="63"/>
        <v>0.5411999999999999</v>
      </c>
      <c r="AA37" s="741">
        <f t="shared" si="63"/>
        <v>0.45539999999999997</v>
      </c>
      <c r="AB37" s="741">
        <f t="shared" si="63"/>
        <v>0.33</v>
      </c>
      <c r="AC37" s="741">
        <f t="shared" si="63"/>
        <v>0</v>
      </c>
      <c r="AD37" s="387">
        <f>IFERROR(SUMPRODUCT(W35:AC35,W37:AC37)/ SUM(W35:AC35), 0)</f>
        <v>0</v>
      </c>
      <c r="AE37" s="583">
        <f>L37*$G$3+U37*$P$3+AD37*$Y$3</f>
        <v>0.50192295517808216</v>
      </c>
    </row>
    <row r="38" spans="1:32" s="145" customFormat="1">
      <c r="B38" s="517"/>
      <c r="C38" s="535"/>
      <c r="D38" s="513" t="s">
        <v>906</v>
      </c>
      <c r="E38" s="379">
        <f>VLOOKUP(E6,'Feed parameters'!$A$2:$M$113,4, FALSE)</f>
        <v>10.89</v>
      </c>
      <c r="F38" s="271">
        <f>VLOOKUP(F6,'Feed parameters'!$A$2:$M$113,4, FALSE)</f>
        <v>1.4821271999999999</v>
      </c>
      <c r="G38" s="271">
        <f>VLOOKUP(G6,FEED_P[[#All],[Feed]:[DE (fraction)]],4, FALSE)</f>
        <v>2.0168999999999997</v>
      </c>
      <c r="H38" s="271">
        <f>VLOOKUP(H6,'Feed parameters'!$A$2:$M$113,4, FALSE)</f>
        <v>1.8039999999999998</v>
      </c>
      <c r="I38" s="271">
        <f>VLOOKUP(I6,'Feed parameters'!$A$2:$M$113,4, FALSE)</f>
        <v>6.003000000000001</v>
      </c>
      <c r="J38" s="271">
        <f>VLOOKUP(J6,'Feed parameters'!$A$2:$M$113,4, FALSE)</f>
        <v>3</v>
      </c>
      <c r="K38" s="271">
        <f>VLOOKUP(K6,'Feed parameters'!$A$2:$M$113,4, FALSE)</f>
        <v>0</v>
      </c>
      <c r="L38" s="380">
        <f>IFERROR(SUMPRODUCT(E35:K35,E38:K38)/ SUM(E35:K35), 0)</f>
        <v>2.8033320800000001</v>
      </c>
      <c r="M38" s="389" t="s">
        <v>906</v>
      </c>
      <c r="N38" s="741">
        <f t="shared" ref="N38" si="64">N31</f>
        <v>10.89</v>
      </c>
      <c r="O38" s="741">
        <f t="shared" ref="O38:T38" si="65">O31</f>
        <v>1.4821271999999999</v>
      </c>
      <c r="P38" s="741">
        <f t="shared" si="65"/>
        <v>2.0168999999999997</v>
      </c>
      <c r="Q38" s="741">
        <f t="shared" si="65"/>
        <v>1.8039999999999998</v>
      </c>
      <c r="R38" s="741">
        <f t="shared" si="65"/>
        <v>6.003000000000001</v>
      </c>
      <c r="S38" s="741">
        <f t="shared" si="65"/>
        <v>3</v>
      </c>
      <c r="T38" s="741">
        <f t="shared" si="65"/>
        <v>0</v>
      </c>
      <c r="U38" s="387">
        <f>IFERROR(SUMPRODUCT(N35:T35,N38:T38)/ SUM(N35:T35), 0)</f>
        <v>3.4146311760000003</v>
      </c>
      <c r="V38" s="389" t="s">
        <v>906</v>
      </c>
      <c r="W38" s="741">
        <f t="shared" si="63"/>
        <v>10.89</v>
      </c>
      <c r="X38" s="741">
        <f t="shared" si="63"/>
        <v>1.4821271999999999</v>
      </c>
      <c r="Y38" s="741">
        <f t="shared" si="63"/>
        <v>2.0168999999999997</v>
      </c>
      <c r="Z38" s="741">
        <f t="shared" si="63"/>
        <v>1.8039999999999998</v>
      </c>
      <c r="AA38" s="741">
        <f t="shared" si="63"/>
        <v>6.003000000000001</v>
      </c>
      <c r="AB38" s="741">
        <f t="shared" si="63"/>
        <v>3</v>
      </c>
      <c r="AC38" s="741">
        <f t="shared" si="63"/>
        <v>0</v>
      </c>
      <c r="AD38" s="387">
        <f>IFERROR(SUMPRODUCT(W35:AC35,W38:AC38)/ SUM(W35:AC35), 0)</f>
        <v>0</v>
      </c>
      <c r="AE38" s="583"/>
    </row>
    <row r="39" spans="1:32" s="145" customFormat="1">
      <c r="B39" s="512"/>
      <c r="C39" s="531"/>
      <c r="D39" s="513" t="s">
        <v>1154</v>
      </c>
      <c r="E39" s="379">
        <f>VLOOKUP(E6,'Feed parameters'!$A$2:$M$113,2, FALSE)</f>
        <v>90</v>
      </c>
      <c r="F39" s="271">
        <f>VLOOKUP(F6,'Feed parameters'!$A$2:$M$113,2, FALSE)</f>
        <v>15</v>
      </c>
      <c r="G39" s="271">
        <f>VLOOKUP(G6,FEED_P[[#All],[Feed]:[DE (fraction)]],2, FALSE)</f>
        <v>24.9</v>
      </c>
      <c r="H39" s="271">
        <f>VLOOKUP(H6,'Feed parameters'!$A$2:$M$113,2, FALSE)</f>
        <v>22</v>
      </c>
      <c r="I39" s="271">
        <f>VLOOKUP(I6,'Feed parameters'!$A$2:$M$113,2, FALSE)</f>
        <v>87</v>
      </c>
      <c r="J39" s="271">
        <f>VLOOKUP(J6,'Feed parameters'!$A$2:$M$113,2, FALSE)</f>
        <v>60</v>
      </c>
      <c r="K39" s="271">
        <f>VLOOKUP(K6,'Feed parameters'!$A$2:$M$113,2, FALSE)</f>
        <v>0</v>
      </c>
      <c r="L39" s="380">
        <f>IFERROR(SUMPRODUCT(E35:K35,E39:K39)/ SUM(E35:K35), 0)</f>
        <v>40.402999999999992</v>
      </c>
      <c r="M39" s="557" t="s">
        <v>1154</v>
      </c>
      <c r="N39" s="741">
        <f t="shared" ref="N39" si="66">N32</f>
        <v>90</v>
      </c>
      <c r="O39" s="741">
        <f t="shared" ref="O39:T39" si="67">O32</f>
        <v>15</v>
      </c>
      <c r="P39" s="741">
        <f t="shared" si="67"/>
        <v>24.9</v>
      </c>
      <c r="Q39" s="741">
        <f t="shared" si="67"/>
        <v>22</v>
      </c>
      <c r="R39" s="741">
        <f t="shared" si="67"/>
        <v>87</v>
      </c>
      <c r="S39" s="741">
        <f t="shared" si="67"/>
        <v>60</v>
      </c>
      <c r="T39" s="741">
        <f t="shared" si="67"/>
        <v>0</v>
      </c>
      <c r="U39" s="387">
        <f>IFERROR(SUMPRODUCT(N35:T35,N39:T39)/ SUM(N35:T35), 0)</f>
        <v>44.780999999999999</v>
      </c>
      <c r="V39" s="557" t="s">
        <v>1154</v>
      </c>
      <c r="W39" s="741">
        <f t="shared" si="63"/>
        <v>90</v>
      </c>
      <c r="X39" s="741">
        <f t="shared" si="63"/>
        <v>15</v>
      </c>
      <c r="Y39" s="741">
        <f t="shared" si="63"/>
        <v>24.9</v>
      </c>
      <c r="Z39" s="741">
        <f t="shared" si="63"/>
        <v>22</v>
      </c>
      <c r="AA39" s="741">
        <f t="shared" si="63"/>
        <v>87</v>
      </c>
      <c r="AB39" s="741">
        <f t="shared" si="63"/>
        <v>60</v>
      </c>
      <c r="AC39" s="741">
        <f t="shared" si="63"/>
        <v>0</v>
      </c>
      <c r="AD39" s="387">
        <f>IFERROR(SUMPRODUCT(W35:AC35,W39:AC39)/ SUM(W35:AC35), 0)</f>
        <v>0</v>
      </c>
      <c r="AE39" s="583">
        <f>L39*$G$3+U39*$P$3+AD39*$Y$3</f>
        <v>42.502041095890405</v>
      </c>
    </row>
    <row r="40" spans="1:32" s="145" customFormat="1">
      <c r="B40" s="512"/>
      <c r="C40" s="531"/>
      <c r="D40" s="513" t="s">
        <v>1172</v>
      </c>
      <c r="E40" s="379">
        <f t="shared" ref="E40:K40" si="68">IFERROR((E35*E39)/SUMPRODUCT($E35:$K35,$E39:$K39), 0)</f>
        <v>0.11137786798010051</v>
      </c>
      <c r="F40" s="271">
        <f t="shared" si="68"/>
        <v>5.5688933990050253E-2</v>
      </c>
      <c r="G40" s="271">
        <f t="shared" si="68"/>
        <v>0.22802762171125909</v>
      </c>
      <c r="H40" s="271">
        <f t="shared" si="68"/>
        <v>2.7225701061802349E-2</v>
      </c>
      <c r="I40" s="271">
        <f t="shared" si="68"/>
        <v>4.3066108952305532E-2</v>
      </c>
      <c r="J40" s="271">
        <f t="shared" si="68"/>
        <v>0.53461376630448243</v>
      </c>
      <c r="K40" s="271">
        <f t="shared" si="68"/>
        <v>0</v>
      </c>
      <c r="L40" s="380"/>
      <c r="M40" s="557" t="s">
        <v>1172</v>
      </c>
      <c r="N40" s="271">
        <f t="shared" ref="N40:T40" si="69">IFERROR((N35*N39)/SUMPRODUCT($N35:$T35,$N39:$T39), 0)</f>
        <v>0.16078247471025658</v>
      </c>
      <c r="O40" s="271">
        <f t="shared" si="69"/>
        <v>2.6797079118376095E-2</v>
      </c>
      <c r="P40" s="271">
        <f t="shared" si="69"/>
        <v>0.10564748442419776</v>
      </c>
      <c r="Q40" s="271">
        <f t="shared" si="69"/>
        <v>0.14738393515106854</v>
      </c>
      <c r="R40" s="271">
        <f t="shared" si="69"/>
        <v>0.29141823541234002</v>
      </c>
      <c r="S40" s="271">
        <f t="shared" si="69"/>
        <v>0.26797079118376099</v>
      </c>
      <c r="T40" s="271">
        <f t="shared" si="69"/>
        <v>0</v>
      </c>
      <c r="U40" s="387"/>
      <c r="V40" s="557" t="s">
        <v>1172</v>
      </c>
      <c r="W40" s="271">
        <f>IFERROR((W35*W39)/SUMPRODUCT($W35:$AC35,$W39:$AC39), 0)</f>
        <v>0</v>
      </c>
      <c r="X40" s="271">
        <f t="shared" ref="X40" si="70">IFERROR((X35*X39)/SUMPRODUCT($W35:$AC35,$W39:$AC39), 0)</f>
        <v>0</v>
      </c>
      <c r="Y40" s="271">
        <f t="shared" ref="Y40" si="71">IFERROR((Y35*Y39)/SUMPRODUCT($W35:$AC35,$W39:$AC39), 0)</f>
        <v>0</v>
      </c>
      <c r="Z40" s="271">
        <f t="shared" ref="Z40" si="72">IFERROR((Z35*Z39)/SUMPRODUCT($W35:$AC35,$W39:$AC39), 0)</f>
        <v>0</v>
      </c>
      <c r="AA40" s="271">
        <f t="shared" ref="AA40" si="73">IFERROR((AA35*AA39)/SUMPRODUCT($W35:$AC35,$W39:$AC39), 0)</f>
        <v>0</v>
      </c>
      <c r="AB40" s="271">
        <f t="shared" ref="AB40" si="74">IFERROR((AB35*AB39)/SUMPRODUCT($W35:$AC35,$W39:$AC39), 0)</f>
        <v>0</v>
      </c>
      <c r="AC40" s="271">
        <f t="shared" ref="AC40" si="75">IFERROR((AC35*AC39)/SUMPRODUCT($W35:$AC35,$W39:$AC39), 0)</f>
        <v>0</v>
      </c>
      <c r="AD40" s="387"/>
      <c r="AE40" s="583"/>
    </row>
    <row r="41" spans="1:32" s="145" customFormat="1">
      <c r="B41" s="512"/>
      <c r="C41" s="531"/>
      <c r="D41" s="513"/>
      <c r="E41" s="379"/>
      <c r="F41" s="271"/>
      <c r="G41" s="271"/>
      <c r="H41" s="271"/>
      <c r="I41" s="271"/>
      <c r="J41" s="271"/>
      <c r="K41" s="271"/>
      <c r="L41" s="380"/>
      <c r="M41" s="557"/>
      <c r="N41" s="271"/>
      <c r="O41" s="271"/>
      <c r="P41" s="271"/>
      <c r="Q41" s="271"/>
      <c r="R41" s="271"/>
      <c r="S41" s="271"/>
      <c r="T41" s="271"/>
      <c r="U41" s="387"/>
      <c r="V41" s="557"/>
      <c r="W41" s="271"/>
      <c r="X41" s="271"/>
      <c r="Y41" s="271"/>
      <c r="Z41" s="271"/>
      <c r="AA41" s="271"/>
      <c r="AB41" s="271"/>
      <c r="AC41" s="271"/>
      <c r="AD41" s="387"/>
      <c r="AE41" s="583"/>
    </row>
    <row r="42" spans="1:32" s="301" customFormat="1">
      <c r="B42" s="514" t="str">
        <f>INPUTS!C26</f>
        <v>Sheep/Goats - Ewes/Does</v>
      </c>
      <c r="C42" s="532"/>
      <c r="D42" s="511" t="s">
        <v>1171</v>
      </c>
      <c r="E42" s="302">
        <f>INPUTS!H60</f>
        <v>0</v>
      </c>
      <c r="F42" s="302">
        <f>INPUTS!H61</f>
        <v>0</v>
      </c>
      <c r="G42" s="302">
        <f>INPUTS!H62</f>
        <v>0</v>
      </c>
      <c r="H42" s="302">
        <f>INPUTS!H63</f>
        <v>0</v>
      </c>
      <c r="I42" s="302">
        <f>INPUTS!H64</f>
        <v>0</v>
      </c>
      <c r="J42" s="302">
        <f>INPUTS!H65</f>
        <v>0</v>
      </c>
      <c r="K42" s="302">
        <f>INPUTS!H66</f>
        <v>0</v>
      </c>
      <c r="L42" s="302"/>
      <c r="M42" s="573" t="s">
        <v>1171</v>
      </c>
      <c r="N42" s="302">
        <f>INPUTS!W60</f>
        <v>0</v>
      </c>
      <c r="O42" s="302">
        <f>INPUTS!W61</f>
        <v>0</v>
      </c>
      <c r="P42" s="302">
        <f>INPUTS!W62</f>
        <v>0</v>
      </c>
      <c r="Q42" s="302">
        <f>INPUTS!W63</f>
        <v>0</v>
      </c>
      <c r="R42" s="302">
        <f>INPUTS!W64</f>
        <v>0</v>
      </c>
      <c r="S42" s="302">
        <f>INPUTS!W65</f>
        <v>0</v>
      </c>
      <c r="T42" s="302">
        <f>INPUTS!W66</f>
        <v>0</v>
      </c>
      <c r="U42" s="386"/>
      <c r="V42" s="573" t="s">
        <v>1171</v>
      </c>
      <c r="W42" s="302">
        <f>INPUTS!AL60</f>
        <v>0</v>
      </c>
      <c r="X42" s="302">
        <f>INPUTS!AL61</f>
        <v>0</v>
      </c>
      <c r="Y42" s="302">
        <f>INPUTS!AL62</f>
        <v>0</v>
      </c>
      <c r="Z42" s="302">
        <f>INPUTS!AL63</f>
        <v>0</v>
      </c>
      <c r="AA42" s="302">
        <f>INPUTS!AL64</f>
        <v>0</v>
      </c>
      <c r="AB42" s="302">
        <f>INPUTS!AL65</f>
        <v>0</v>
      </c>
      <c r="AC42" s="302">
        <f>INPUTS!AL66</f>
        <v>0</v>
      </c>
      <c r="AD42" s="386"/>
      <c r="AE42" s="582"/>
    </row>
    <row r="43" spans="1:32" s="145" customFormat="1">
      <c r="B43" s="515"/>
      <c r="C43" s="533"/>
      <c r="D43" s="513" t="s">
        <v>815</v>
      </c>
      <c r="E43" s="381">
        <f>VLOOKUP(E6,'Feed parameters'!$A$2:$M$113,6, FALSE)</f>
        <v>14.4</v>
      </c>
      <c r="F43" s="187">
        <f>VLOOKUP(F6,'Feed parameters'!$A$2:$M$113,6, FALSE)</f>
        <v>1.65</v>
      </c>
      <c r="G43" s="187">
        <f>VLOOKUP(G6,FEED_P[[#All],[Feed]:[DE (fraction)]],6, FALSE)</f>
        <v>2.5148999999999999</v>
      </c>
      <c r="H43" s="187">
        <f>VLOOKUP(H6,'Feed parameters'!$A$2:$M$113,6, FALSE)</f>
        <v>1.21</v>
      </c>
      <c r="I43" s="187">
        <f>VLOOKUP(I6,'Feed parameters'!$A$2:$M$113,6, FALSE)</f>
        <v>3.3930000000000002</v>
      </c>
      <c r="J43" s="187">
        <f>VLOOKUP(J6,'Feed parameters'!$A$2:$M$113,6, FALSE)</f>
        <v>3.6</v>
      </c>
      <c r="K43" s="187">
        <f>VLOOKUP(K6,'Feed parameters'!$A$2:$M$113,6, FALSE)</f>
        <v>0</v>
      </c>
      <c r="L43" s="382">
        <f>IFERROR(SUMPRODUCT(E42:K42,E43:K43)/ SUM(E42:K42), 0)</f>
        <v>0</v>
      </c>
      <c r="M43" s="389" t="s">
        <v>815</v>
      </c>
      <c r="N43" s="741">
        <f>N36</f>
        <v>14.4</v>
      </c>
      <c r="O43" s="741">
        <f t="shared" ref="O43:T43" si="76">O36</f>
        <v>1.65</v>
      </c>
      <c r="P43" s="741">
        <f t="shared" si="76"/>
        <v>2.5148999999999999</v>
      </c>
      <c r="Q43" s="741">
        <f t="shared" si="76"/>
        <v>1.21</v>
      </c>
      <c r="R43" s="741">
        <f t="shared" si="76"/>
        <v>3.3930000000000002</v>
      </c>
      <c r="S43" s="741">
        <f t="shared" si="76"/>
        <v>3.6</v>
      </c>
      <c r="T43" s="741">
        <f t="shared" si="76"/>
        <v>0</v>
      </c>
      <c r="U43" s="388">
        <f>IFERROR(SUMPRODUCT(N42:T42,N43:T43)/ SUM(N42:T42), 0)</f>
        <v>0</v>
      </c>
      <c r="V43" s="389" t="s">
        <v>815</v>
      </c>
      <c r="W43" s="741">
        <f>W36</f>
        <v>14.4</v>
      </c>
      <c r="X43" s="741">
        <f t="shared" ref="X43:AC43" si="77">X36</f>
        <v>1.65</v>
      </c>
      <c r="Y43" s="741">
        <f t="shared" si="77"/>
        <v>2.5148999999999999</v>
      </c>
      <c r="Z43" s="741">
        <f t="shared" si="77"/>
        <v>1.21</v>
      </c>
      <c r="AA43" s="741">
        <f t="shared" si="77"/>
        <v>3.3930000000000002</v>
      </c>
      <c r="AB43" s="741">
        <f t="shared" si="77"/>
        <v>3.6</v>
      </c>
      <c r="AC43" s="741">
        <f t="shared" si="77"/>
        <v>0</v>
      </c>
      <c r="AD43" s="388">
        <f>IFERROR(SUMPRODUCT(W42:AC42,W43:AC43)/ SUM(W42:AC42), 0)</f>
        <v>0</v>
      </c>
      <c r="AE43" s="583">
        <f>L43*$G$3+U43*$P$3+AD43*$Y$3</f>
        <v>0</v>
      </c>
      <c r="AF43" s="493" t="e">
        <f>L43*$G$3/(L46*0.01)+U43*$P$3/(U46*0.01)+AD43*$Y$3/(AD46*0.01)</f>
        <v>#DIV/0!</v>
      </c>
    </row>
    <row r="44" spans="1:32">
      <c r="B44" s="516"/>
      <c r="C44" s="534"/>
      <c r="D44" s="513" t="s">
        <v>816</v>
      </c>
      <c r="E44" s="478">
        <f>VLOOKUP(E6,'Feed parameters'!$A$2:$M$113,7, FALSE)</f>
        <v>0.79859999999999998</v>
      </c>
      <c r="F44" s="39">
        <f>VLOOKUP(F6,'Feed parameters'!$A$2:$M$113,7, FALSE)</f>
        <v>0.65213596800000007</v>
      </c>
      <c r="G44" s="39">
        <f>VLOOKUP(G6,FEED_P[[#All],[Feed]:[DE (fraction)]],7, FALSE)</f>
        <v>0.53459999999999996</v>
      </c>
      <c r="H44" s="39">
        <f>VLOOKUP(H6,'Feed parameters'!$A$2:$M$113,7, FALSE)</f>
        <v>0.5411999999999999</v>
      </c>
      <c r="I44" s="39">
        <f>VLOOKUP(I6,'Feed parameters'!$A$2:$M$113,7, FALSE)</f>
        <v>0.45539999999999997</v>
      </c>
      <c r="J44" s="39">
        <f>VLOOKUP(J6,'Feed parameters'!$A$2:$M$113,7, FALSE)</f>
        <v>0.33</v>
      </c>
      <c r="K44" s="39">
        <f>VLOOKUP(K6,'Feed parameters'!$A$2:$M$113,7, FALSE)</f>
        <v>0</v>
      </c>
      <c r="L44" s="1186">
        <f>IFERROR(SUMPRODUCT(E42:K42,E44:K44)/ SUM(E42:K42), 0)</f>
        <v>0</v>
      </c>
      <c r="M44" s="389" t="s">
        <v>816</v>
      </c>
      <c r="N44" s="741">
        <f t="shared" ref="N44" si="78">N37</f>
        <v>0.79859999999999998</v>
      </c>
      <c r="O44" s="741">
        <f t="shared" ref="O44:T44" si="79">O37</f>
        <v>0.65213596800000007</v>
      </c>
      <c r="P44" s="741">
        <f t="shared" si="79"/>
        <v>0.53459999999999996</v>
      </c>
      <c r="Q44" s="741">
        <f t="shared" si="79"/>
        <v>0.5411999999999999</v>
      </c>
      <c r="R44" s="741">
        <f t="shared" si="79"/>
        <v>0.45539999999999997</v>
      </c>
      <c r="S44" s="741">
        <f t="shared" si="79"/>
        <v>0.33</v>
      </c>
      <c r="T44" s="741">
        <f t="shared" si="79"/>
        <v>0</v>
      </c>
      <c r="U44" s="388">
        <f>IFERROR(SUMPRODUCT(N42:T42,N44:T44)/ SUM(N42:T42), 0)</f>
        <v>0</v>
      </c>
      <c r="V44" s="389" t="s">
        <v>816</v>
      </c>
      <c r="W44" s="741">
        <f t="shared" ref="W44:AC46" si="80">W37</f>
        <v>0.79859999999999998</v>
      </c>
      <c r="X44" s="741">
        <f t="shared" si="80"/>
        <v>0.65213596800000007</v>
      </c>
      <c r="Y44" s="741">
        <f t="shared" si="80"/>
        <v>0.53459999999999996</v>
      </c>
      <c r="Z44" s="741">
        <f t="shared" si="80"/>
        <v>0.5411999999999999</v>
      </c>
      <c r="AA44" s="741">
        <f t="shared" si="80"/>
        <v>0.45539999999999997</v>
      </c>
      <c r="AB44" s="741">
        <f t="shared" si="80"/>
        <v>0.33</v>
      </c>
      <c r="AC44" s="741">
        <f t="shared" si="80"/>
        <v>0</v>
      </c>
      <c r="AD44" s="388">
        <f>IFERROR(SUMPRODUCT(W42:AC42,W44:AC44)/ SUM(W42:AC42), 0)</f>
        <v>0</v>
      </c>
      <c r="AE44" s="583">
        <f>L44*$G$3+U44*$P$3+AD44*$Y$3</f>
        <v>0</v>
      </c>
      <c r="AF44" s="145"/>
    </row>
    <row r="45" spans="1:32">
      <c r="A45" s="271"/>
      <c r="B45" s="517"/>
      <c r="C45" s="535"/>
      <c r="D45" s="513" t="s">
        <v>906</v>
      </c>
      <c r="E45" s="379">
        <f>VLOOKUP(E6,'Feed parameters'!$A$2:$M$113,4, FALSE)</f>
        <v>10.89</v>
      </c>
      <c r="F45" s="271">
        <f>VLOOKUP(F6,'Feed parameters'!$A$2:$M$113,4, FALSE)</f>
        <v>1.4821271999999999</v>
      </c>
      <c r="G45" s="271">
        <f>VLOOKUP(G6,FEED_P[[#All],[Feed]:[DE (fraction)]],4, FALSE)</f>
        <v>2.0168999999999997</v>
      </c>
      <c r="H45" s="271">
        <f>VLOOKUP(H6,'Feed parameters'!$A$2:$M$113,4, FALSE)</f>
        <v>1.8039999999999998</v>
      </c>
      <c r="I45" s="271">
        <f>VLOOKUP(I6,'Feed parameters'!$A$2:$M$113,4, FALSE)</f>
        <v>6.003000000000001</v>
      </c>
      <c r="J45" s="271">
        <f>VLOOKUP(J6,'Feed parameters'!$A$2:$M$113,4, FALSE)</f>
        <v>3</v>
      </c>
      <c r="K45" s="271">
        <f>VLOOKUP(K6,'Feed parameters'!$A$2:$M$113,4, FALSE)</f>
        <v>0</v>
      </c>
      <c r="L45" s="387">
        <f>IFERROR(SUMPRODUCT(E42:K42,E45:K45)/ SUM(E42:K42), 0)</f>
        <v>0</v>
      </c>
      <c r="M45" s="389" t="s">
        <v>906</v>
      </c>
      <c r="N45" s="741">
        <f t="shared" ref="N45" si="81">N38</f>
        <v>10.89</v>
      </c>
      <c r="O45" s="741">
        <f t="shared" ref="O45:T45" si="82">O38</f>
        <v>1.4821271999999999</v>
      </c>
      <c r="P45" s="741">
        <f t="shared" si="82"/>
        <v>2.0168999999999997</v>
      </c>
      <c r="Q45" s="741">
        <f t="shared" si="82"/>
        <v>1.8039999999999998</v>
      </c>
      <c r="R45" s="741">
        <f t="shared" si="82"/>
        <v>6.003000000000001</v>
      </c>
      <c r="S45" s="741">
        <f t="shared" si="82"/>
        <v>3</v>
      </c>
      <c r="T45" s="741">
        <f t="shared" si="82"/>
        <v>0</v>
      </c>
      <c r="U45" s="380">
        <f>IFERROR(SUMPRODUCT(N42:T42,N45:T45)/ SUM(N42:T42), 0)</f>
        <v>0</v>
      </c>
      <c r="V45" s="389" t="s">
        <v>906</v>
      </c>
      <c r="W45" s="741">
        <f t="shared" si="80"/>
        <v>10.89</v>
      </c>
      <c r="X45" s="741">
        <f t="shared" si="80"/>
        <v>1.4821271999999999</v>
      </c>
      <c r="Y45" s="741">
        <f t="shared" si="80"/>
        <v>2.0168999999999997</v>
      </c>
      <c r="Z45" s="741">
        <f t="shared" si="80"/>
        <v>1.8039999999999998</v>
      </c>
      <c r="AA45" s="741">
        <f t="shared" si="80"/>
        <v>6.003000000000001</v>
      </c>
      <c r="AB45" s="741">
        <f t="shared" si="80"/>
        <v>3</v>
      </c>
      <c r="AC45" s="741">
        <f t="shared" si="80"/>
        <v>0</v>
      </c>
      <c r="AD45" s="380">
        <f>IFERROR(SUMPRODUCT(W42:AC42,W45:AC45)/ SUM(W42:AC42), 0)</f>
        <v>0</v>
      </c>
      <c r="AE45" s="583"/>
      <c r="AF45" s="145"/>
    </row>
    <row r="46" spans="1:32" s="145" customFormat="1">
      <c r="B46" s="512"/>
      <c r="C46" s="531"/>
      <c r="D46" s="513" t="s">
        <v>1154</v>
      </c>
      <c r="E46" s="379">
        <f>VLOOKUP(E6,'Feed parameters'!$A$2:$M$113,2, FALSE)</f>
        <v>90</v>
      </c>
      <c r="F46" s="271">
        <f>VLOOKUP(F6,'Feed parameters'!$A$2:$M$113,2, FALSE)</f>
        <v>15</v>
      </c>
      <c r="G46" s="271">
        <f>VLOOKUP(G6,FEED_P[[#All],[Feed]:[DE (fraction)]],2, FALSE)</f>
        <v>24.9</v>
      </c>
      <c r="H46" s="271">
        <f>VLOOKUP(H6,'Feed parameters'!$A$2:$M$113,2, FALSE)</f>
        <v>22</v>
      </c>
      <c r="I46" s="271">
        <f>VLOOKUP(I6,'Feed parameters'!$A$2:$M$113,2, FALSE)</f>
        <v>87</v>
      </c>
      <c r="J46" s="271">
        <f>VLOOKUP(J6,'Feed parameters'!$A$2:$M$113,2, FALSE)</f>
        <v>60</v>
      </c>
      <c r="K46" s="271">
        <f>VLOOKUP(K6,'Feed parameters'!$A$2:$M$113,2, FALSE)</f>
        <v>0</v>
      </c>
      <c r="L46" s="380">
        <f>IFERROR(SUMPRODUCT(E42:K42,E46:K46)/ SUM(E42:K42), 0)</f>
        <v>0</v>
      </c>
      <c r="M46" s="557" t="s">
        <v>1154</v>
      </c>
      <c r="N46" s="741">
        <f t="shared" ref="N46" si="83">N39</f>
        <v>90</v>
      </c>
      <c r="O46" s="741">
        <f t="shared" ref="O46:T46" si="84">O39</f>
        <v>15</v>
      </c>
      <c r="P46" s="741">
        <f t="shared" si="84"/>
        <v>24.9</v>
      </c>
      <c r="Q46" s="741">
        <f t="shared" si="84"/>
        <v>22</v>
      </c>
      <c r="R46" s="741">
        <f t="shared" si="84"/>
        <v>87</v>
      </c>
      <c r="S46" s="741">
        <f t="shared" si="84"/>
        <v>60</v>
      </c>
      <c r="T46" s="741">
        <f t="shared" si="84"/>
        <v>0</v>
      </c>
      <c r="U46" s="387">
        <f>IFERROR(SUMPRODUCT(N42:T42,N46:T46)/ SUM(N42:T42), 0)</f>
        <v>0</v>
      </c>
      <c r="V46" s="557" t="s">
        <v>1154</v>
      </c>
      <c r="W46" s="741">
        <f t="shared" si="80"/>
        <v>90</v>
      </c>
      <c r="X46" s="741">
        <f t="shared" si="80"/>
        <v>15</v>
      </c>
      <c r="Y46" s="741">
        <f t="shared" si="80"/>
        <v>24.9</v>
      </c>
      <c r="Z46" s="741">
        <f t="shared" si="80"/>
        <v>22</v>
      </c>
      <c r="AA46" s="741">
        <f t="shared" si="80"/>
        <v>87</v>
      </c>
      <c r="AB46" s="741">
        <f t="shared" si="80"/>
        <v>60</v>
      </c>
      <c r="AC46" s="741">
        <f t="shared" si="80"/>
        <v>0</v>
      </c>
      <c r="AD46" s="387">
        <f>IFERROR(SUMPRODUCT(W42:AC42,W46:AC46)/ SUM(W42:AC42), 0)</f>
        <v>0</v>
      </c>
      <c r="AE46" s="583">
        <f>L46*$G$3+U46*$P$3+AD46*$Y$3</f>
        <v>0</v>
      </c>
    </row>
    <row r="47" spans="1:32" s="145" customFormat="1">
      <c r="B47" s="512"/>
      <c r="C47" s="531"/>
      <c r="D47" s="513" t="s">
        <v>1172</v>
      </c>
      <c r="E47" s="379">
        <f t="shared" ref="E47:K47" si="85">IFERROR((E42*E46)/SUMPRODUCT($E42:$K42,$E46:$K46), 0)</f>
        <v>0</v>
      </c>
      <c r="F47" s="271">
        <f t="shared" si="85"/>
        <v>0</v>
      </c>
      <c r="G47" s="271">
        <f t="shared" si="85"/>
        <v>0</v>
      </c>
      <c r="H47" s="271">
        <f t="shared" si="85"/>
        <v>0</v>
      </c>
      <c r="I47" s="271">
        <f t="shared" si="85"/>
        <v>0</v>
      </c>
      <c r="J47" s="271">
        <f t="shared" si="85"/>
        <v>0</v>
      </c>
      <c r="K47" s="271">
        <f t="shared" si="85"/>
        <v>0</v>
      </c>
      <c r="L47" s="380"/>
      <c r="M47" s="557" t="s">
        <v>1172</v>
      </c>
      <c r="N47" s="271">
        <f t="shared" ref="N47:T47" si="86">IFERROR((N42*N46)/SUMPRODUCT($N42:$T42,$N46:$T46), 0)</f>
        <v>0</v>
      </c>
      <c r="O47" s="271">
        <f t="shared" si="86"/>
        <v>0</v>
      </c>
      <c r="P47" s="271">
        <f t="shared" si="86"/>
        <v>0</v>
      </c>
      <c r="Q47" s="271">
        <f t="shared" si="86"/>
        <v>0</v>
      </c>
      <c r="R47" s="271">
        <f t="shared" si="86"/>
        <v>0</v>
      </c>
      <c r="S47" s="271">
        <f t="shared" si="86"/>
        <v>0</v>
      </c>
      <c r="T47" s="271">
        <f t="shared" si="86"/>
        <v>0</v>
      </c>
      <c r="U47" s="387"/>
      <c r="V47" s="557" t="s">
        <v>1172</v>
      </c>
      <c r="W47" s="271">
        <f>IFERROR((W42*W46)/SUMPRODUCT($W42:$AC42,$W46:$AC46), 0)</f>
        <v>0</v>
      </c>
      <c r="X47" s="271">
        <f t="shared" ref="X47" si="87">IFERROR((X42*X46)/SUMPRODUCT($W42:$AC42,$W46:$AC46), 0)</f>
        <v>0</v>
      </c>
      <c r="Y47" s="271">
        <f t="shared" ref="Y47" si="88">IFERROR((Y42*Y46)/SUMPRODUCT($W42:$AC42,$W46:$AC46), 0)</f>
        <v>0</v>
      </c>
      <c r="Z47" s="271">
        <f t="shared" ref="Z47" si="89">IFERROR((Z42*Z46)/SUMPRODUCT($W42:$AC42,$W46:$AC46), 0)</f>
        <v>0</v>
      </c>
      <c r="AA47" s="271">
        <f t="shared" ref="AA47" si="90">IFERROR((AA42*AA46)/SUMPRODUCT($W42:$AC42,$W46:$AC46), 0)</f>
        <v>0</v>
      </c>
      <c r="AB47" s="271">
        <f t="shared" ref="AB47" si="91">IFERROR((AB42*AB46)/SUMPRODUCT($W42:$AC42,$W46:$AC46), 0)</f>
        <v>0</v>
      </c>
      <c r="AC47" s="271">
        <f t="shared" ref="AC47" si="92">IFERROR((AC42*AC46)/SUMPRODUCT($W42:$AC42,$W46:$AC46), 0)</f>
        <v>0</v>
      </c>
      <c r="AD47" s="387"/>
      <c r="AE47" s="583"/>
    </row>
    <row r="48" spans="1:32" s="145" customFormat="1">
      <c r="A48" s="271"/>
      <c r="B48" s="517"/>
      <c r="C48" s="535"/>
      <c r="D48" s="513"/>
      <c r="E48" s="379"/>
      <c r="F48" s="271"/>
      <c r="G48" s="271"/>
      <c r="H48" s="271"/>
      <c r="I48" s="271"/>
      <c r="J48" s="271"/>
      <c r="K48" s="271"/>
      <c r="L48" s="383"/>
      <c r="M48" s="389"/>
      <c r="N48" s="271"/>
      <c r="O48" s="271"/>
      <c r="P48" s="271"/>
      <c r="Q48" s="271"/>
      <c r="R48" s="271"/>
      <c r="S48" s="271"/>
      <c r="T48" s="271"/>
      <c r="U48" s="383"/>
      <c r="V48" s="389"/>
      <c r="W48" s="271"/>
      <c r="X48" s="271"/>
      <c r="Y48" s="271"/>
      <c r="Z48" s="271"/>
      <c r="AA48" s="271"/>
      <c r="AB48" s="271"/>
      <c r="AC48" s="271"/>
      <c r="AD48" s="383"/>
      <c r="AE48" s="583"/>
    </row>
    <row r="49" spans="2:32" s="301" customFormat="1">
      <c r="B49" s="518" t="str">
        <f>INPUTS!C27</f>
        <v>Pigs - lactating/pregnant sows</v>
      </c>
      <c r="C49" s="536"/>
      <c r="D49" s="511" t="s">
        <v>1171</v>
      </c>
      <c r="E49" s="377">
        <f>INPUTS!I60</f>
        <v>0</v>
      </c>
      <c r="F49" s="302">
        <f>INPUTS!I61</f>
        <v>0</v>
      </c>
      <c r="G49" s="302">
        <f>INPUTS!I62</f>
        <v>0</v>
      </c>
      <c r="H49" s="302">
        <f>INPUTS!I63</f>
        <v>0</v>
      </c>
      <c r="I49" s="302">
        <f>INPUTS!I64</f>
        <v>0</v>
      </c>
      <c r="J49" s="302">
        <f>INPUTS!I65</f>
        <v>0</v>
      </c>
      <c r="K49" s="302">
        <f>INPUTS!I66</f>
        <v>0</v>
      </c>
      <c r="L49" s="378"/>
      <c r="M49" s="573" t="s">
        <v>1171</v>
      </c>
      <c r="N49" s="302">
        <f>INPUTS!X60</f>
        <v>0</v>
      </c>
      <c r="O49" s="302">
        <f>INPUTS!X61</f>
        <v>0</v>
      </c>
      <c r="P49" s="302">
        <f>INPUTS!X62</f>
        <v>0</v>
      </c>
      <c r="Q49" s="302">
        <f>INPUTS!X63</f>
        <v>0</v>
      </c>
      <c r="R49" s="302">
        <f>INPUTS!X64</f>
        <v>0</v>
      </c>
      <c r="S49" s="302">
        <f>INPUTS!X65</f>
        <v>0</v>
      </c>
      <c r="T49" s="302">
        <f>INPUTS!X66</f>
        <v>0</v>
      </c>
      <c r="U49" s="386"/>
      <c r="V49" s="573" t="s">
        <v>1171</v>
      </c>
      <c r="W49" s="302">
        <f>INPUTS!AM60</f>
        <v>0</v>
      </c>
      <c r="X49" s="302">
        <f>INPUTS!AM61</f>
        <v>0</v>
      </c>
      <c r="Y49" s="302">
        <f>INPUTS!AM62</f>
        <v>0</v>
      </c>
      <c r="Z49" s="302">
        <f>INPUTS!AM63</f>
        <v>0</v>
      </c>
      <c r="AA49" s="302">
        <f>INPUTS!AM64</f>
        <v>0</v>
      </c>
      <c r="AB49" s="302">
        <f>INPUTS!AM65</f>
        <v>0</v>
      </c>
      <c r="AC49" s="302">
        <f>INPUTS!AM66</f>
        <v>0</v>
      </c>
      <c r="AD49" s="386"/>
      <c r="AE49" s="582"/>
    </row>
    <row r="50" spans="2:32" s="145" customFormat="1">
      <c r="B50" s="517"/>
      <c r="C50" s="535"/>
      <c r="D50" s="513" t="s">
        <v>815</v>
      </c>
      <c r="E50" s="379">
        <f>VLOOKUP(E6,'Feed parameters'!$A$2:$M$113,6, FALSE)</f>
        <v>14.4</v>
      </c>
      <c r="F50" s="271">
        <f>VLOOKUP(F6,'Feed parameters'!$A$2:$M$113,6, FALSE)</f>
        <v>1.65</v>
      </c>
      <c r="G50" s="271">
        <f>VLOOKUP(G6,FEED_P[[#All],[Feed]:[DE (fraction)]],6, FALSE)</f>
        <v>2.5148999999999999</v>
      </c>
      <c r="H50" s="271">
        <f>VLOOKUP(H6,'Feed parameters'!$A$2:$M$113,6, FALSE)</f>
        <v>1.21</v>
      </c>
      <c r="I50" s="271">
        <f>VLOOKUP(I6,'Feed parameters'!$A$2:$M$113,6, FALSE)</f>
        <v>3.3930000000000002</v>
      </c>
      <c r="J50" s="271">
        <f>VLOOKUP(J6,'Feed parameters'!$A$2:$M$113,6, FALSE)</f>
        <v>3.6</v>
      </c>
      <c r="K50" s="271">
        <f>VLOOKUP(K6,'Feed parameters'!$A$2:$M$113,6, FALSE)</f>
        <v>0</v>
      </c>
      <c r="L50" s="380">
        <f>IFERROR(SUMPRODUCT(E49:K49,E50:K50)/ SUM(E49:K49), 0)</f>
        <v>0</v>
      </c>
      <c r="M50" s="389" t="s">
        <v>815</v>
      </c>
      <c r="N50" s="741">
        <f>N43</f>
        <v>14.4</v>
      </c>
      <c r="O50" s="741">
        <f t="shared" ref="O50:T50" si="93">O43</f>
        <v>1.65</v>
      </c>
      <c r="P50" s="741">
        <f t="shared" si="93"/>
        <v>2.5148999999999999</v>
      </c>
      <c r="Q50" s="741">
        <f t="shared" si="93"/>
        <v>1.21</v>
      </c>
      <c r="R50" s="741">
        <f t="shared" si="93"/>
        <v>3.3930000000000002</v>
      </c>
      <c r="S50" s="741">
        <f t="shared" si="93"/>
        <v>3.6</v>
      </c>
      <c r="T50" s="741">
        <f t="shared" si="93"/>
        <v>0</v>
      </c>
      <c r="U50" s="387">
        <f>IFERROR(SUMPRODUCT(N49:T49,N50:T50)/ SUM(N49:T49), 0)</f>
        <v>0</v>
      </c>
      <c r="V50" s="389" t="s">
        <v>815</v>
      </c>
      <c r="W50" s="741">
        <f>W43</f>
        <v>14.4</v>
      </c>
      <c r="X50" s="741">
        <f t="shared" ref="X50:AC50" si="94">X43</f>
        <v>1.65</v>
      </c>
      <c r="Y50" s="741">
        <f t="shared" si="94"/>
        <v>2.5148999999999999</v>
      </c>
      <c r="Z50" s="741">
        <f t="shared" si="94"/>
        <v>1.21</v>
      </c>
      <c r="AA50" s="741">
        <f t="shared" si="94"/>
        <v>3.3930000000000002</v>
      </c>
      <c r="AB50" s="741">
        <f t="shared" si="94"/>
        <v>3.6</v>
      </c>
      <c r="AC50" s="741">
        <f t="shared" si="94"/>
        <v>0</v>
      </c>
      <c r="AD50" s="387">
        <f>IFERROR(SUMPRODUCT(W49:AC49,W50:AC50)/ SUM(W49:AC49), 0)</f>
        <v>0</v>
      </c>
      <c r="AE50" s="583">
        <f>L50*$G$3+U50*$P$3</f>
        <v>0</v>
      </c>
      <c r="AF50" s="493" t="e">
        <f>L50*$G$3/(L53*0.01)+U50*$P$3/(U53*0.01)</f>
        <v>#DIV/0!</v>
      </c>
    </row>
    <row r="51" spans="2:32" s="145" customFormat="1">
      <c r="B51" s="517"/>
      <c r="C51" s="535"/>
      <c r="D51" s="513" t="s">
        <v>816</v>
      </c>
      <c r="E51" s="379">
        <f>VLOOKUP(E6,'Feed parameters'!$A$2:$M$113,7, FALSE)</f>
        <v>0.79859999999999998</v>
      </c>
      <c r="F51" s="271">
        <f>VLOOKUP(F6,'Feed parameters'!$A$2:$M$113,7, FALSE)</f>
        <v>0.65213596800000007</v>
      </c>
      <c r="G51" s="271">
        <f>VLOOKUP(G6,FEED_P[[#All],[Feed]:[DE (fraction)]],7, FALSE)</f>
        <v>0.53459999999999996</v>
      </c>
      <c r="H51" s="271">
        <f>VLOOKUP(H6,'Feed parameters'!$A$2:$M$113,7, FALSE)</f>
        <v>0.5411999999999999</v>
      </c>
      <c r="I51" s="271">
        <f>VLOOKUP(I6,'Feed parameters'!$A$2:$M$113,7, FALSE)</f>
        <v>0.45539999999999997</v>
      </c>
      <c r="J51" s="271">
        <f>VLOOKUP(J6,'Feed parameters'!$A$2:$M$113,7, FALSE)</f>
        <v>0.33</v>
      </c>
      <c r="K51" s="271">
        <f>VLOOKUP(K6,'Feed parameters'!$A$2:$M$113,7, FALSE)</f>
        <v>0</v>
      </c>
      <c r="L51" s="380">
        <f>IFERROR(SUMPRODUCT(E49:K49,E51:K51)/ SUM(E49:K49), 0)</f>
        <v>0</v>
      </c>
      <c r="M51" s="389" t="s">
        <v>816</v>
      </c>
      <c r="N51" s="741">
        <f t="shared" ref="N51" si="95">N44</f>
        <v>0.79859999999999998</v>
      </c>
      <c r="O51" s="741">
        <f t="shared" ref="O51:T51" si="96">O44</f>
        <v>0.65213596800000007</v>
      </c>
      <c r="P51" s="741">
        <f t="shared" si="96"/>
        <v>0.53459999999999996</v>
      </c>
      <c r="Q51" s="741">
        <f t="shared" si="96"/>
        <v>0.5411999999999999</v>
      </c>
      <c r="R51" s="741">
        <f t="shared" si="96"/>
        <v>0.45539999999999997</v>
      </c>
      <c r="S51" s="741">
        <f t="shared" si="96"/>
        <v>0.33</v>
      </c>
      <c r="T51" s="741">
        <f t="shared" si="96"/>
        <v>0</v>
      </c>
      <c r="U51" s="387">
        <f>IFERROR(SUMPRODUCT(N49:T49,N51:T51)/ SUM(N49:T49), 0)</f>
        <v>0</v>
      </c>
      <c r="V51" s="389" t="s">
        <v>816</v>
      </c>
      <c r="W51" s="741">
        <f t="shared" ref="W51:AC53" si="97">W44</f>
        <v>0.79859999999999998</v>
      </c>
      <c r="X51" s="741">
        <f t="shared" si="97"/>
        <v>0.65213596800000007</v>
      </c>
      <c r="Y51" s="741">
        <f t="shared" si="97"/>
        <v>0.53459999999999996</v>
      </c>
      <c r="Z51" s="741">
        <f t="shared" si="97"/>
        <v>0.5411999999999999</v>
      </c>
      <c r="AA51" s="741">
        <f t="shared" si="97"/>
        <v>0.45539999999999997</v>
      </c>
      <c r="AB51" s="741">
        <f t="shared" si="97"/>
        <v>0.33</v>
      </c>
      <c r="AC51" s="741">
        <f t="shared" si="97"/>
        <v>0</v>
      </c>
      <c r="AD51" s="387">
        <f>IFERROR(SUMPRODUCT(W49:AC49,W51:AC51)/ SUM(W49:AC49), 0)</f>
        <v>0</v>
      </c>
      <c r="AE51" s="583">
        <f>L51*$G$3+U51*$P$3</f>
        <v>0</v>
      </c>
    </row>
    <row r="52" spans="2:32" s="145" customFormat="1">
      <c r="B52" s="517"/>
      <c r="C52" s="535"/>
      <c r="D52" s="513" t="s">
        <v>906</v>
      </c>
      <c r="E52" s="379">
        <f>VLOOKUP(E6,'Feed parameters'!$A$2:$M$113,4, FALSE)</f>
        <v>10.89</v>
      </c>
      <c r="F52" s="271">
        <f>VLOOKUP(F6,'Feed parameters'!$A$2:$M$113,4, FALSE)</f>
        <v>1.4821271999999999</v>
      </c>
      <c r="G52" s="271">
        <f>VLOOKUP(G6,FEED_P[[#All],[Feed]:[DE (fraction)]],4, FALSE)</f>
        <v>2.0168999999999997</v>
      </c>
      <c r="H52" s="271">
        <f>VLOOKUP(H6,'Feed parameters'!$A$2:$M$113,4, FALSE)</f>
        <v>1.8039999999999998</v>
      </c>
      <c r="I52" s="271">
        <f>VLOOKUP(I6,'Feed parameters'!$A$2:$M$113,4, FALSE)</f>
        <v>6.003000000000001</v>
      </c>
      <c r="J52" s="271">
        <f>VLOOKUP(J6,'Feed parameters'!$A$2:$M$113,4, FALSE)</f>
        <v>3</v>
      </c>
      <c r="K52" s="271">
        <f>VLOOKUP(K6,'Feed parameters'!$A$2:$M$113,4, FALSE)</f>
        <v>0</v>
      </c>
      <c r="L52" s="380">
        <f>IFERROR(SUMPRODUCT(E49:K49,E52:K52)/ SUM(E49:K49), 0)</f>
        <v>0</v>
      </c>
      <c r="M52" s="389" t="s">
        <v>906</v>
      </c>
      <c r="N52" s="741">
        <f t="shared" ref="N52" si="98">N45</f>
        <v>10.89</v>
      </c>
      <c r="O52" s="741">
        <f t="shared" ref="O52:T52" si="99">O45</f>
        <v>1.4821271999999999</v>
      </c>
      <c r="P52" s="741">
        <f t="shared" si="99"/>
        <v>2.0168999999999997</v>
      </c>
      <c r="Q52" s="741">
        <f t="shared" si="99"/>
        <v>1.8039999999999998</v>
      </c>
      <c r="R52" s="741">
        <f t="shared" si="99"/>
        <v>6.003000000000001</v>
      </c>
      <c r="S52" s="741">
        <f t="shared" si="99"/>
        <v>3</v>
      </c>
      <c r="T52" s="741">
        <f t="shared" si="99"/>
        <v>0</v>
      </c>
      <c r="U52" s="387">
        <f>IFERROR(SUMPRODUCT(N49:T49,N52:T52)/ SUM(N49:T49), 0)</f>
        <v>0</v>
      </c>
      <c r="V52" s="389" t="s">
        <v>906</v>
      </c>
      <c r="W52" s="741">
        <f t="shared" si="97"/>
        <v>10.89</v>
      </c>
      <c r="X52" s="741">
        <f t="shared" si="97"/>
        <v>1.4821271999999999</v>
      </c>
      <c r="Y52" s="741">
        <f t="shared" si="97"/>
        <v>2.0168999999999997</v>
      </c>
      <c r="Z52" s="741">
        <f t="shared" si="97"/>
        <v>1.8039999999999998</v>
      </c>
      <c r="AA52" s="741">
        <f t="shared" si="97"/>
        <v>6.003000000000001</v>
      </c>
      <c r="AB52" s="741">
        <f t="shared" si="97"/>
        <v>3</v>
      </c>
      <c r="AC52" s="741">
        <f t="shared" si="97"/>
        <v>0</v>
      </c>
      <c r="AD52" s="387">
        <f>IFERROR(SUMPRODUCT(W49:AC49,W52:AC52)/ SUM(W49:AC49), 0)</f>
        <v>0</v>
      </c>
      <c r="AE52" s="583"/>
    </row>
    <row r="53" spans="2:32" s="145" customFormat="1">
      <c r="B53" s="512"/>
      <c r="C53" s="531"/>
      <c r="D53" s="513" t="s">
        <v>1154</v>
      </c>
      <c r="E53" s="379">
        <f>VLOOKUP(E6,'Feed parameters'!$A$2:$M$113,2, FALSE)</f>
        <v>90</v>
      </c>
      <c r="F53" s="271">
        <f>VLOOKUP(F6,'Feed parameters'!$A$2:$M$113,2, FALSE)</f>
        <v>15</v>
      </c>
      <c r="G53" s="271">
        <f>VLOOKUP(G6,FEED_P[[#All],[Feed]:[DE (fraction)]],2, FALSE)</f>
        <v>24.9</v>
      </c>
      <c r="H53" s="271">
        <f>VLOOKUP(H6,'Feed parameters'!$A$2:$M$113,2, FALSE)</f>
        <v>22</v>
      </c>
      <c r="I53" s="271">
        <f>VLOOKUP(I6,'Feed parameters'!$A$2:$M$113,2, FALSE)</f>
        <v>87</v>
      </c>
      <c r="J53" s="271">
        <f>VLOOKUP(J6,'Feed parameters'!$A$2:$M$113,2, FALSE)</f>
        <v>60</v>
      </c>
      <c r="K53" s="271">
        <f>VLOOKUP(K6,'Feed parameters'!$A$2:$M$113,2, FALSE)</f>
        <v>0</v>
      </c>
      <c r="L53" s="380">
        <f>IFERROR(SUMPRODUCT(E49:K49,E53:K53)/ SUM(E49:K49), 0)</f>
        <v>0</v>
      </c>
      <c r="M53" s="557" t="s">
        <v>1154</v>
      </c>
      <c r="N53" s="741">
        <f t="shared" ref="N53" si="100">N46</f>
        <v>90</v>
      </c>
      <c r="O53" s="741">
        <f t="shared" ref="O53:T53" si="101">O46</f>
        <v>15</v>
      </c>
      <c r="P53" s="741">
        <f t="shared" si="101"/>
        <v>24.9</v>
      </c>
      <c r="Q53" s="741">
        <f t="shared" si="101"/>
        <v>22</v>
      </c>
      <c r="R53" s="741">
        <f t="shared" si="101"/>
        <v>87</v>
      </c>
      <c r="S53" s="741">
        <f t="shared" si="101"/>
        <v>60</v>
      </c>
      <c r="T53" s="741">
        <f t="shared" si="101"/>
        <v>0</v>
      </c>
      <c r="U53" s="387">
        <f>IFERROR(SUMPRODUCT(N49:T49,N53:T53)/ SUM(N49:T49), 0)</f>
        <v>0</v>
      </c>
      <c r="V53" s="557" t="s">
        <v>1154</v>
      </c>
      <c r="W53" s="741">
        <f t="shared" si="97"/>
        <v>90</v>
      </c>
      <c r="X53" s="741">
        <f t="shared" si="97"/>
        <v>15</v>
      </c>
      <c r="Y53" s="741">
        <f t="shared" si="97"/>
        <v>24.9</v>
      </c>
      <c r="Z53" s="741">
        <f t="shared" si="97"/>
        <v>22</v>
      </c>
      <c r="AA53" s="741">
        <f t="shared" si="97"/>
        <v>87</v>
      </c>
      <c r="AB53" s="741">
        <f t="shared" si="97"/>
        <v>60</v>
      </c>
      <c r="AC53" s="741">
        <f t="shared" si="97"/>
        <v>0</v>
      </c>
      <c r="AD53" s="387">
        <f>IFERROR(SUMPRODUCT(W49:AC49,W53:AC53)/ SUM(W49:AC49), 0)</f>
        <v>0</v>
      </c>
      <c r="AE53" s="583">
        <f>L53*$G$3+U53*$P$3</f>
        <v>0</v>
      </c>
    </row>
    <row r="54" spans="2:32" s="145" customFormat="1">
      <c r="B54" s="512"/>
      <c r="C54" s="531"/>
      <c r="D54" s="513" t="s">
        <v>1172</v>
      </c>
      <c r="E54" s="379">
        <f t="shared" ref="E54:K54" si="102">IFERROR((E49*E53)/SUMPRODUCT($E49:$K49,$E53:$K53), 0)</f>
        <v>0</v>
      </c>
      <c r="F54" s="271">
        <f t="shared" si="102"/>
        <v>0</v>
      </c>
      <c r="G54" s="271">
        <f t="shared" si="102"/>
        <v>0</v>
      </c>
      <c r="H54" s="271">
        <f t="shared" si="102"/>
        <v>0</v>
      </c>
      <c r="I54" s="271">
        <f t="shared" si="102"/>
        <v>0</v>
      </c>
      <c r="J54" s="271">
        <f t="shared" si="102"/>
        <v>0</v>
      </c>
      <c r="K54" s="271">
        <f t="shared" si="102"/>
        <v>0</v>
      </c>
      <c r="L54" s="380"/>
      <c r="M54" s="557" t="s">
        <v>1172</v>
      </c>
      <c r="N54" s="271">
        <f t="shared" ref="N54:T54" si="103">IFERROR((N49*N53)/SUMPRODUCT($N49:$T49,$N53:$T53), 0)</f>
        <v>0</v>
      </c>
      <c r="O54" s="271">
        <f t="shared" si="103"/>
        <v>0</v>
      </c>
      <c r="P54" s="271">
        <f t="shared" si="103"/>
        <v>0</v>
      </c>
      <c r="Q54" s="271">
        <f t="shared" si="103"/>
        <v>0</v>
      </c>
      <c r="R54" s="271">
        <f t="shared" si="103"/>
        <v>0</v>
      </c>
      <c r="S54" s="271">
        <f t="shared" si="103"/>
        <v>0</v>
      </c>
      <c r="T54" s="271">
        <f t="shared" si="103"/>
        <v>0</v>
      </c>
      <c r="U54" s="387"/>
      <c r="V54" s="557" t="s">
        <v>1172</v>
      </c>
      <c r="W54" s="271">
        <f>IFERROR((W49*W53)/SUMPRODUCT($W49:$AC49,$W53:$AC53), 0)</f>
        <v>0</v>
      </c>
      <c r="X54" s="271">
        <f t="shared" ref="X54" si="104">IFERROR((X49*X53)/SUMPRODUCT($W49:$AC49,$W53:$AC53), 0)</f>
        <v>0</v>
      </c>
      <c r="Y54" s="271">
        <f t="shared" ref="Y54" si="105">IFERROR((Y49*Y53)/SUMPRODUCT($W49:$AC49,$W53:$AC53), 0)</f>
        <v>0</v>
      </c>
      <c r="Z54" s="271">
        <f t="shared" ref="Z54" si="106">IFERROR((Z49*Z53)/SUMPRODUCT($W49:$AC49,$W53:$AC53), 0)</f>
        <v>0</v>
      </c>
      <c r="AA54" s="271">
        <f t="shared" ref="AA54" si="107">IFERROR((AA49*AA53)/SUMPRODUCT($W49:$AC49,$W53:$AC53), 0)</f>
        <v>0</v>
      </c>
      <c r="AB54" s="271">
        <f t="shared" ref="AB54" si="108">IFERROR((AB49*AB53)/SUMPRODUCT($W49:$AC49,$W53:$AC53), 0)</f>
        <v>0</v>
      </c>
      <c r="AC54" s="271">
        <f t="shared" ref="AC54" si="109">IFERROR((AC49*AC53)/SUMPRODUCT($W49:$AC49,$W53:$AC53), 0)</f>
        <v>0</v>
      </c>
      <c r="AD54" s="387"/>
      <c r="AE54" s="583"/>
    </row>
    <row r="55" spans="2:32" s="145" customFormat="1">
      <c r="B55" s="519"/>
      <c r="C55" s="537"/>
      <c r="D55" s="513"/>
      <c r="E55" s="381"/>
      <c r="F55" s="187"/>
      <c r="G55" s="187"/>
      <c r="H55" s="187"/>
      <c r="I55" s="187"/>
      <c r="J55" s="187"/>
      <c r="K55" s="187"/>
      <c r="L55" s="382"/>
      <c r="M55" s="390"/>
      <c r="N55" s="187"/>
      <c r="O55" s="187"/>
      <c r="P55" s="187"/>
      <c r="Q55" s="187"/>
      <c r="R55" s="187"/>
      <c r="S55" s="187"/>
      <c r="T55" s="187"/>
      <c r="U55" s="388"/>
      <c r="V55" s="390"/>
      <c r="W55" s="187"/>
      <c r="X55" s="187"/>
      <c r="Y55" s="187"/>
      <c r="Z55" s="187"/>
      <c r="AA55" s="187"/>
      <c r="AB55" s="187"/>
      <c r="AC55" s="187"/>
      <c r="AD55" s="388"/>
      <c r="AE55" s="583"/>
    </row>
    <row r="56" spans="2:32" s="302" customFormat="1">
      <c r="B56" s="518" t="str">
        <f>INPUTS!C28</f>
        <v>Calves</v>
      </c>
      <c r="C56" s="536"/>
      <c r="D56" s="511" t="s">
        <v>1171</v>
      </c>
      <c r="E56" s="377">
        <f>INPUTS!J60</f>
        <v>0</v>
      </c>
      <c r="F56" s="302">
        <f>INPUTS!J61</f>
        <v>0</v>
      </c>
      <c r="G56" s="302">
        <f>INPUTS!J62</f>
        <v>0</v>
      </c>
      <c r="H56" s="302">
        <f>INPUTS!J63</f>
        <v>0</v>
      </c>
      <c r="I56" s="302">
        <f>INPUTS!J64</f>
        <v>0</v>
      </c>
      <c r="J56" s="302">
        <f>INPUTS!J65</f>
        <v>0</v>
      </c>
      <c r="K56" s="302">
        <f>INPUTS!J66</f>
        <v>0</v>
      </c>
      <c r="L56" s="378"/>
      <c r="M56" s="573" t="s">
        <v>1171</v>
      </c>
      <c r="N56" s="302">
        <f>INPUTS!Y60</f>
        <v>0</v>
      </c>
      <c r="O56" s="302">
        <f>INPUTS!Y61</f>
        <v>0</v>
      </c>
      <c r="P56" s="302">
        <f>INPUTS!Y62</f>
        <v>0</v>
      </c>
      <c r="Q56" s="302">
        <f>INPUTS!Y63</f>
        <v>0</v>
      </c>
      <c r="R56" s="302">
        <f>INPUTS!Y64</f>
        <v>0</v>
      </c>
      <c r="S56" s="302">
        <f>INPUTS!Y65</f>
        <v>0</v>
      </c>
      <c r="T56" s="302">
        <f>INPUTS!Y66</f>
        <v>0</v>
      </c>
      <c r="U56" s="386"/>
      <c r="V56" s="573" t="s">
        <v>1171</v>
      </c>
      <c r="W56" s="302">
        <f>INPUTS!AN60</f>
        <v>0</v>
      </c>
      <c r="X56" s="302">
        <f>INPUTS!AN61</f>
        <v>0</v>
      </c>
      <c r="Y56" s="302">
        <f>INPUTS!AN62</f>
        <v>0</v>
      </c>
      <c r="Z56" s="302">
        <f>INPUTS!AN63</f>
        <v>0</v>
      </c>
      <c r="AA56" s="302">
        <f>INPUTS!AN64</f>
        <v>0</v>
      </c>
      <c r="AB56" s="302">
        <f>INPUTS!AN65</f>
        <v>0</v>
      </c>
      <c r="AC56" s="302">
        <f>INPUTS!AN66</f>
        <v>0</v>
      </c>
      <c r="AD56" s="386"/>
      <c r="AE56" s="582"/>
    </row>
    <row r="57" spans="2:32" s="145" customFormat="1">
      <c r="B57" s="515"/>
      <c r="C57" s="533"/>
      <c r="D57" s="513" t="s">
        <v>815</v>
      </c>
      <c r="E57" s="381">
        <f>VLOOKUP(E6,'Feed parameters'!$A$2:$M$113,6, FALSE)</f>
        <v>14.4</v>
      </c>
      <c r="F57" s="187">
        <f>VLOOKUP(F6,'Feed parameters'!$A$2:$M$113,6, FALSE)</f>
        <v>1.65</v>
      </c>
      <c r="G57" s="187">
        <f>VLOOKUP(G6,FEED_P[[#All],[Feed]:[DE (fraction)]],6, FALSE)</f>
        <v>2.5148999999999999</v>
      </c>
      <c r="H57" s="187">
        <f>VLOOKUP(H6,'Feed parameters'!$A$2:$M$113,6, FALSE)</f>
        <v>1.21</v>
      </c>
      <c r="I57" s="187">
        <f>VLOOKUP(I6,'Feed parameters'!$A$2:$M$113,6, FALSE)</f>
        <v>3.3930000000000002</v>
      </c>
      <c r="J57" s="187">
        <f>VLOOKUP(J6,'Feed parameters'!$A$2:$M$113,6, FALSE)</f>
        <v>3.6</v>
      </c>
      <c r="K57" s="187">
        <f>VLOOKUP(K6,'Feed parameters'!$A$2:$M$113,6, FALSE)</f>
        <v>0</v>
      </c>
      <c r="L57" s="382">
        <f>IFERROR(SUMPRODUCT(E56:K56,E57:K57)/ SUM(E56:K56),0)</f>
        <v>0</v>
      </c>
      <c r="M57" s="389" t="s">
        <v>815</v>
      </c>
      <c r="N57" s="741">
        <f>N50</f>
        <v>14.4</v>
      </c>
      <c r="O57" s="741">
        <f t="shared" ref="O57:T57" si="110">O50</f>
        <v>1.65</v>
      </c>
      <c r="P57" s="741">
        <f t="shared" si="110"/>
        <v>2.5148999999999999</v>
      </c>
      <c r="Q57" s="741">
        <f t="shared" si="110"/>
        <v>1.21</v>
      </c>
      <c r="R57" s="741">
        <f t="shared" si="110"/>
        <v>3.3930000000000002</v>
      </c>
      <c r="S57" s="741">
        <f t="shared" si="110"/>
        <v>3.6</v>
      </c>
      <c r="T57" s="741">
        <f t="shared" si="110"/>
        <v>0</v>
      </c>
      <c r="U57" s="388">
        <f>IFERROR(SUMPRODUCT(N56:T56,N57:T57)/ SUM(N56:T56),0)</f>
        <v>0</v>
      </c>
      <c r="V57" s="389" t="s">
        <v>815</v>
      </c>
      <c r="W57" s="741">
        <f>W50</f>
        <v>14.4</v>
      </c>
      <c r="X57" s="741">
        <f t="shared" ref="X57:AC57" si="111">X50</f>
        <v>1.65</v>
      </c>
      <c r="Y57" s="741">
        <f t="shared" si="111"/>
        <v>2.5148999999999999</v>
      </c>
      <c r="Z57" s="741">
        <f t="shared" si="111"/>
        <v>1.21</v>
      </c>
      <c r="AA57" s="741">
        <f t="shared" si="111"/>
        <v>3.3930000000000002</v>
      </c>
      <c r="AB57" s="741">
        <f t="shared" si="111"/>
        <v>3.6</v>
      </c>
      <c r="AC57" s="741">
        <f t="shared" si="111"/>
        <v>0</v>
      </c>
      <c r="AD57" s="388">
        <f>IFERROR(SUMPRODUCT(W56:AC56,W57:AC57)/ SUM(W56:AC56),0)</f>
        <v>0</v>
      </c>
      <c r="AE57" s="583">
        <f>L57*$G$3+U57*$P$3</f>
        <v>0</v>
      </c>
      <c r="AF57" s="493" t="e">
        <f>L57*$G$3/(L60*0.01)+U57*$P$3/(U60*0.01)</f>
        <v>#DIV/0!</v>
      </c>
    </row>
    <row r="58" spans="2:32" s="145" customFormat="1">
      <c r="B58" s="519"/>
      <c r="C58" s="537"/>
      <c r="D58" s="513" t="s">
        <v>816</v>
      </c>
      <c r="E58" s="381">
        <f>VLOOKUP(E6,'Feed parameters'!$A$2:$M$113,7, FALSE)</f>
        <v>0.79859999999999998</v>
      </c>
      <c r="F58" s="187">
        <f>VLOOKUP(F6,'Feed parameters'!$A$2:$M$113,7, FALSE)</f>
        <v>0.65213596800000007</v>
      </c>
      <c r="G58" s="187">
        <f>VLOOKUP(G6,FEED_P[[#All],[Feed]:[DE (fraction)]],7, FALSE)</f>
        <v>0.53459999999999996</v>
      </c>
      <c r="H58" s="187">
        <f>VLOOKUP(H6,'Feed parameters'!$A$2:$M$113,7, FALSE)</f>
        <v>0.5411999999999999</v>
      </c>
      <c r="I58" s="187">
        <f>VLOOKUP(I6,'Feed parameters'!$A$2:$M$113,7, FALSE)</f>
        <v>0.45539999999999997</v>
      </c>
      <c r="J58" s="187">
        <f>VLOOKUP(J6,'Feed parameters'!$A$2:$M$113,7, FALSE)</f>
        <v>0.33</v>
      </c>
      <c r="K58" s="187">
        <f>VLOOKUP(K6,'Feed parameters'!$A$2:$M$113,7, FALSE)</f>
        <v>0</v>
      </c>
      <c r="L58" s="382">
        <f>IFERROR(SUMPRODUCT(E56:K56,E58:K58)/ SUM(E56:K56),0)</f>
        <v>0</v>
      </c>
      <c r="M58" s="389" t="s">
        <v>816</v>
      </c>
      <c r="N58" s="741">
        <f t="shared" ref="N58" si="112">N51</f>
        <v>0.79859999999999998</v>
      </c>
      <c r="O58" s="741">
        <f t="shared" ref="O58:T58" si="113">O51</f>
        <v>0.65213596800000007</v>
      </c>
      <c r="P58" s="741">
        <f t="shared" si="113"/>
        <v>0.53459999999999996</v>
      </c>
      <c r="Q58" s="741">
        <f t="shared" si="113"/>
        <v>0.5411999999999999</v>
      </c>
      <c r="R58" s="741">
        <f t="shared" si="113"/>
        <v>0.45539999999999997</v>
      </c>
      <c r="S58" s="741">
        <f t="shared" si="113"/>
        <v>0.33</v>
      </c>
      <c r="T58" s="741">
        <f t="shared" si="113"/>
        <v>0</v>
      </c>
      <c r="U58" s="388">
        <f>IFERROR(SUMPRODUCT(N56:T56,N58:T58)/ SUM(N56:T56),0)</f>
        <v>0</v>
      </c>
      <c r="V58" s="389" t="s">
        <v>816</v>
      </c>
      <c r="W58" s="741">
        <f t="shared" ref="W58:AC60" si="114">W51</f>
        <v>0.79859999999999998</v>
      </c>
      <c r="X58" s="741">
        <f t="shared" si="114"/>
        <v>0.65213596800000007</v>
      </c>
      <c r="Y58" s="741">
        <f t="shared" si="114"/>
        <v>0.53459999999999996</v>
      </c>
      <c r="Z58" s="741">
        <f t="shared" si="114"/>
        <v>0.5411999999999999</v>
      </c>
      <c r="AA58" s="741">
        <f t="shared" si="114"/>
        <v>0.45539999999999997</v>
      </c>
      <c r="AB58" s="741">
        <f t="shared" si="114"/>
        <v>0.33</v>
      </c>
      <c r="AC58" s="741">
        <f t="shared" si="114"/>
        <v>0</v>
      </c>
      <c r="AD58" s="388">
        <f>IFERROR(SUMPRODUCT(W56:AC56,W58:AC58)/ SUM(W56:AC56),0)</f>
        <v>0</v>
      </c>
      <c r="AE58" s="583">
        <f>L58*$G$3+U58*$P$3</f>
        <v>0</v>
      </c>
    </row>
    <row r="59" spans="2:32" s="145" customFormat="1">
      <c r="B59" s="517"/>
      <c r="C59" s="535"/>
      <c r="D59" s="513" t="s">
        <v>906</v>
      </c>
      <c r="E59" s="379">
        <f>VLOOKUP(E6,'Feed parameters'!$A$2:$M$113,4, FALSE)</f>
        <v>10.89</v>
      </c>
      <c r="F59" s="271">
        <f>VLOOKUP(F6,'Feed parameters'!$A$2:$M$113,4, FALSE)</f>
        <v>1.4821271999999999</v>
      </c>
      <c r="G59" s="271">
        <f>VLOOKUP(G6,FEED_P[[#All],[Feed]:[DE (fraction)]],4, FALSE)</f>
        <v>2.0168999999999997</v>
      </c>
      <c r="H59" s="271">
        <f>VLOOKUP(H6,'Feed parameters'!$A$2:$M$113,4, FALSE)</f>
        <v>1.8039999999999998</v>
      </c>
      <c r="I59" s="271">
        <f>VLOOKUP(I6,'Feed parameters'!$A$2:$M$113,4, FALSE)</f>
        <v>6.003000000000001</v>
      </c>
      <c r="J59" s="271">
        <f>VLOOKUP(J6,'Feed parameters'!$A$2:$M$113,4, FALSE)</f>
        <v>3</v>
      </c>
      <c r="K59" s="271">
        <f>VLOOKUP(K6,'Feed parameters'!$A$2:$M$113,4, FALSE)</f>
        <v>0</v>
      </c>
      <c r="L59" s="380">
        <f>IFERROR(SUMPRODUCT(E56:K56,E59:K59)/ SUM(E56:K56),0)</f>
        <v>0</v>
      </c>
      <c r="M59" s="389" t="s">
        <v>906</v>
      </c>
      <c r="N59" s="741">
        <f t="shared" ref="N59" si="115">N52</f>
        <v>10.89</v>
      </c>
      <c r="O59" s="741">
        <f t="shared" ref="O59:T59" si="116">O52</f>
        <v>1.4821271999999999</v>
      </c>
      <c r="P59" s="741">
        <f t="shared" si="116"/>
        <v>2.0168999999999997</v>
      </c>
      <c r="Q59" s="741">
        <f t="shared" si="116"/>
        <v>1.8039999999999998</v>
      </c>
      <c r="R59" s="741">
        <f t="shared" si="116"/>
        <v>6.003000000000001</v>
      </c>
      <c r="S59" s="741">
        <f t="shared" si="116"/>
        <v>3</v>
      </c>
      <c r="T59" s="741">
        <f t="shared" si="116"/>
        <v>0</v>
      </c>
      <c r="U59" s="387">
        <f>IFERROR(SUMPRODUCT(N56:T56,N59:T59)/ SUM(N56:T56),0)</f>
        <v>0</v>
      </c>
      <c r="V59" s="389" t="s">
        <v>906</v>
      </c>
      <c r="W59" s="741">
        <f t="shared" si="114"/>
        <v>10.89</v>
      </c>
      <c r="X59" s="741">
        <f t="shared" si="114"/>
        <v>1.4821271999999999</v>
      </c>
      <c r="Y59" s="741">
        <f t="shared" si="114"/>
        <v>2.0168999999999997</v>
      </c>
      <c r="Z59" s="741">
        <f t="shared" si="114"/>
        <v>1.8039999999999998</v>
      </c>
      <c r="AA59" s="741">
        <f t="shared" si="114"/>
        <v>6.003000000000001</v>
      </c>
      <c r="AB59" s="741">
        <f t="shared" si="114"/>
        <v>3</v>
      </c>
      <c r="AC59" s="741">
        <f t="shared" si="114"/>
        <v>0</v>
      </c>
      <c r="AD59" s="387">
        <f>IFERROR(SUMPRODUCT(W56:AC56,W59:AC59)/ SUM(W56:AC56),0)</f>
        <v>0</v>
      </c>
      <c r="AE59" s="583"/>
    </row>
    <row r="60" spans="2:32" s="145" customFormat="1">
      <c r="B60" s="512"/>
      <c r="C60" s="531"/>
      <c r="D60" s="513" t="s">
        <v>1154</v>
      </c>
      <c r="E60" s="379">
        <f>VLOOKUP(E6,'Feed parameters'!$A$2:$M$113,2, FALSE)</f>
        <v>90</v>
      </c>
      <c r="F60" s="271">
        <f>VLOOKUP(F6,'Feed parameters'!$A$2:$M$113,2, FALSE)</f>
        <v>15</v>
      </c>
      <c r="G60" s="271">
        <f>VLOOKUP(G6,FEED_P[[#All],[Feed]:[DE (fraction)]],2, FALSE)</f>
        <v>24.9</v>
      </c>
      <c r="H60" s="271">
        <f>VLOOKUP(H6,'Feed parameters'!$A$2:$M$113,2, FALSE)</f>
        <v>22</v>
      </c>
      <c r="I60" s="271">
        <f>VLOOKUP(I6,'Feed parameters'!$A$2:$M$113,2, FALSE)</f>
        <v>87</v>
      </c>
      <c r="J60" s="271">
        <f>VLOOKUP(J6,'Feed parameters'!$A$2:$M$113,2, FALSE)</f>
        <v>60</v>
      </c>
      <c r="K60" s="271">
        <f>VLOOKUP(K6,'Feed parameters'!$A$2:$M$113,2, FALSE)</f>
        <v>0</v>
      </c>
      <c r="L60" s="380">
        <f>IFERROR(SUMPRODUCT(E56:K56,E60:K60)/ SUM(E56:K56),0)</f>
        <v>0</v>
      </c>
      <c r="M60" s="557" t="s">
        <v>1154</v>
      </c>
      <c r="N60" s="741">
        <f t="shared" ref="N60" si="117">N53</f>
        <v>90</v>
      </c>
      <c r="O60" s="741">
        <f t="shared" ref="O60:T60" si="118">O53</f>
        <v>15</v>
      </c>
      <c r="P60" s="741">
        <f t="shared" si="118"/>
        <v>24.9</v>
      </c>
      <c r="Q60" s="741">
        <f t="shared" si="118"/>
        <v>22</v>
      </c>
      <c r="R60" s="741">
        <f t="shared" si="118"/>
        <v>87</v>
      </c>
      <c r="S60" s="741">
        <f t="shared" si="118"/>
        <v>60</v>
      </c>
      <c r="T60" s="741">
        <f t="shared" si="118"/>
        <v>0</v>
      </c>
      <c r="U60" s="387">
        <f>IFERROR(SUMPRODUCT(N56:T56,N60:T60)/ SUM(N56:T56),0)</f>
        <v>0</v>
      </c>
      <c r="V60" s="557" t="s">
        <v>1154</v>
      </c>
      <c r="W60" s="741">
        <f t="shared" si="114"/>
        <v>90</v>
      </c>
      <c r="X60" s="741">
        <f t="shared" si="114"/>
        <v>15</v>
      </c>
      <c r="Y60" s="741">
        <f t="shared" si="114"/>
        <v>24.9</v>
      </c>
      <c r="Z60" s="741">
        <f t="shared" si="114"/>
        <v>22</v>
      </c>
      <c r="AA60" s="741">
        <f t="shared" si="114"/>
        <v>87</v>
      </c>
      <c r="AB60" s="741">
        <f t="shared" si="114"/>
        <v>60</v>
      </c>
      <c r="AC60" s="741">
        <f t="shared" si="114"/>
        <v>0</v>
      </c>
      <c r="AD60" s="387">
        <f>IFERROR(SUMPRODUCT(W56:AC56,W60:AC60)/ SUM(W56:AC56),0)</f>
        <v>0</v>
      </c>
      <c r="AE60" s="583">
        <f>L60*$G$3+U60*$P$3</f>
        <v>0</v>
      </c>
    </row>
    <row r="61" spans="2:32" s="145" customFormat="1">
      <c r="B61" s="512"/>
      <c r="C61" s="531"/>
      <c r="D61" s="513" t="s">
        <v>1172</v>
      </c>
      <c r="E61" s="618">
        <f t="shared" ref="E61:K61" si="119">IFERROR((E56*E60)/SUMPRODUCT($E56:$K56,$E60:$K60),0)</f>
        <v>0</v>
      </c>
      <c r="F61" s="271">
        <f t="shared" si="119"/>
        <v>0</v>
      </c>
      <c r="G61" s="271">
        <f t="shared" si="119"/>
        <v>0</v>
      </c>
      <c r="H61" s="271">
        <f t="shared" si="119"/>
        <v>0</v>
      </c>
      <c r="I61" s="271">
        <f t="shared" si="119"/>
        <v>0</v>
      </c>
      <c r="J61" s="271">
        <f t="shared" si="119"/>
        <v>0</v>
      </c>
      <c r="K61" s="271">
        <f t="shared" si="119"/>
        <v>0</v>
      </c>
      <c r="L61" s="380"/>
      <c r="M61" s="557" t="s">
        <v>1172</v>
      </c>
      <c r="N61" s="271">
        <f t="shared" ref="N61:T61" si="120">IFERROR((N56*N60)/SUMPRODUCT($N56:$T56,$N60:$T60),0)</f>
        <v>0</v>
      </c>
      <c r="O61" s="271">
        <f t="shared" si="120"/>
        <v>0</v>
      </c>
      <c r="P61" s="271">
        <f t="shared" si="120"/>
        <v>0</v>
      </c>
      <c r="Q61" s="271">
        <f t="shared" si="120"/>
        <v>0</v>
      </c>
      <c r="R61" s="271">
        <f t="shared" si="120"/>
        <v>0</v>
      </c>
      <c r="S61" s="271">
        <f t="shared" si="120"/>
        <v>0</v>
      </c>
      <c r="T61" s="271">
        <f t="shared" si="120"/>
        <v>0</v>
      </c>
      <c r="U61" s="387"/>
      <c r="V61" s="557" t="s">
        <v>1172</v>
      </c>
      <c r="W61" s="271">
        <f>IFERROR((W56*W60)/SUMPRODUCT($W56:$AC56,$W60:$AC60), 0)</f>
        <v>0</v>
      </c>
      <c r="X61" s="271">
        <f t="shared" ref="X61" si="121">IFERROR((X56*X60)/SUMPRODUCT($W56:$AC56,$W60:$AC60), 0)</f>
        <v>0</v>
      </c>
      <c r="Y61" s="271">
        <f t="shared" ref="Y61" si="122">IFERROR((Y56*Y60)/SUMPRODUCT($W56:$AC56,$W60:$AC60), 0)</f>
        <v>0</v>
      </c>
      <c r="Z61" s="271">
        <f t="shared" ref="Z61" si="123">IFERROR((Z56*Z60)/SUMPRODUCT($W56:$AC56,$W60:$AC60), 0)</f>
        <v>0</v>
      </c>
      <c r="AA61" s="271">
        <f t="shared" ref="AA61" si="124">IFERROR((AA56*AA60)/SUMPRODUCT($W56:$AC56,$W60:$AC60), 0)</f>
        <v>0</v>
      </c>
      <c r="AB61" s="271">
        <f t="shared" ref="AB61" si="125">IFERROR((AB56*AB60)/SUMPRODUCT($W56:$AC56,$W60:$AC60), 0)</f>
        <v>0</v>
      </c>
      <c r="AC61" s="271">
        <f t="shared" ref="AC61" si="126">IFERROR((AC56*AC60)/SUMPRODUCT($W56:$AC56,$W60:$AC60), 0)</f>
        <v>0</v>
      </c>
      <c r="AD61" s="387"/>
      <c r="AE61" s="583"/>
    </row>
    <row r="62" spans="2:32" s="145" customFormat="1" ht="16.5" customHeight="1">
      <c r="B62" s="519"/>
      <c r="C62" s="537"/>
      <c r="D62" s="513"/>
      <c r="E62" s="381"/>
      <c r="F62" s="187"/>
      <c r="G62" s="187"/>
      <c r="H62" s="187"/>
      <c r="I62" s="187"/>
      <c r="J62" s="187"/>
      <c r="K62" s="187"/>
      <c r="L62" s="382"/>
      <c r="M62" s="390"/>
      <c r="N62" s="187"/>
      <c r="O62" s="187"/>
      <c r="P62" s="187"/>
      <c r="Q62" s="187"/>
      <c r="R62" s="187"/>
      <c r="S62" s="187"/>
      <c r="T62" s="187"/>
      <c r="U62" s="388"/>
      <c r="V62" s="390"/>
      <c r="W62" s="187"/>
      <c r="X62" s="187"/>
      <c r="Y62" s="187"/>
      <c r="Z62" s="187"/>
      <c r="AA62" s="187"/>
      <c r="AB62" s="187"/>
      <c r="AC62" s="187"/>
      <c r="AD62" s="388"/>
      <c r="AE62" s="583"/>
    </row>
    <row r="63" spans="2:32" s="302" customFormat="1">
      <c r="B63" s="518">
        <f>INPUTS!C29</f>
        <v>0</v>
      </c>
      <c r="C63" s="536"/>
      <c r="D63" s="511" t="s">
        <v>1171</v>
      </c>
      <c r="E63" s="377">
        <f>INPUTS!K60</f>
        <v>0</v>
      </c>
      <c r="F63" s="302">
        <f>INPUTS!K61</f>
        <v>0</v>
      </c>
      <c r="G63" s="302">
        <f>INPUTS!K62</f>
        <v>0</v>
      </c>
      <c r="H63" s="302">
        <f>INPUTS!K63</f>
        <v>0</v>
      </c>
      <c r="I63" s="302">
        <f>INPUTS!K64</f>
        <v>0</v>
      </c>
      <c r="J63" s="302">
        <f>INPUTS!K65</f>
        <v>0</v>
      </c>
      <c r="K63" s="302">
        <f>INPUTS!K66</f>
        <v>0</v>
      </c>
      <c r="L63" s="378"/>
      <c r="M63" s="573" t="s">
        <v>1171</v>
      </c>
      <c r="N63" s="302">
        <f>INPUTS!Z60</f>
        <v>0</v>
      </c>
      <c r="O63" s="302">
        <f>INPUTS!Z61</f>
        <v>0</v>
      </c>
      <c r="P63" s="302">
        <f>INPUTS!Z62</f>
        <v>0</v>
      </c>
      <c r="Q63" s="302">
        <f>INPUTS!Z63</f>
        <v>0</v>
      </c>
      <c r="R63" s="302">
        <f>INPUTS!Z64</f>
        <v>0</v>
      </c>
      <c r="S63" s="302">
        <f>INPUTS!Z65</f>
        <v>0</v>
      </c>
      <c r="T63" s="302">
        <f>INPUTS!Z66</f>
        <v>0</v>
      </c>
      <c r="U63" s="386"/>
      <c r="V63" s="573" t="s">
        <v>1171</v>
      </c>
      <c r="W63" s="302">
        <f>INPUTS!AO60</f>
        <v>0</v>
      </c>
      <c r="X63" s="302">
        <f>INPUTS!AO61</f>
        <v>0</v>
      </c>
      <c r="Y63" s="302">
        <f>INPUTS!AO62</f>
        <v>0</v>
      </c>
      <c r="Z63" s="302">
        <f>INPUTS!AO63</f>
        <v>0</v>
      </c>
      <c r="AA63" s="302">
        <f>INPUTS!AO64</f>
        <v>0</v>
      </c>
      <c r="AB63" s="302">
        <f>INPUTS!AO65</f>
        <v>0</v>
      </c>
      <c r="AC63" s="302">
        <f>INPUTS!AO66</f>
        <v>0</v>
      </c>
      <c r="AD63" s="386"/>
      <c r="AE63" s="582"/>
    </row>
    <row r="64" spans="2:32" s="145" customFormat="1">
      <c r="B64" s="515"/>
      <c r="C64" s="533"/>
      <c r="D64" s="513" t="s">
        <v>815</v>
      </c>
      <c r="E64" s="381">
        <f>VLOOKUP(E6,'Feed parameters'!$A$2:$M$113,6, FALSE)</f>
        <v>14.4</v>
      </c>
      <c r="F64" s="187">
        <f>VLOOKUP(F6,'Feed parameters'!$A$2:$M$113,6, FALSE)</f>
        <v>1.65</v>
      </c>
      <c r="G64" s="187">
        <f>VLOOKUP(G6,FEED_P[[#All],[Feed]:[DE (fraction)]],6, FALSE)</f>
        <v>2.5148999999999999</v>
      </c>
      <c r="H64" s="187">
        <f>VLOOKUP(H6,'Feed parameters'!$A$2:$M$113,6, FALSE)</f>
        <v>1.21</v>
      </c>
      <c r="I64" s="187">
        <f>VLOOKUP(I6,'Feed parameters'!$A$2:$M$113,6, FALSE)</f>
        <v>3.3930000000000002</v>
      </c>
      <c r="J64" s="187">
        <f>VLOOKUP(J6,'Feed parameters'!$A$2:$M$113,6, FALSE)</f>
        <v>3.6</v>
      </c>
      <c r="K64" s="187">
        <f>VLOOKUP(K6,'Feed parameters'!$A$2:$M$113,6, FALSE)</f>
        <v>0</v>
      </c>
      <c r="L64" s="382">
        <f>IFERROR(SUMPRODUCT(E63:K63,E64:K64)/ SUM(E63:K63),0)</f>
        <v>0</v>
      </c>
      <c r="M64" s="389" t="s">
        <v>815</v>
      </c>
      <c r="N64" s="741">
        <f>N57</f>
        <v>14.4</v>
      </c>
      <c r="O64" s="741">
        <f t="shared" ref="O64:T64" si="127">O57</f>
        <v>1.65</v>
      </c>
      <c r="P64" s="741">
        <f t="shared" si="127"/>
        <v>2.5148999999999999</v>
      </c>
      <c r="Q64" s="741">
        <f t="shared" si="127"/>
        <v>1.21</v>
      </c>
      <c r="R64" s="741">
        <f t="shared" si="127"/>
        <v>3.3930000000000002</v>
      </c>
      <c r="S64" s="741">
        <f t="shared" si="127"/>
        <v>3.6</v>
      </c>
      <c r="T64" s="741">
        <f t="shared" si="127"/>
        <v>0</v>
      </c>
      <c r="U64" s="388">
        <f>IFERROR(SUMPRODUCT(N63:T63,N64:T64)/ SUM(N63:T63),0)</f>
        <v>0</v>
      </c>
      <c r="V64" s="389" t="s">
        <v>815</v>
      </c>
      <c r="W64" s="741">
        <f>W57</f>
        <v>14.4</v>
      </c>
      <c r="X64" s="741">
        <f t="shared" ref="X64:AC64" si="128">X57</f>
        <v>1.65</v>
      </c>
      <c r="Y64" s="741">
        <f t="shared" si="128"/>
        <v>2.5148999999999999</v>
      </c>
      <c r="Z64" s="741">
        <f t="shared" si="128"/>
        <v>1.21</v>
      </c>
      <c r="AA64" s="741">
        <f t="shared" si="128"/>
        <v>3.3930000000000002</v>
      </c>
      <c r="AB64" s="741">
        <f t="shared" si="128"/>
        <v>3.6</v>
      </c>
      <c r="AC64" s="741">
        <f t="shared" si="128"/>
        <v>0</v>
      </c>
      <c r="AD64" s="388">
        <f>IFERROR(SUMPRODUCT(W63:AC63,W64:AC64)/ SUM(W63:AC63),0)</f>
        <v>0</v>
      </c>
      <c r="AE64" s="583">
        <f>L64*$G$3+U64*$P$3</f>
        <v>0</v>
      </c>
      <c r="AF64" s="493" t="e">
        <f>L64*$G$3/(L67*0.01)+U64*$P$3/(U67*0.01)</f>
        <v>#DIV/0!</v>
      </c>
    </row>
    <row r="65" spans="2:32" s="145" customFormat="1">
      <c r="B65" s="519"/>
      <c r="C65" s="537"/>
      <c r="D65" s="513" t="s">
        <v>816</v>
      </c>
      <c r="E65" s="381">
        <f>VLOOKUP(E6,'Feed parameters'!$A$2:$M$113,7, FALSE)</f>
        <v>0.79859999999999998</v>
      </c>
      <c r="F65" s="187">
        <f>VLOOKUP(F6,'Feed parameters'!$A$2:$M$113,7, FALSE)</f>
        <v>0.65213596800000007</v>
      </c>
      <c r="G65" s="187">
        <f>VLOOKUP(G6,FEED_P[[#All],[Feed]:[DE (fraction)]],7, FALSE)</f>
        <v>0.53459999999999996</v>
      </c>
      <c r="H65" s="187">
        <f>VLOOKUP(H6,'Feed parameters'!$A$2:$M$113,7, FALSE)</f>
        <v>0.5411999999999999</v>
      </c>
      <c r="I65" s="187">
        <f>VLOOKUP(I6,'Feed parameters'!$A$2:$M$113,7, FALSE)</f>
        <v>0.45539999999999997</v>
      </c>
      <c r="J65" s="187">
        <f>VLOOKUP(J6,'Feed parameters'!$A$2:$M$113,7, FALSE)</f>
        <v>0.33</v>
      </c>
      <c r="K65" s="187">
        <f>VLOOKUP(K6,'Feed parameters'!$A$2:$M$113,7, FALSE)</f>
        <v>0</v>
      </c>
      <c r="L65" s="382">
        <f>IFERROR(SUMPRODUCT(E63:K63,E65:K65)/ SUM(E63:K63),0)</f>
        <v>0</v>
      </c>
      <c r="M65" s="389" t="s">
        <v>816</v>
      </c>
      <c r="N65" s="741">
        <f t="shared" ref="N65" si="129">N58</f>
        <v>0.79859999999999998</v>
      </c>
      <c r="O65" s="741">
        <f t="shared" ref="O65:T65" si="130">O58</f>
        <v>0.65213596800000007</v>
      </c>
      <c r="P65" s="741">
        <f t="shared" si="130"/>
        <v>0.53459999999999996</v>
      </c>
      <c r="Q65" s="741">
        <f t="shared" si="130"/>
        <v>0.5411999999999999</v>
      </c>
      <c r="R65" s="741">
        <f t="shared" si="130"/>
        <v>0.45539999999999997</v>
      </c>
      <c r="S65" s="741">
        <f t="shared" si="130"/>
        <v>0.33</v>
      </c>
      <c r="T65" s="741">
        <f t="shared" si="130"/>
        <v>0</v>
      </c>
      <c r="U65" s="388">
        <f>IFERROR(SUMPRODUCT(N63:T63,N65:T65)/ SUM(N63:T63),0)</f>
        <v>0</v>
      </c>
      <c r="V65" s="389" t="s">
        <v>816</v>
      </c>
      <c r="W65" s="741">
        <f t="shared" ref="W65:AC67" si="131">W58</f>
        <v>0.79859999999999998</v>
      </c>
      <c r="X65" s="741">
        <f t="shared" si="131"/>
        <v>0.65213596800000007</v>
      </c>
      <c r="Y65" s="741">
        <f t="shared" si="131"/>
        <v>0.53459999999999996</v>
      </c>
      <c r="Z65" s="741">
        <f t="shared" si="131"/>
        <v>0.5411999999999999</v>
      </c>
      <c r="AA65" s="741">
        <f t="shared" si="131"/>
        <v>0.45539999999999997</v>
      </c>
      <c r="AB65" s="741">
        <f t="shared" si="131"/>
        <v>0.33</v>
      </c>
      <c r="AC65" s="741">
        <f t="shared" si="131"/>
        <v>0</v>
      </c>
      <c r="AD65" s="388">
        <f>IFERROR(SUMPRODUCT(W63:AC63,W65:AC65)/ SUM(W63:AC63),0)</f>
        <v>0</v>
      </c>
      <c r="AE65" s="583">
        <f>L65*$G$3+U65*$P$3</f>
        <v>0</v>
      </c>
    </row>
    <row r="66" spans="2:32" s="145" customFormat="1">
      <c r="B66" s="517"/>
      <c r="C66" s="535"/>
      <c r="D66" s="513" t="s">
        <v>906</v>
      </c>
      <c r="E66" s="379">
        <f>VLOOKUP(E6,'Feed parameters'!$A$2:$M$113,4, FALSE)</f>
        <v>10.89</v>
      </c>
      <c r="F66" s="271">
        <f>VLOOKUP(F6,'Feed parameters'!$A$2:$M$113,4, FALSE)</f>
        <v>1.4821271999999999</v>
      </c>
      <c r="G66" s="271">
        <f>VLOOKUP(G6,FEED_P[[#All],[Feed]:[DE (fraction)]],4, FALSE)</f>
        <v>2.0168999999999997</v>
      </c>
      <c r="H66" s="271">
        <f>VLOOKUP(H6,'Feed parameters'!$A$2:$M$113,4, FALSE)</f>
        <v>1.8039999999999998</v>
      </c>
      <c r="I66" s="271">
        <f>VLOOKUP(I6,'Feed parameters'!$A$2:$M$113,4, FALSE)</f>
        <v>6.003000000000001</v>
      </c>
      <c r="J66" s="271">
        <f>VLOOKUP(J6,'Feed parameters'!$A$2:$M$113,4, FALSE)</f>
        <v>3</v>
      </c>
      <c r="K66" s="271">
        <f>VLOOKUP(K6,'Feed parameters'!$A$2:$M$113,4, FALSE)</f>
        <v>0</v>
      </c>
      <c r="L66" s="380">
        <f>IFERROR(SUMPRODUCT(E63:K63,E66:K66)/ SUM(E63:K63),0)</f>
        <v>0</v>
      </c>
      <c r="M66" s="389" t="s">
        <v>906</v>
      </c>
      <c r="N66" s="741">
        <f t="shared" ref="N66" si="132">N59</f>
        <v>10.89</v>
      </c>
      <c r="O66" s="741">
        <f t="shared" ref="O66:T66" si="133">O59</f>
        <v>1.4821271999999999</v>
      </c>
      <c r="P66" s="741">
        <f t="shared" si="133"/>
        <v>2.0168999999999997</v>
      </c>
      <c r="Q66" s="741">
        <f t="shared" si="133"/>
        <v>1.8039999999999998</v>
      </c>
      <c r="R66" s="741">
        <f t="shared" si="133"/>
        <v>6.003000000000001</v>
      </c>
      <c r="S66" s="741">
        <f t="shared" si="133"/>
        <v>3</v>
      </c>
      <c r="T66" s="741">
        <f t="shared" si="133"/>
        <v>0</v>
      </c>
      <c r="U66" s="387">
        <f>IFERROR(SUMPRODUCT(N63:T63,N66:T66)/ SUM(N63:T63),0)</f>
        <v>0</v>
      </c>
      <c r="V66" s="389" t="s">
        <v>906</v>
      </c>
      <c r="W66" s="741">
        <f t="shared" si="131"/>
        <v>10.89</v>
      </c>
      <c r="X66" s="741">
        <f t="shared" si="131"/>
        <v>1.4821271999999999</v>
      </c>
      <c r="Y66" s="741">
        <f t="shared" si="131"/>
        <v>2.0168999999999997</v>
      </c>
      <c r="Z66" s="741">
        <f t="shared" si="131"/>
        <v>1.8039999999999998</v>
      </c>
      <c r="AA66" s="741">
        <f t="shared" si="131"/>
        <v>6.003000000000001</v>
      </c>
      <c r="AB66" s="741">
        <f t="shared" si="131"/>
        <v>3</v>
      </c>
      <c r="AC66" s="741">
        <f t="shared" si="131"/>
        <v>0</v>
      </c>
      <c r="AD66" s="387">
        <f>IFERROR(SUMPRODUCT(W63:AC63,W66:AC66)/ SUM(W63:AC63),0)</f>
        <v>0</v>
      </c>
      <c r="AE66" s="583"/>
    </row>
    <row r="67" spans="2:32" s="145" customFormat="1">
      <c r="B67" s="512"/>
      <c r="C67" s="531"/>
      <c r="D67" s="513" t="s">
        <v>1154</v>
      </c>
      <c r="E67" s="379">
        <f>VLOOKUP(E6,'Feed parameters'!$A$2:$M$113,2, FALSE)</f>
        <v>90</v>
      </c>
      <c r="F67" s="271">
        <f>VLOOKUP(F6,'Feed parameters'!$A$2:$M$113,2, FALSE)</f>
        <v>15</v>
      </c>
      <c r="G67" s="271">
        <f>VLOOKUP(G6,FEED_P[[#All],[Feed]:[DE (fraction)]],2, FALSE)</f>
        <v>24.9</v>
      </c>
      <c r="H67" s="271">
        <f>VLOOKUP(H6,'Feed parameters'!$A$2:$M$113,2, FALSE)</f>
        <v>22</v>
      </c>
      <c r="I67" s="271">
        <f>VLOOKUP(I6,'Feed parameters'!$A$2:$M$113,2, FALSE)</f>
        <v>87</v>
      </c>
      <c r="J67" s="271">
        <f>VLOOKUP(J6,'Feed parameters'!$A$2:$M$113,2, FALSE)</f>
        <v>60</v>
      </c>
      <c r="K67" s="271">
        <f>VLOOKUP(K6,'Feed parameters'!$A$2:$M$113,2, FALSE)</f>
        <v>0</v>
      </c>
      <c r="L67" s="380">
        <f>IFERROR(SUMPRODUCT(E63:K63,E67:K67)/ SUM(E63:K63),0)</f>
        <v>0</v>
      </c>
      <c r="M67" s="557" t="s">
        <v>1154</v>
      </c>
      <c r="N67" s="741">
        <f t="shared" ref="N67" si="134">N60</f>
        <v>90</v>
      </c>
      <c r="O67" s="741">
        <f t="shared" ref="O67:T67" si="135">O60</f>
        <v>15</v>
      </c>
      <c r="P67" s="741">
        <f t="shared" si="135"/>
        <v>24.9</v>
      </c>
      <c r="Q67" s="741">
        <f t="shared" si="135"/>
        <v>22</v>
      </c>
      <c r="R67" s="741">
        <f t="shared" si="135"/>
        <v>87</v>
      </c>
      <c r="S67" s="741">
        <f t="shared" si="135"/>
        <v>60</v>
      </c>
      <c r="T67" s="741">
        <f t="shared" si="135"/>
        <v>0</v>
      </c>
      <c r="U67" s="387">
        <f>IFERROR(SUMPRODUCT(N63:T63,N67:T67)/ SUM(N63:T63),0)</f>
        <v>0</v>
      </c>
      <c r="V67" s="557" t="s">
        <v>1154</v>
      </c>
      <c r="W67" s="741">
        <f t="shared" si="131"/>
        <v>90</v>
      </c>
      <c r="X67" s="741">
        <f t="shared" si="131"/>
        <v>15</v>
      </c>
      <c r="Y67" s="741">
        <f t="shared" si="131"/>
        <v>24.9</v>
      </c>
      <c r="Z67" s="741">
        <f t="shared" si="131"/>
        <v>22</v>
      </c>
      <c r="AA67" s="741">
        <f t="shared" si="131"/>
        <v>87</v>
      </c>
      <c r="AB67" s="741">
        <f t="shared" si="131"/>
        <v>60</v>
      </c>
      <c r="AC67" s="741">
        <f t="shared" si="131"/>
        <v>0</v>
      </c>
      <c r="AD67" s="387">
        <f>IFERROR(SUMPRODUCT(W63:AC63,W67:AC67)/ SUM(W63:AC63),0)</f>
        <v>0</v>
      </c>
      <c r="AE67" s="583">
        <f>L67*$G$3+U67*$P$3</f>
        <v>0</v>
      </c>
    </row>
    <row r="68" spans="2:32" s="145" customFormat="1">
      <c r="B68" s="512"/>
      <c r="C68" s="531"/>
      <c r="D68" s="513" t="s">
        <v>1172</v>
      </c>
      <c r="E68" s="379">
        <f>IFERROR((E63*E67)/SUMPRODUCT($E63:$K63,$E67:$K67), 0)</f>
        <v>0</v>
      </c>
      <c r="F68" s="271">
        <f t="shared" ref="F68:K68" si="136">IFERROR((F63*F67)/SUMPRODUCT($E63:$K63,$E67:$K67),0)</f>
        <v>0</v>
      </c>
      <c r="G68" s="271">
        <f t="shared" si="136"/>
        <v>0</v>
      </c>
      <c r="H68" s="271">
        <f t="shared" si="136"/>
        <v>0</v>
      </c>
      <c r="I68" s="271">
        <f t="shared" si="136"/>
        <v>0</v>
      </c>
      <c r="J68" s="271">
        <f t="shared" si="136"/>
        <v>0</v>
      </c>
      <c r="K68" s="271">
        <f t="shared" si="136"/>
        <v>0</v>
      </c>
      <c r="L68" s="380"/>
      <c r="M68" s="557" t="s">
        <v>1172</v>
      </c>
      <c r="N68" s="271">
        <f t="shared" ref="N68:T68" si="137">IFERROR((N63*N67)/SUMPRODUCT($N63:$T63,$N67:$T67),0)</f>
        <v>0</v>
      </c>
      <c r="O68" s="271">
        <f t="shared" si="137"/>
        <v>0</v>
      </c>
      <c r="P68" s="271">
        <f t="shared" si="137"/>
        <v>0</v>
      </c>
      <c r="Q68" s="271">
        <f t="shared" si="137"/>
        <v>0</v>
      </c>
      <c r="R68" s="271">
        <f t="shared" si="137"/>
        <v>0</v>
      </c>
      <c r="S68" s="271">
        <f t="shared" si="137"/>
        <v>0</v>
      </c>
      <c r="T68" s="271">
        <f t="shared" si="137"/>
        <v>0</v>
      </c>
      <c r="U68" s="387"/>
      <c r="V68" s="557" t="s">
        <v>1172</v>
      </c>
      <c r="W68" s="271">
        <f>IFERROR((W63*W67)/SUMPRODUCT($W63:$AC63,$W67:$AC67), 0)</f>
        <v>0</v>
      </c>
      <c r="X68" s="271">
        <f t="shared" ref="X68" si="138">IFERROR((X63*X67)/SUMPRODUCT($W63:$AC63,$W67:$AC67), 0)</f>
        <v>0</v>
      </c>
      <c r="Y68" s="271">
        <f t="shared" ref="Y68" si="139">IFERROR((Y63*Y67)/SUMPRODUCT($W63:$AC63,$W67:$AC67), 0)</f>
        <v>0</v>
      </c>
      <c r="Z68" s="271">
        <f t="shared" ref="Z68" si="140">IFERROR((Z63*Z67)/SUMPRODUCT($W63:$AC63,$W67:$AC67), 0)</f>
        <v>0</v>
      </c>
      <c r="AA68" s="271">
        <f t="shared" ref="AA68" si="141">IFERROR((AA63*AA67)/SUMPRODUCT($W63:$AC63,$W67:$AC67), 0)</f>
        <v>0</v>
      </c>
      <c r="AB68" s="271">
        <f t="shared" ref="AB68" si="142">IFERROR((AB63*AB67)/SUMPRODUCT($W63:$AC63,$W67:$AC67), 0)</f>
        <v>0</v>
      </c>
      <c r="AC68" s="271">
        <f t="shared" ref="AC68" si="143">IFERROR((AC63*AC67)/SUMPRODUCT($W63:$AC63,$W67:$AC67), 0)</f>
        <v>0</v>
      </c>
      <c r="AD68" s="387"/>
      <c r="AE68" s="583"/>
    </row>
    <row r="69" spans="2:32" s="145" customFormat="1">
      <c r="B69" s="512"/>
      <c r="C69" s="531"/>
      <c r="D69" s="513"/>
      <c r="E69" s="379"/>
      <c r="F69" s="271"/>
      <c r="G69" s="271"/>
      <c r="H69" s="271"/>
      <c r="I69" s="271"/>
      <c r="J69" s="271"/>
      <c r="K69" s="271"/>
      <c r="L69" s="380"/>
      <c r="M69" s="557"/>
      <c r="N69" s="271"/>
      <c r="O69" s="271"/>
      <c r="P69" s="271"/>
      <c r="Q69" s="271"/>
      <c r="R69" s="271"/>
      <c r="S69" s="271"/>
      <c r="T69" s="271"/>
      <c r="U69" s="387"/>
      <c r="V69" s="557"/>
      <c r="W69" s="271"/>
      <c r="X69" s="271"/>
      <c r="Y69" s="271"/>
      <c r="Z69" s="271"/>
      <c r="AA69" s="271"/>
      <c r="AB69" s="271"/>
      <c r="AC69" s="271"/>
      <c r="AD69" s="387"/>
      <c r="AE69" s="583"/>
    </row>
    <row r="70" spans="2:32" s="145" customFormat="1">
      <c r="B70" s="518">
        <f>INPUTS!C30</f>
        <v>0</v>
      </c>
      <c r="C70" s="536"/>
      <c r="D70" s="511" t="s">
        <v>1171</v>
      </c>
      <c r="E70" s="377">
        <f>INPUTS!L60</f>
        <v>0</v>
      </c>
      <c r="F70" s="271">
        <f>INPUTS!L61</f>
        <v>0</v>
      </c>
      <c r="G70" s="271">
        <f>INPUTS!L62</f>
        <v>0</v>
      </c>
      <c r="H70" s="271">
        <f>INPUTS!L63</f>
        <v>0</v>
      </c>
      <c r="I70" s="271">
        <f>INPUTS!L64</f>
        <v>0</v>
      </c>
      <c r="J70" s="271">
        <f>INPUTS!L65</f>
        <v>0</v>
      </c>
      <c r="K70" s="271">
        <f>INPUTS!L66</f>
        <v>0</v>
      </c>
      <c r="L70" s="380"/>
      <c r="M70" s="573" t="s">
        <v>1171</v>
      </c>
      <c r="N70" s="271">
        <f>INPUTS!AA60</f>
        <v>0</v>
      </c>
      <c r="O70" s="271">
        <f>INPUTS!AA61</f>
        <v>0</v>
      </c>
      <c r="P70" s="271">
        <f>INPUTS!AA62</f>
        <v>0</v>
      </c>
      <c r="Q70" s="271">
        <f>INPUTS!AA63</f>
        <v>0</v>
      </c>
      <c r="R70" s="271">
        <f>INPUTS!AA64</f>
        <v>0</v>
      </c>
      <c r="S70" s="271">
        <f>INPUTS!AA65</f>
        <v>0</v>
      </c>
      <c r="T70" s="271">
        <f>INPUTS!AA66</f>
        <v>0</v>
      </c>
      <c r="U70" s="387"/>
      <c r="V70" s="573" t="s">
        <v>1171</v>
      </c>
      <c r="W70" s="271">
        <f>INPUTS!AP60</f>
        <v>0</v>
      </c>
      <c r="X70" s="271">
        <f>INPUTS!AP61</f>
        <v>0</v>
      </c>
      <c r="Y70" s="271">
        <f>INPUTS!AP62</f>
        <v>0</v>
      </c>
      <c r="Z70" s="271">
        <f>INPUTS!AP63</f>
        <v>0</v>
      </c>
      <c r="AA70" s="271">
        <f>INPUTS!AP64</f>
        <v>0</v>
      </c>
      <c r="AB70" s="271">
        <f>INPUTS!AP65</f>
        <v>0</v>
      </c>
      <c r="AC70" s="271">
        <f>INPUTS!AP66</f>
        <v>0</v>
      </c>
      <c r="AD70" s="387"/>
      <c r="AE70" s="583"/>
    </row>
    <row r="71" spans="2:32" s="145" customFormat="1">
      <c r="B71" s="515"/>
      <c r="C71" s="533"/>
      <c r="D71" s="513" t="s">
        <v>815</v>
      </c>
      <c r="E71" s="381">
        <f>VLOOKUP(E6,'Feed parameters'!$A$2:$M$113,6, FALSE)</f>
        <v>14.4</v>
      </c>
      <c r="F71" s="271">
        <f>VLOOKUP(F6,'Feed parameters'!$A$2:$M$113,6, FALSE)</f>
        <v>1.65</v>
      </c>
      <c r="G71" s="271">
        <f>VLOOKUP(G6,FEED_P[[#All],[Feed]:[DE (fraction)]],6, FALSE)</f>
        <v>2.5148999999999999</v>
      </c>
      <c r="H71" s="271">
        <f>VLOOKUP(H6,'Feed parameters'!$A$2:$M$113,6, FALSE)</f>
        <v>1.21</v>
      </c>
      <c r="I71" s="271">
        <f>VLOOKUP(I6,'Feed parameters'!$A$2:$M$113,6, FALSE)</f>
        <v>3.3930000000000002</v>
      </c>
      <c r="J71" s="271">
        <f>VLOOKUP(J6,'Feed parameters'!$A$2:$M$113,6, FALSE)</f>
        <v>3.6</v>
      </c>
      <c r="K71" s="271">
        <f>VLOOKUP(K6,'Feed parameters'!$A$2:$M$113,6, FALSE)</f>
        <v>0</v>
      </c>
      <c r="L71" s="382">
        <f>IFERROR(SUMPRODUCT(E70:K70,E71:K71)/ SUM(E70:K70),0)</f>
        <v>0</v>
      </c>
      <c r="M71" s="389" t="s">
        <v>815</v>
      </c>
      <c r="N71" s="271">
        <f>N64</f>
        <v>14.4</v>
      </c>
      <c r="O71" s="271">
        <f t="shared" ref="O71:T71" si="144">O64</f>
        <v>1.65</v>
      </c>
      <c r="P71" s="271">
        <f t="shared" si="144"/>
        <v>2.5148999999999999</v>
      </c>
      <c r="Q71" s="271">
        <f t="shared" si="144"/>
        <v>1.21</v>
      </c>
      <c r="R71" s="271">
        <f t="shared" si="144"/>
        <v>3.3930000000000002</v>
      </c>
      <c r="S71" s="271">
        <f t="shared" si="144"/>
        <v>3.6</v>
      </c>
      <c r="T71" s="271">
        <f t="shared" si="144"/>
        <v>0</v>
      </c>
      <c r="U71" s="388">
        <f>IFERROR(SUMPRODUCT(N70:T70,N71:T71)/ SUM(N70:T70),0)</f>
        <v>0</v>
      </c>
      <c r="V71" s="389" t="s">
        <v>815</v>
      </c>
      <c r="W71" s="271">
        <f>W64</f>
        <v>14.4</v>
      </c>
      <c r="X71" s="271">
        <f t="shared" ref="X71:AC71" si="145">X64</f>
        <v>1.65</v>
      </c>
      <c r="Y71" s="271">
        <f t="shared" si="145"/>
        <v>2.5148999999999999</v>
      </c>
      <c r="Z71" s="271">
        <f t="shared" si="145"/>
        <v>1.21</v>
      </c>
      <c r="AA71" s="271">
        <f t="shared" si="145"/>
        <v>3.3930000000000002</v>
      </c>
      <c r="AB71" s="271">
        <f t="shared" si="145"/>
        <v>3.6</v>
      </c>
      <c r="AC71" s="271">
        <f t="shared" si="145"/>
        <v>0</v>
      </c>
      <c r="AD71" s="388">
        <f>IFERROR(SUMPRODUCT(W70:AC70,W71:AC71)/ SUM(W70:AC70),0)</f>
        <v>0</v>
      </c>
      <c r="AE71" s="583">
        <f>L71*$G$3+U71*$P$3</f>
        <v>0</v>
      </c>
      <c r="AF71" s="493" t="e">
        <f>L71*$G$3/(L74*0.01)+U71*$P$3/(U74*0.01)</f>
        <v>#DIV/0!</v>
      </c>
    </row>
    <row r="72" spans="2:32" s="145" customFormat="1">
      <c r="B72" s="519"/>
      <c r="C72" s="537"/>
      <c r="D72" s="513" t="s">
        <v>816</v>
      </c>
      <c r="E72" s="381">
        <f>VLOOKUP(E6,'Feed parameters'!$A$2:$M$113,7, FALSE)</f>
        <v>0.79859999999999998</v>
      </c>
      <c r="F72" s="271">
        <f>VLOOKUP(F6,'Feed parameters'!$A$2:$M$113,7, FALSE)</f>
        <v>0.65213596800000007</v>
      </c>
      <c r="G72" s="271">
        <f>VLOOKUP(G6,FEED_P[[#All],[Feed]:[DE (fraction)]],7, FALSE)</f>
        <v>0.53459999999999996</v>
      </c>
      <c r="H72" s="271">
        <f>VLOOKUP(H6,'Feed parameters'!$A$2:$M$113,7, FALSE)</f>
        <v>0.5411999999999999</v>
      </c>
      <c r="I72" s="271">
        <f>VLOOKUP(I6,'Feed parameters'!$A$2:$M$113,7, FALSE)</f>
        <v>0.45539999999999997</v>
      </c>
      <c r="J72" s="271">
        <f>VLOOKUP(J6,'Feed parameters'!$A$2:$M$113,7, FALSE)</f>
        <v>0.33</v>
      </c>
      <c r="K72" s="271">
        <f>VLOOKUP(K6,'Feed parameters'!$A$2:$M$113,7, FALSE)</f>
        <v>0</v>
      </c>
      <c r="L72" s="382">
        <f>IFERROR(SUMPRODUCT(E70:K70,E72:K72)/ SUM(E70:K70),0)</f>
        <v>0</v>
      </c>
      <c r="M72" s="389" t="s">
        <v>816</v>
      </c>
      <c r="N72" s="271">
        <f t="shared" ref="N72:T74" si="146">N65</f>
        <v>0.79859999999999998</v>
      </c>
      <c r="O72" s="271">
        <f t="shared" si="146"/>
        <v>0.65213596800000007</v>
      </c>
      <c r="P72" s="271">
        <f t="shared" si="146"/>
        <v>0.53459999999999996</v>
      </c>
      <c r="Q72" s="271">
        <f t="shared" si="146"/>
        <v>0.5411999999999999</v>
      </c>
      <c r="R72" s="271">
        <f t="shared" si="146"/>
        <v>0.45539999999999997</v>
      </c>
      <c r="S72" s="271">
        <f t="shared" si="146"/>
        <v>0.33</v>
      </c>
      <c r="T72" s="271">
        <f t="shared" si="146"/>
        <v>0</v>
      </c>
      <c r="U72" s="388">
        <f>IFERROR(SUMPRODUCT(N70:T70,N72:T72)/ SUM(N70:T70),0)</f>
        <v>0</v>
      </c>
      <c r="V72" s="389" t="s">
        <v>816</v>
      </c>
      <c r="W72" s="271">
        <f t="shared" ref="W72:AC72" si="147">W65</f>
        <v>0.79859999999999998</v>
      </c>
      <c r="X72" s="271">
        <f t="shared" si="147"/>
        <v>0.65213596800000007</v>
      </c>
      <c r="Y72" s="271">
        <f t="shared" si="147"/>
        <v>0.53459999999999996</v>
      </c>
      <c r="Z72" s="271">
        <f t="shared" si="147"/>
        <v>0.5411999999999999</v>
      </c>
      <c r="AA72" s="271">
        <f t="shared" si="147"/>
        <v>0.45539999999999997</v>
      </c>
      <c r="AB72" s="271">
        <f t="shared" si="147"/>
        <v>0.33</v>
      </c>
      <c r="AC72" s="271">
        <f t="shared" si="147"/>
        <v>0</v>
      </c>
      <c r="AD72" s="388">
        <f>IFERROR(SUMPRODUCT(W70:AC70,W72:AC72)/ SUM(W70:AC70),0)</f>
        <v>0</v>
      </c>
      <c r="AE72" s="583">
        <f>L72*$G$3+U72*$P$3</f>
        <v>0</v>
      </c>
    </row>
    <row r="73" spans="2:32" s="145" customFormat="1">
      <c r="B73" s="517"/>
      <c r="C73" s="535"/>
      <c r="D73" s="513" t="s">
        <v>906</v>
      </c>
      <c r="E73" s="379">
        <f>VLOOKUP(E6,'Feed parameters'!$A$2:$M$113,4, FALSE)</f>
        <v>10.89</v>
      </c>
      <c r="F73" s="271">
        <f>VLOOKUP(F6,'Feed parameters'!$A$2:$M$113,4, FALSE)</f>
        <v>1.4821271999999999</v>
      </c>
      <c r="G73" s="271">
        <f>VLOOKUP(G6,FEED_P[[#All],[Feed]:[DE (fraction)]],4, FALSE)</f>
        <v>2.0168999999999997</v>
      </c>
      <c r="H73" s="271">
        <f>VLOOKUP(H6,'Feed parameters'!$A$2:$M$113,4, FALSE)</f>
        <v>1.8039999999999998</v>
      </c>
      <c r="I73" s="271">
        <f>VLOOKUP(I6,'Feed parameters'!$A$2:$M$113,4, FALSE)</f>
        <v>6.003000000000001</v>
      </c>
      <c r="J73" s="271">
        <f>VLOOKUP(J6,'Feed parameters'!$A$2:$M$113,4, FALSE)</f>
        <v>3</v>
      </c>
      <c r="K73" s="271">
        <f>VLOOKUP(K6,'Feed parameters'!$A$2:$M$113,4, FALSE)</f>
        <v>0</v>
      </c>
      <c r="L73" s="380">
        <f>IFERROR(SUMPRODUCT(E70:K70,E73:K73)/ SUM(E70:K70),0)</f>
        <v>0</v>
      </c>
      <c r="M73" s="389" t="s">
        <v>906</v>
      </c>
      <c r="N73" s="271">
        <f t="shared" si="146"/>
        <v>10.89</v>
      </c>
      <c r="O73" s="271">
        <f t="shared" si="146"/>
        <v>1.4821271999999999</v>
      </c>
      <c r="P73" s="271">
        <f t="shared" si="146"/>
        <v>2.0168999999999997</v>
      </c>
      <c r="Q73" s="271">
        <f t="shared" si="146"/>
        <v>1.8039999999999998</v>
      </c>
      <c r="R73" s="271">
        <f t="shared" si="146"/>
        <v>6.003000000000001</v>
      </c>
      <c r="S73" s="271">
        <f t="shared" si="146"/>
        <v>3</v>
      </c>
      <c r="T73" s="271">
        <f t="shared" si="146"/>
        <v>0</v>
      </c>
      <c r="U73" s="387">
        <f>IFERROR(SUMPRODUCT(N70:T70,N73:T73)/ SUM(N70:T70),0)</f>
        <v>0</v>
      </c>
      <c r="V73" s="389" t="s">
        <v>906</v>
      </c>
      <c r="W73" s="271">
        <f t="shared" ref="W73:AC73" si="148">W66</f>
        <v>10.89</v>
      </c>
      <c r="X73" s="271">
        <f t="shared" si="148"/>
        <v>1.4821271999999999</v>
      </c>
      <c r="Y73" s="271">
        <f t="shared" si="148"/>
        <v>2.0168999999999997</v>
      </c>
      <c r="Z73" s="271">
        <f t="shared" si="148"/>
        <v>1.8039999999999998</v>
      </c>
      <c r="AA73" s="271">
        <f t="shared" si="148"/>
        <v>6.003000000000001</v>
      </c>
      <c r="AB73" s="271">
        <f t="shared" si="148"/>
        <v>3</v>
      </c>
      <c r="AC73" s="271">
        <f t="shared" si="148"/>
        <v>0</v>
      </c>
      <c r="AD73" s="387">
        <f>IFERROR(SUMPRODUCT(W70:AC70,W73:AC73)/ SUM(W70:AC70),0)</f>
        <v>0</v>
      </c>
      <c r="AE73" s="583"/>
    </row>
    <row r="74" spans="2:32" s="145" customFormat="1">
      <c r="B74" s="512"/>
      <c r="C74" s="531"/>
      <c r="D74" s="513" t="s">
        <v>1154</v>
      </c>
      <c r="E74" s="379">
        <f>VLOOKUP(E6,'Feed parameters'!$A$2:$M$113,2, FALSE)</f>
        <v>90</v>
      </c>
      <c r="F74" s="271">
        <f>VLOOKUP(F6,'Feed parameters'!$A$2:$M$113,2, FALSE)</f>
        <v>15</v>
      </c>
      <c r="G74" s="271">
        <f>VLOOKUP(G6,FEED_P[[#All],[Feed]:[DE (fraction)]],2, FALSE)</f>
        <v>24.9</v>
      </c>
      <c r="H74" s="271">
        <f>VLOOKUP(H6,'Feed parameters'!$A$2:$M$113,2, FALSE)</f>
        <v>22</v>
      </c>
      <c r="I74" s="271">
        <f>VLOOKUP(I6,'Feed parameters'!$A$2:$M$113,2, FALSE)</f>
        <v>87</v>
      </c>
      <c r="J74" s="271">
        <f>VLOOKUP(J6,'Feed parameters'!$A$2:$M$113,2, FALSE)</f>
        <v>60</v>
      </c>
      <c r="K74" s="271">
        <f>VLOOKUP(K6,'Feed parameters'!$A$2:$M$113,2, FALSE)</f>
        <v>0</v>
      </c>
      <c r="L74" s="380">
        <f>IFERROR(SUMPRODUCT(E70:K70,E74:K74)/ SUM(E70:K70),0)</f>
        <v>0</v>
      </c>
      <c r="M74" s="557" t="s">
        <v>1154</v>
      </c>
      <c r="N74" s="271">
        <f t="shared" si="146"/>
        <v>90</v>
      </c>
      <c r="O74" s="271">
        <f t="shared" si="146"/>
        <v>15</v>
      </c>
      <c r="P74" s="271">
        <f t="shared" si="146"/>
        <v>24.9</v>
      </c>
      <c r="Q74" s="271">
        <f t="shared" si="146"/>
        <v>22</v>
      </c>
      <c r="R74" s="271">
        <f t="shared" si="146"/>
        <v>87</v>
      </c>
      <c r="S74" s="271">
        <f t="shared" si="146"/>
        <v>60</v>
      </c>
      <c r="T74" s="271">
        <f t="shared" si="146"/>
        <v>0</v>
      </c>
      <c r="U74" s="387">
        <f>IFERROR(SUMPRODUCT(N70:T70,N74:T74)/ SUM(N70:T70),0)</f>
        <v>0</v>
      </c>
      <c r="V74" s="557" t="s">
        <v>1154</v>
      </c>
      <c r="W74" s="271">
        <f t="shared" ref="W74:AC74" si="149">W67</f>
        <v>90</v>
      </c>
      <c r="X74" s="271">
        <f t="shared" si="149"/>
        <v>15</v>
      </c>
      <c r="Y74" s="271">
        <f t="shared" si="149"/>
        <v>24.9</v>
      </c>
      <c r="Z74" s="271">
        <f t="shared" si="149"/>
        <v>22</v>
      </c>
      <c r="AA74" s="271">
        <f t="shared" si="149"/>
        <v>87</v>
      </c>
      <c r="AB74" s="271">
        <f t="shared" si="149"/>
        <v>60</v>
      </c>
      <c r="AC74" s="271">
        <f t="shared" si="149"/>
        <v>0</v>
      </c>
      <c r="AD74" s="387">
        <f>IFERROR(SUMPRODUCT(W70:AC70,W74:AC74)/ SUM(W70:AC70),0)</f>
        <v>0</v>
      </c>
      <c r="AE74" s="583">
        <f>L74*$G$3+U74*$P$3</f>
        <v>0</v>
      </c>
    </row>
    <row r="75" spans="2:32" s="145" customFormat="1">
      <c r="B75" s="512"/>
      <c r="C75" s="531"/>
      <c r="D75" s="513" t="s">
        <v>1172</v>
      </c>
      <c r="E75" s="379">
        <f>IFERROR((E70*E74)/SUMPRODUCT($E70:$K70,$E74:$K74), 0)</f>
        <v>0</v>
      </c>
      <c r="F75" s="271">
        <f t="shared" ref="F75:K75" si="150">IFERROR((F70*F74)/SUMPRODUCT($E70:$K70,$E74:$K74), 0)</f>
        <v>0</v>
      </c>
      <c r="G75" s="271">
        <f t="shared" si="150"/>
        <v>0</v>
      </c>
      <c r="H75" s="271">
        <f t="shared" si="150"/>
        <v>0</v>
      </c>
      <c r="I75" s="271">
        <f t="shared" si="150"/>
        <v>0</v>
      </c>
      <c r="J75" s="271">
        <f t="shared" si="150"/>
        <v>0</v>
      </c>
      <c r="K75" s="271">
        <f t="shared" si="150"/>
        <v>0</v>
      </c>
      <c r="L75" s="380"/>
      <c r="M75" s="557" t="s">
        <v>1172</v>
      </c>
      <c r="N75" s="271">
        <f t="shared" ref="N75:T75" si="151">IFERROR((N70*N74)/SUMPRODUCT($N70:$T70,$N74:$T74),0)</f>
        <v>0</v>
      </c>
      <c r="O75" s="271">
        <f t="shared" si="151"/>
        <v>0</v>
      </c>
      <c r="P75" s="271">
        <f t="shared" si="151"/>
        <v>0</v>
      </c>
      <c r="Q75" s="271">
        <f t="shared" si="151"/>
        <v>0</v>
      </c>
      <c r="R75" s="271">
        <f t="shared" si="151"/>
        <v>0</v>
      </c>
      <c r="S75" s="271">
        <f t="shared" si="151"/>
        <v>0</v>
      </c>
      <c r="T75" s="271">
        <f t="shared" si="151"/>
        <v>0</v>
      </c>
      <c r="U75" s="387"/>
      <c r="V75" s="557" t="s">
        <v>1172</v>
      </c>
      <c r="W75" s="271">
        <f>IFERROR((W70*W74)/SUMPRODUCT($W70:$AC70,$W74:$AC74), 0)</f>
        <v>0</v>
      </c>
      <c r="X75" s="271">
        <f t="shared" ref="X75" si="152">IFERROR((X70*X74)/SUMPRODUCT($W70:$AC70,$W74:$AC74), 0)</f>
        <v>0</v>
      </c>
      <c r="Y75" s="271">
        <f t="shared" ref="Y75" si="153">IFERROR((Y70*Y74)/SUMPRODUCT($W70:$AC70,$W74:$AC74), 0)</f>
        <v>0</v>
      </c>
      <c r="Z75" s="271">
        <f t="shared" ref="Z75" si="154">IFERROR((Z70*Z74)/SUMPRODUCT($W70:$AC70,$W74:$AC74), 0)</f>
        <v>0</v>
      </c>
      <c r="AA75" s="271">
        <f t="shared" ref="AA75" si="155">IFERROR((AA70*AA74)/SUMPRODUCT($W70:$AC70,$W74:$AC74), 0)</f>
        <v>0</v>
      </c>
      <c r="AB75" s="271">
        <f t="shared" ref="AB75" si="156">IFERROR((AB70*AB74)/SUMPRODUCT($W70:$AC70,$W74:$AC74), 0)</f>
        <v>0</v>
      </c>
      <c r="AC75" s="271">
        <f t="shared" ref="AC75" si="157">IFERROR((AC70*AC74)/SUMPRODUCT($W70:$AC70,$W74:$AC74), 0)</f>
        <v>0</v>
      </c>
      <c r="AD75" s="387"/>
      <c r="AE75" s="583"/>
    </row>
    <row r="76" spans="2:32" s="145" customFormat="1">
      <c r="B76" s="512"/>
      <c r="C76" s="531"/>
      <c r="D76" s="513"/>
      <c r="E76" s="379"/>
      <c r="F76" s="271"/>
      <c r="G76" s="271"/>
      <c r="H76" s="271"/>
      <c r="I76" s="271"/>
      <c r="J76" s="271"/>
      <c r="K76" s="271"/>
      <c r="L76" s="380"/>
      <c r="M76" s="557"/>
      <c r="N76" s="271"/>
      <c r="O76" s="271"/>
      <c r="P76" s="271"/>
      <c r="Q76" s="271"/>
      <c r="R76" s="271"/>
      <c r="S76" s="271"/>
      <c r="T76" s="271"/>
      <c r="U76" s="387"/>
      <c r="V76" s="557"/>
      <c r="W76" s="271"/>
      <c r="X76" s="271"/>
      <c r="Y76" s="271"/>
      <c r="Z76" s="271"/>
      <c r="AA76" s="271"/>
      <c r="AB76" s="271"/>
      <c r="AC76" s="271"/>
      <c r="AD76" s="387"/>
      <c r="AE76" s="583"/>
    </row>
    <row r="77" spans="2:32" s="145" customFormat="1">
      <c r="B77" s="518">
        <f>INPUTS!C30</f>
        <v>0</v>
      </c>
      <c r="C77" s="536"/>
      <c r="D77" s="511" t="s">
        <v>1171</v>
      </c>
      <c r="E77" s="377">
        <f>INPUTS!M60</f>
        <v>0</v>
      </c>
      <c r="F77" s="271">
        <f>INPUTS!M61</f>
        <v>0</v>
      </c>
      <c r="G77" s="271">
        <f>INPUTS!M62</f>
        <v>0</v>
      </c>
      <c r="H77" s="271">
        <f>INPUTS!M63</f>
        <v>0</v>
      </c>
      <c r="I77" s="271">
        <f>INPUTS!M64</f>
        <v>0</v>
      </c>
      <c r="J77" s="271">
        <f>INPUTS!M65</f>
        <v>0</v>
      </c>
      <c r="K77" s="271">
        <f>INPUTS!M66</f>
        <v>0</v>
      </c>
      <c r="L77" s="380"/>
      <c r="M77" s="573" t="s">
        <v>1171</v>
      </c>
      <c r="N77" s="271">
        <f>INPUTS!AB60</f>
        <v>0</v>
      </c>
      <c r="O77" s="271">
        <f>INPUTS!AB61</f>
        <v>0</v>
      </c>
      <c r="P77" s="271">
        <f>INPUTS!AB62</f>
        <v>0</v>
      </c>
      <c r="Q77" s="271">
        <f>INPUTS!AB63</f>
        <v>0</v>
      </c>
      <c r="R77" s="271">
        <f>INPUTS!AB64</f>
        <v>0</v>
      </c>
      <c r="S77" s="271">
        <f>INPUTS!AB65</f>
        <v>0</v>
      </c>
      <c r="T77" s="271">
        <f>INPUTS!AB66</f>
        <v>0</v>
      </c>
      <c r="U77" s="387"/>
      <c r="V77" s="573" t="s">
        <v>1171</v>
      </c>
      <c r="W77" s="271">
        <f>INPUTS!AQ60</f>
        <v>0</v>
      </c>
      <c r="X77" s="271">
        <f>INPUTS!AQ61</f>
        <v>0</v>
      </c>
      <c r="Y77" s="271">
        <f>INPUTS!AQ62</f>
        <v>0</v>
      </c>
      <c r="Z77" s="271">
        <f>INPUTS!AQ63</f>
        <v>0</v>
      </c>
      <c r="AA77" s="271">
        <f>INPUTS!AQ64</f>
        <v>0</v>
      </c>
      <c r="AB77" s="271">
        <f>INPUTS!AQ65</f>
        <v>0</v>
      </c>
      <c r="AC77" s="271">
        <f>INPUTS!AQ66</f>
        <v>0</v>
      </c>
      <c r="AD77" s="387"/>
      <c r="AE77" s="583"/>
    </row>
    <row r="78" spans="2:32" s="145" customFormat="1">
      <c r="B78" s="515"/>
      <c r="C78" s="533"/>
      <c r="D78" s="513" t="s">
        <v>815</v>
      </c>
      <c r="E78" s="381">
        <f>VLOOKUP(E6,'Feed parameters'!$A$2:$M$113,6, FALSE)</f>
        <v>14.4</v>
      </c>
      <c r="F78" s="271">
        <f>VLOOKUP(F6,'Feed parameters'!$A$2:$M$113,6, FALSE)</f>
        <v>1.65</v>
      </c>
      <c r="G78" s="271">
        <f>VLOOKUP(G6,FEED_P[[#All],[Feed]:[DE (fraction)]],6, FALSE)</f>
        <v>2.5148999999999999</v>
      </c>
      <c r="H78" s="271">
        <f>VLOOKUP(H6,'Feed parameters'!$A$2:$M$113,6, FALSE)</f>
        <v>1.21</v>
      </c>
      <c r="I78" s="271">
        <f>VLOOKUP(I6,'Feed parameters'!$A$2:$M$113,6, FALSE)</f>
        <v>3.3930000000000002</v>
      </c>
      <c r="J78" s="271">
        <f>VLOOKUP(J6,'Feed parameters'!$A$2:$M$113,6, FALSE)</f>
        <v>3.6</v>
      </c>
      <c r="K78" s="271">
        <f>VLOOKUP(K6,'Feed parameters'!$A$2:$M$113,6, FALSE)</f>
        <v>0</v>
      </c>
      <c r="L78" s="382">
        <f>IFERROR(SUMPRODUCT(E77:K77,E78:K78)/ SUM(E77:K77),0)</f>
        <v>0</v>
      </c>
      <c r="M78" s="389" t="s">
        <v>815</v>
      </c>
      <c r="N78" s="271">
        <f>N71</f>
        <v>14.4</v>
      </c>
      <c r="O78" s="271">
        <f t="shared" ref="O78:T78" si="158">O71</f>
        <v>1.65</v>
      </c>
      <c r="P78" s="271">
        <f t="shared" si="158"/>
        <v>2.5148999999999999</v>
      </c>
      <c r="Q78" s="271">
        <f t="shared" si="158"/>
        <v>1.21</v>
      </c>
      <c r="R78" s="271">
        <f t="shared" si="158"/>
        <v>3.3930000000000002</v>
      </c>
      <c r="S78" s="271">
        <f t="shared" si="158"/>
        <v>3.6</v>
      </c>
      <c r="T78" s="271">
        <f t="shared" si="158"/>
        <v>0</v>
      </c>
      <c r="U78" s="388">
        <f>IFERROR(SUMPRODUCT(N77:T77,N78:T78)/ SUM(N77:T77),0)</f>
        <v>0</v>
      </c>
      <c r="V78" s="389" t="s">
        <v>815</v>
      </c>
      <c r="W78" s="271">
        <f>W71</f>
        <v>14.4</v>
      </c>
      <c r="X78" s="271">
        <f t="shared" ref="X78:AC78" si="159">X71</f>
        <v>1.65</v>
      </c>
      <c r="Y78" s="271">
        <f t="shared" si="159"/>
        <v>2.5148999999999999</v>
      </c>
      <c r="Z78" s="271">
        <f t="shared" si="159"/>
        <v>1.21</v>
      </c>
      <c r="AA78" s="271">
        <f t="shared" si="159"/>
        <v>3.3930000000000002</v>
      </c>
      <c r="AB78" s="271">
        <f t="shared" si="159"/>
        <v>3.6</v>
      </c>
      <c r="AC78" s="271">
        <f t="shared" si="159"/>
        <v>0</v>
      </c>
      <c r="AD78" s="388">
        <f>IFERROR(SUMPRODUCT(W77:AC77,W78:AC78)/ SUM(W77:AC77),0)</f>
        <v>0</v>
      </c>
      <c r="AE78" s="583">
        <f>L78*$G$3+U78*$P$3</f>
        <v>0</v>
      </c>
      <c r="AF78" s="493" t="e">
        <f>L78*$G$3/(L81*0.01)+U78*$P$3/(U81*0.01)</f>
        <v>#DIV/0!</v>
      </c>
    </row>
    <row r="79" spans="2:32" s="145" customFormat="1">
      <c r="B79" s="519"/>
      <c r="C79" s="537"/>
      <c r="D79" s="513" t="s">
        <v>816</v>
      </c>
      <c r="E79" s="381">
        <f>VLOOKUP(E6,'Feed parameters'!$A$2:$M$113,7, FALSE)</f>
        <v>0.79859999999999998</v>
      </c>
      <c r="F79" s="271">
        <f>VLOOKUP(F6,'Feed parameters'!$A$2:$M$113,7, FALSE)</f>
        <v>0.65213596800000007</v>
      </c>
      <c r="G79" s="271">
        <f>VLOOKUP(G6,FEED_P[[#All],[Feed]:[DE (fraction)]],7, FALSE)</f>
        <v>0.53459999999999996</v>
      </c>
      <c r="H79" s="271">
        <f>VLOOKUP(H6,'Feed parameters'!$A$2:$M$113,7, FALSE)</f>
        <v>0.5411999999999999</v>
      </c>
      <c r="I79" s="271">
        <f>VLOOKUP(I6,'Feed parameters'!$A$2:$M$113,7, FALSE)</f>
        <v>0.45539999999999997</v>
      </c>
      <c r="J79" s="271">
        <f>VLOOKUP(J6,'Feed parameters'!$A$2:$M$113,7, FALSE)</f>
        <v>0.33</v>
      </c>
      <c r="K79" s="271">
        <f>VLOOKUP(K6,'Feed parameters'!$A$2:$M$113,7, FALSE)</f>
        <v>0</v>
      </c>
      <c r="L79" s="382">
        <f>IFERROR(SUMPRODUCT(E77:K77,E79:K79)/ SUM(E77:K77),0)</f>
        <v>0</v>
      </c>
      <c r="M79" s="389" t="s">
        <v>816</v>
      </c>
      <c r="N79" s="271">
        <f t="shared" ref="N79:T81" si="160">N72</f>
        <v>0.79859999999999998</v>
      </c>
      <c r="O79" s="271">
        <f t="shared" si="160"/>
        <v>0.65213596800000007</v>
      </c>
      <c r="P79" s="271">
        <f t="shared" si="160"/>
        <v>0.53459999999999996</v>
      </c>
      <c r="Q79" s="271">
        <f t="shared" si="160"/>
        <v>0.5411999999999999</v>
      </c>
      <c r="R79" s="271">
        <f t="shared" si="160"/>
        <v>0.45539999999999997</v>
      </c>
      <c r="S79" s="271">
        <f t="shared" si="160"/>
        <v>0.33</v>
      </c>
      <c r="T79" s="271">
        <f t="shared" si="160"/>
        <v>0</v>
      </c>
      <c r="U79" s="388">
        <f>IFERROR(SUMPRODUCT(N77:T77,N79:T79)/ SUM(N77:T77),0)</f>
        <v>0</v>
      </c>
      <c r="V79" s="389" t="s">
        <v>816</v>
      </c>
      <c r="W79" s="271">
        <f t="shared" ref="W79:AC79" si="161">W72</f>
        <v>0.79859999999999998</v>
      </c>
      <c r="X79" s="271">
        <f t="shared" si="161"/>
        <v>0.65213596800000007</v>
      </c>
      <c r="Y79" s="271">
        <f t="shared" si="161"/>
        <v>0.53459999999999996</v>
      </c>
      <c r="Z79" s="271">
        <f t="shared" si="161"/>
        <v>0.5411999999999999</v>
      </c>
      <c r="AA79" s="271">
        <f t="shared" si="161"/>
        <v>0.45539999999999997</v>
      </c>
      <c r="AB79" s="271">
        <f t="shared" si="161"/>
        <v>0.33</v>
      </c>
      <c r="AC79" s="271">
        <f t="shared" si="161"/>
        <v>0</v>
      </c>
      <c r="AD79" s="388">
        <f>IFERROR(SUMPRODUCT(W77:AC77,W79:AC79)/ SUM(W77:AC77),0)</f>
        <v>0</v>
      </c>
      <c r="AE79" s="583">
        <f>L79*$G$3+U79*$P$3</f>
        <v>0</v>
      </c>
    </row>
    <row r="80" spans="2:32" s="145" customFormat="1">
      <c r="B80" s="517"/>
      <c r="C80" s="535"/>
      <c r="D80" s="513" t="s">
        <v>906</v>
      </c>
      <c r="E80" s="379">
        <f>VLOOKUP(E6,'Feed parameters'!$A$2:$M$113,4, FALSE)</f>
        <v>10.89</v>
      </c>
      <c r="F80" s="271">
        <f>VLOOKUP(F6,'Feed parameters'!$A$2:$M$113,4, FALSE)</f>
        <v>1.4821271999999999</v>
      </c>
      <c r="G80" s="271">
        <f>VLOOKUP(G6,FEED_P[[#All],[Feed]:[DE (fraction)]],4, FALSE)</f>
        <v>2.0168999999999997</v>
      </c>
      <c r="H80" s="271">
        <f>VLOOKUP(H6,'Feed parameters'!$A$2:$M$113,4, FALSE)</f>
        <v>1.8039999999999998</v>
      </c>
      <c r="I80" s="271">
        <f>VLOOKUP(I6,'Feed parameters'!$A$2:$M$113,4, FALSE)</f>
        <v>6.003000000000001</v>
      </c>
      <c r="J80" s="271">
        <f>VLOOKUP(J6,'Feed parameters'!$A$2:$M$113,4, FALSE)</f>
        <v>3</v>
      </c>
      <c r="K80" s="271">
        <f>VLOOKUP(K6,'Feed parameters'!$A$2:$M$113,4, FALSE)</f>
        <v>0</v>
      </c>
      <c r="L80" s="380">
        <f>IFERROR(SUMPRODUCT(E77:K77,E80:K80)/ SUM(E77:K77),0)</f>
        <v>0</v>
      </c>
      <c r="M80" s="389" t="s">
        <v>906</v>
      </c>
      <c r="N80" s="271">
        <f t="shared" si="160"/>
        <v>10.89</v>
      </c>
      <c r="O80" s="271">
        <f t="shared" si="160"/>
        <v>1.4821271999999999</v>
      </c>
      <c r="P80" s="271">
        <f t="shared" si="160"/>
        <v>2.0168999999999997</v>
      </c>
      <c r="Q80" s="271">
        <f t="shared" si="160"/>
        <v>1.8039999999999998</v>
      </c>
      <c r="R80" s="271">
        <f t="shared" si="160"/>
        <v>6.003000000000001</v>
      </c>
      <c r="S80" s="271">
        <f t="shared" si="160"/>
        <v>3</v>
      </c>
      <c r="T80" s="271">
        <f t="shared" si="160"/>
        <v>0</v>
      </c>
      <c r="U80" s="387">
        <f>IFERROR(SUMPRODUCT(N77:T77,N80:T80)/ SUM(N77:T77),0)</f>
        <v>0</v>
      </c>
      <c r="V80" s="389" t="s">
        <v>906</v>
      </c>
      <c r="W80" s="271">
        <f t="shared" ref="W80:AC80" si="162">W73</f>
        <v>10.89</v>
      </c>
      <c r="X80" s="271">
        <f t="shared" si="162"/>
        <v>1.4821271999999999</v>
      </c>
      <c r="Y80" s="271">
        <f t="shared" si="162"/>
        <v>2.0168999999999997</v>
      </c>
      <c r="Z80" s="271">
        <f t="shared" si="162"/>
        <v>1.8039999999999998</v>
      </c>
      <c r="AA80" s="271">
        <f t="shared" si="162"/>
        <v>6.003000000000001</v>
      </c>
      <c r="AB80" s="271">
        <f t="shared" si="162"/>
        <v>3</v>
      </c>
      <c r="AC80" s="271">
        <f t="shared" si="162"/>
        <v>0</v>
      </c>
      <c r="AD80" s="387">
        <f>IFERROR(SUMPRODUCT(W77:AC77,W80:AC80)/ SUM(W77:AC77),0)</f>
        <v>0</v>
      </c>
      <c r="AE80" s="583"/>
    </row>
    <row r="81" spans="2:32" s="145" customFormat="1">
      <c r="B81" s="512"/>
      <c r="C81" s="531"/>
      <c r="D81" s="513" t="s">
        <v>1154</v>
      </c>
      <c r="E81" s="379">
        <f>VLOOKUP(E6,'Feed parameters'!$A$2:$M$113,2, FALSE)</f>
        <v>90</v>
      </c>
      <c r="F81" s="271">
        <f>VLOOKUP(F6,'Feed parameters'!$A$2:$M$113,2, FALSE)</f>
        <v>15</v>
      </c>
      <c r="G81" s="271">
        <f>VLOOKUP(G6,FEED_P[[#All],[Feed]:[DE (fraction)]],2, FALSE)</f>
        <v>24.9</v>
      </c>
      <c r="H81" s="271">
        <f>VLOOKUP(H6,'Feed parameters'!$A$2:$M$113,2, FALSE)</f>
        <v>22</v>
      </c>
      <c r="I81" s="271">
        <f>VLOOKUP(I6,'Feed parameters'!$A$2:$M$113,2, FALSE)</f>
        <v>87</v>
      </c>
      <c r="J81" s="271">
        <f>VLOOKUP(J6,'Feed parameters'!$A$2:$M$113,2, FALSE)</f>
        <v>60</v>
      </c>
      <c r="K81" s="271">
        <f>VLOOKUP(K6,'Feed parameters'!$A$2:$M$113,2, FALSE)</f>
        <v>0</v>
      </c>
      <c r="L81" s="380">
        <f>IFERROR(SUMPRODUCT(E77:K77,E81:K81)/ SUM(E77:K77),0)</f>
        <v>0</v>
      </c>
      <c r="M81" s="557" t="s">
        <v>1154</v>
      </c>
      <c r="N81" s="271">
        <f t="shared" si="160"/>
        <v>90</v>
      </c>
      <c r="O81" s="271">
        <f t="shared" si="160"/>
        <v>15</v>
      </c>
      <c r="P81" s="271">
        <f t="shared" si="160"/>
        <v>24.9</v>
      </c>
      <c r="Q81" s="271">
        <f t="shared" si="160"/>
        <v>22</v>
      </c>
      <c r="R81" s="271">
        <f t="shared" si="160"/>
        <v>87</v>
      </c>
      <c r="S81" s="271">
        <f t="shared" si="160"/>
        <v>60</v>
      </c>
      <c r="T81" s="271">
        <f t="shared" si="160"/>
        <v>0</v>
      </c>
      <c r="U81" s="387">
        <f>IFERROR(SUMPRODUCT(N77:T77,N81:T81)/ SUM(N77:T77),0)</f>
        <v>0</v>
      </c>
      <c r="V81" s="557" t="s">
        <v>1154</v>
      </c>
      <c r="W81" s="271">
        <f t="shared" ref="W81:AC81" si="163">W74</f>
        <v>90</v>
      </c>
      <c r="X81" s="271">
        <f t="shared" si="163"/>
        <v>15</v>
      </c>
      <c r="Y81" s="271">
        <f t="shared" si="163"/>
        <v>24.9</v>
      </c>
      <c r="Z81" s="271">
        <f t="shared" si="163"/>
        <v>22</v>
      </c>
      <c r="AA81" s="271">
        <f t="shared" si="163"/>
        <v>87</v>
      </c>
      <c r="AB81" s="271">
        <f t="shared" si="163"/>
        <v>60</v>
      </c>
      <c r="AC81" s="271">
        <f t="shared" si="163"/>
        <v>0</v>
      </c>
      <c r="AD81" s="387">
        <f>IFERROR(SUMPRODUCT(W77:AC77,W81:AC81)/ SUM(W77:AC77),0)</f>
        <v>0</v>
      </c>
      <c r="AE81" s="583">
        <f>L81*$G$3+U81*$P$3</f>
        <v>0</v>
      </c>
    </row>
    <row r="82" spans="2:32" s="145" customFormat="1">
      <c r="B82" s="512"/>
      <c r="C82" s="531"/>
      <c r="D82" s="513" t="s">
        <v>1172</v>
      </c>
      <c r="E82" s="379">
        <f>IFERROR((E77*E81)/SUMPRODUCT($E77:$K77,$E81:$K81), 0)</f>
        <v>0</v>
      </c>
      <c r="F82" s="271">
        <f t="shared" ref="F82:K82" si="164">IFERROR((F77*F81)/SUMPRODUCT($E77:$K77,$E81:$K81), 0)</f>
        <v>0</v>
      </c>
      <c r="G82" s="271">
        <f t="shared" si="164"/>
        <v>0</v>
      </c>
      <c r="H82" s="271">
        <f t="shared" si="164"/>
        <v>0</v>
      </c>
      <c r="I82" s="271">
        <f t="shared" si="164"/>
        <v>0</v>
      </c>
      <c r="J82" s="271">
        <f t="shared" si="164"/>
        <v>0</v>
      </c>
      <c r="K82" s="271">
        <f t="shared" si="164"/>
        <v>0</v>
      </c>
      <c r="L82" s="380"/>
      <c r="M82" s="557" t="s">
        <v>1172</v>
      </c>
      <c r="N82" s="271">
        <f t="shared" ref="N82:T82" si="165">IFERROR((N77*N81)/SUMPRODUCT($N77:$T77,$N81:$T81),0)</f>
        <v>0</v>
      </c>
      <c r="O82" s="271">
        <f t="shared" si="165"/>
        <v>0</v>
      </c>
      <c r="P82" s="271">
        <f t="shared" si="165"/>
        <v>0</v>
      </c>
      <c r="Q82" s="271">
        <f t="shared" si="165"/>
        <v>0</v>
      </c>
      <c r="R82" s="271">
        <f t="shared" si="165"/>
        <v>0</v>
      </c>
      <c r="S82" s="271">
        <f t="shared" si="165"/>
        <v>0</v>
      </c>
      <c r="T82" s="271">
        <f t="shared" si="165"/>
        <v>0</v>
      </c>
      <c r="U82" s="387"/>
      <c r="V82" s="557" t="s">
        <v>1172</v>
      </c>
      <c r="W82" s="271">
        <f>IFERROR((W77*W81)/SUMPRODUCT($W77:$AC77,$W81:$AC81), 0)</f>
        <v>0</v>
      </c>
      <c r="X82" s="271">
        <f t="shared" ref="X82" si="166">IFERROR((X77*X81)/SUMPRODUCT($W77:$AC77,$W81:$AC81), 0)</f>
        <v>0</v>
      </c>
      <c r="Y82" s="271">
        <f t="shared" ref="Y82" si="167">IFERROR((Y77*Y81)/SUMPRODUCT($W77:$AC77,$W81:$AC81), 0)</f>
        <v>0</v>
      </c>
      <c r="Z82" s="271">
        <f t="shared" ref="Z82" si="168">IFERROR((Z77*Z81)/SUMPRODUCT($W77:$AC77,$W81:$AC81), 0)</f>
        <v>0</v>
      </c>
      <c r="AA82" s="271">
        <f t="shared" ref="AA82" si="169">IFERROR((AA77*AA81)/SUMPRODUCT($W77:$AC77,$W81:$AC81), 0)</f>
        <v>0</v>
      </c>
      <c r="AB82" s="271">
        <f t="shared" ref="AB82" si="170">IFERROR((AB77*AB81)/SUMPRODUCT($W77:$AC77,$W81:$AC81), 0)</f>
        <v>0</v>
      </c>
      <c r="AC82" s="271">
        <f t="shared" ref="AC82" si="171">IFERROR((AC77*AC81)/SUMPRODUCT($W77:$AC77,$W81:$AC81), 0)</f>
        <v>0</v>
      </c>
      <c r="AD82" s="387"/>
      <c r="AE82" s="583"/>
    </row>
    <row r="83" spans="2:32" s="145" customFormat="1">
      <c r="B83" s="512"/>
      <c r="C83" s="531"/>
      <c r="D83" s="513"/>
      <c r="E83" s="379"/>
      <c r="F83" s="271"/>
      <c r="G83" s="271"/>
      <c r="H83" s="271"/>
      <c r="I83" s="271"/>
      <c r="J83" s="271"/>
      <c r="K83" s="271"/>
      <c r="L83" s="380"/>
      <c r="M83" s="557"/>
      <c r="N83" s="271"/>
      <c r="O83" s="271"/>
      <c r="P83" s="271"/>
      <c r="Q83" s="271"/>
      <c r="R83" s="271"/>
      <c r="S83" s="271"/>
      <c r="T83" s="271"/>
      <c r="U83" s="387"/>
      <c r="V83" s="557"/>
      <c r="W83" s="271"/>
      <c r="X83" s="271"/>
      <c r="Y83" s="271"/>
      <c r="Z83" s="271"/>
      <c r="AA83" s="271"/>
      <c r="AB83" s="271"/>
      <c r="AC83" s="271"/>
      <c r="AD83" s="387"/>
      <c r="AE83" s="583"/>
    </row>
    <row r="84" spans="2:32" s="145" customFormat="1">
      <c r="B84" s="518">
        <f>INPUTS!C30</f>
        <v>0</v>
      </c>
      <c r="C84" s="531"/>
      <c r="D84" s="511" t="s">
        <v>1171</v>
      </c>
      <c r="E84" s="377">
        <f>INPUTS!N60</f>
        <v>0</v>
      </c>
      <c r="F84" s="1150">
        <f>INPUTS!N61</f>
        <v>0</v>
      </c>
      <c r="G84" s="1150">
        <f>INPUTS!N62</f>
        <v>0</v>
      </c>
      <c r="H84" s="1150">
        <f>INPUTS!N63</f>
        <v>0</v>
      </c>
      <c r="I84" s="1150">
        <f>INPUTS!N64</f>
        <v>0</v>
      </c>
      <c r="J84" s="1150">
        <f>INPUTS!N65</f>
        <v>0</v>
      </c>
      <c r="K84" s="1150">
        <f>INPUTS!N66</f>
        <v>0</v>
      </c>
      <c r="L84" s="378"/>
      <c r="M84" s="557" t="s">
        <v>1171</v>
      </c>
      <c r="N84" s="271">
        <f>INPUTS!AC60</f>
        <v>0</v>
      </c>
      <c r="O84" s="271">
        <f>INPUTS!AC61</f>
        <v>0</v>
      </c>
      <c r="P84" s="271">
        <f>INPUTS!AC62</f>
        <v>0</v>
      </c>
      <c r="Q84" s="271">
        <f>INPUTS!AC63</f>
        <v>0</v>
      </c>
      <c r="R84" s="271">
        <f>INPUTS!AC64</f>
        <v>0</v>
      </c>
      <c r="S84" s="271">
        <f>INPUTS!AC65</f>
        <v>0</v>
      </c>
      <c r="T84" s="271">
        <f>INPUTS!AC66</f>
        <v>0</v>
      </c>
      <c r="U84" s="387"/>
      <c r="V84" s="557" t="s">
        <v>1171</v>
      </c>
      <c r="W84" s="271">
        <f>INPUTS!AR60</f>
        <v>0</v>
      </c>
      <c r="X84" s="271">
        <f>INPUTS!AR61</f>
        <v>0</v>
      </c>
      <c r="Y84" s="271">
        <f>INPUTS!AR62</f>
        <v>0</v>
      </c>
      <c r="Z84" s="271">
        <f>INPUTS!AR63</f>
        <v>0</v>
      </c>
      <c r="AA84" s="271">
        <f>INPUTS!AR64</f>
        <v>0</v>
      </c>
      <c r="AB84" s="271">
        <f>INPUTS!AR65</f>
        <v>0</v>
      </c>
      <c r="AC84" s="271">
        <f>INPUTS!AR66</f>
        <v>0</v>
      </c>
      <c r="AD84" s="387"/>
      <c r="AE84" s="582"/>
      <c r="AF84" s="302"/>
    </row>
    <row r="85" spans="2:32" s="145" customFormat="1">
      <c r="B85" s="512"/>
      <c r="C85" s="531"/>
      <c r="D85" s="513" t="s">
        <v>815</v>
      </c>
      <c r="E85" s="381">
        <f>VLOOKUP(E6,'Feed parameters'!$A$2:$M$113,6, FALSE)</f>
        <v>14.4</v>
      </c>
      <c r="F85" s="271">
        <f>VLOOKUP(F6,'Feed parameters'!$A$2:$M$113,6, FALSE)</f>
        <v>1.65</v>
      </c>
      <c r="G85" s="271">
        <f>VLOOKUP(G6,'Feed parameters'!A2:G114,6, FALSE)</f>
        <v>2.5148999999999999</v>
      </c>
      <c r="H85" s="271">
        <f>VLOOKUP(H6,'Feed parameters'!$A$2:$M$113,6, FALSE)</f>
        <v>1.21</v>
      </c>
      <c r="I85" s="271">
        <f>VLOOKUP(I6,'Feed parameters'!$A$2:$M$113,6, FALSE)</f>
        <v>3.3930000000000002</v>
      </c>
      <c r="J85" s="271">
        <f>VLOOKUP(J6,'Feed parameters'!$A$2:$M$113,6, FALSE)</f>
        <v>3.6</v>
      </c>
      <c r="K85" s="271">
        <f>VLOOKUP(K6,'Feed parameters'!$A$2:$M$113,6, FALSE)</f>
        <v>0</v>
      </c>
      <c r="L85" s="382">
        <f>IFERROR(SUMPRODUCT(E84:K84,E85:K85)/ SUM(E84:K84),0)</f>
        <v>0</v>
      </c>
      <c r="M85" s="557" t="s">
        <v>815</v>
      </c>
      <c r="N85" s="271">
        <f>N78</f>
        <v>14.4</v>
      </c>
      <c r="O85" s="271">
        <f t="shared" ref="O85:T85" si="172">O64</f>
        <v>1.65</v>
      </c>
      <c r="P85" s="271">
        <f t="shared" si="172"/>
        <v>2.5148999999999999</v>
      </c>
      <c r="Q85" s="271">
        <f t="shared" si="172"/>
        <v>1.21</v>
      </c>
      <c r="R85" s="271">
        <f t="shared" si="172"/>
        <v>3.3930000000000002</v>
      </c>
      <c r="S85" s="271">
        <f t="shared" si="172"/>
        <v>3.6</v>
      </c>
      <c r="T85" s="271">
        <f t="shared" si="172"/>
        <v>0</v>
      </c>
      <c r="U85" s="387">
        <f>IFERROR(SUMPRODUCT(N84:T84,N85:T85)/ SUM(N84:T84),0)</f>
        <v>0</v>
      </c>
      <c r="V85" s="557" t="s">
        <v>815</v>
      </c>
      <c r="W85" s="271">
        <f>W78</f>
        <v>14.4</v>
      </c>
      <c r="X85" s="271">
        <f t="shared" ref="X85:AC85" si="173">X64</f>
        <v>1.65</v>
      </c>
      <c r="Y85" s="271">
        <f t="shared" si="173"/>
        <v>2.5148999999999999</v>
      </c>
      <c r="Z85" s="271">
        <f t="shared" si="173"/>
        <v>1.21</v>
      </c>
      <c r="AA85" s="271">
        <f t="shared" si="173"/>
        <v>3.3930000000000002</v>
      </c>
      <c r="AB85" s="271">
        <f t="shared" si="173"/>
        <v>3.6</v>
      </c>
      <c r="AC85" s="271">
        <f t="shared" si="173"/>
        <v>0</v>
      </c>
      <c r="AD85" s="387">
        <f>IFERROR(SUMPRODUCT(W84:AC84,W85:AC85)/ SUM(W84:AC84),0)</f>
        <v>0</v>
      </c>
      <c r="AE85" s="583">
        <f>L85*$G$3+U85*$P$3</f>
        <v>0</v>
      </c>
      <c r="AF85" s="493" t="e">
        <f>L85*$G$3/(L88*0.01)+U85*$P$3/(U88*0.01)</f>
        <v>#DIV/0!</v>
      </c>
    </row>
    <row r="86" spans="2:32" s="145" customFormat="1">
      <c r="B86" s="512"/>
      <c r="C86" s="531"/>
      <c r="D86" s="513" t="s">
        <v>816</v>
      </c>
      <c r="E86" s="381">
        <f>VLOOKUP(E6,'Feed parameters'!$A$2:$M$113,7, FALSE)</f>
        <v>0.79859999999999998</v>
      </c>
      <c r="F86" s="271">
        <f>VLOOKUP(F6,'Feed parameters'!$A$2:$M$113,7, FALSE)</f>
        <v>0.65213596800000007</v>
      </c>
      <c r="G86" s="271">
        <f>VLOOKUP(G6,'Feed parameters'!A2:G114,7, FALSE)</f>
        <v>0.53459999999999996</v>
      </c>
      <c r="H86" s="271">
        <f>VLOOKUP(H6,'Feed parameters'!$A$2:$M$113,7, FALSE)</f>
        <v>0.5411999999999999</v>
      </c>
      <c r="I86" s="271">
        <f>VLOOKUP(I6,'Feed parameters'!$A$2:$M$113,7, FALSE)</f>
        <v>0.45539999999999997</v>
      </c>
      <c r="J86" s="271">
        <f>VLOOKUP(J6,'Feed parameters'!$A$2:$M$113,7, FALSE)</f>
        <v>0.33</v>
      </c>
      <c r="K86" s="271">
        <f>VLOOKUP(K6,'Feed parameters'!$A$2:$M$113,7, FALSE)</f>
        <v>0</v>
      </c>
      <c r="L86" s="382">
        <f>IFERROR(SUMPRODUCT(E84:K84,E86:K86)/ SUM(E84:K84),0)</f>
        <v>0</v>
      </c>
      <c r="M86" s="557" t="s">
        <v>816</v>
      </c>
      <c r="N86" s="271">
        <f t="shared" ref="N86:N88" si="174">N79</f>
        <v>0.79859999999999998</v>
      </c>
      <c r="O86" s="271">
        <f t="shared" ref="O86:T86" si="175">O65</f>
        <v>0.65213596800000007</v>
      </c>
      <c r="P86" s="271">
        <f t="shared" si="175"/>
        <v>0.53459999999999996</v>
      </c>
      <c r="Q86" s="271">
        <f t="shared" si="175"/>
        <v>0.5411999999999999</v>
      </c>
      <c r="R86" s="271">
        <f t="shared" si="175"/>
        <v>0.45539999999999997</v>
      </c>
      <c r="S86" s="271">
        <f t="shared" si="175"/>
        <v>0.33</v>
      </c>
      <c r="T86" s="271">
        <f t="shared" si="175"/>
        <v>0</v>
      </c>
      <c r="U86" s="387">
        <f>IFERROR(SUMPRODUCT(N84:T84,N86:T86)/ SUM(N84:T84),0)</f>
        <v>0</v>
      </c>
      <c r="V86" s="557" t="s">
        <v>816</v>
      </c>
      <c r="W86" s="271">
        <f t="shared" ref="W86:W88" si="176">W79</f>
        <v>0.79859999999999998</v>
      </c>
      <c r="X86" s="271">
        <f t="shared" ref="X86:AC86" si="177">X65</f>
        <v>0.65213596800000007</v>
      </c>
      <c r="Y86" s="271">
        <f t="shared" si="177"/>
        <v>0.53459999999999996</v>
      </c>
      <c r="Z86" s="271">
        <f t="shared" si="177"/>
        <v>0.5411999999999999</v>
      </c>
      <c r="AA86" s="271">
        <f t="shared" si="177"/>
        <v>0.45539999999999997</v>
      </c>
      <c r="AB86" s="271">
        <f t="shared" si="177"/>
        <v>0.33</v>
      </c>
      <c r="AC86" s="271">
        <f t="shared" si="177"/>
        <v>0</v>
      </c>
      <c r="AD86" s="387">
        <f>IFERROR(SUMPRODUCT(W84:AC84,W86:AC86)/ SUM(W84:AC84),0)</f>
        <v>0</v>
      </c>
      <c r="AE86" s="583">
        <f>L86*$G$3+U86*$P$3</f>
        <v>0</v>
      </c>
    </row>
    <row r="87" spans="2:32" s="145" customFormat="1">
      <c r="B87" s="512"/>
      <c r="C87" s="531"/>
      <c r="D87" s="513" t="s">
        <v>906</v>
      </c>
      <c r="E87" s="379">
        <f>VLOOKUP(E6,'Feed parameters'!$A$2:$M$113,4, FALSE)</f>
        <v>10.89</v>
      </c>
      <c r="F87" s="271">
        <f>VLOOKUP(F6,'Feed parameters'!$A$2:$M$113,4, FALSE)</f>
        <v>1.4821271999999999</v>
      </c>
      <c r="G87" s="271">
        <f>VLOOKUP(G6,'Feed parameters'!A2:G114,4, FALSE)</f>
        <v>2.0168999999999997</v>
      </c>
      <c r="H87" s="271">
        <f>VLOOKUP(H6,'Feed parameters'!$A$2:$M$113,4, FALSE)</f>
        <v>1.8039999999999998</v>
      </c>
      <c r="I87" s="271">
        <f>VLOOKUP(I6,'Feed parameters'!$A$2:$M$113,4, FALSE)</f>
        <v>6.003000000000001</v>
      </c>
      <c r="J87" s="271">
        <f>VLOOKUP(J6,'Feed parameters'!$A$2:$M$113,4, FALSE)</f>
        <v>3</v>
      </c>
      <c r="K87" s="271">
        <f>VLOOKUP(K6,'Feed parameters'!$A$2:$M$113,4, FALSE)</f>
        <v>0</v>
      </c>
      <c r="L87" s="380">
        <f>IFERROR(SUMPRODUCT(E84:K84,E87:K87)/ SUM(E84:K84),0)</f>
        <v>0</v>
      </c>
      <c r="M87" s="557" t="s">
        <v>906</v>
      </c>
      <c r="N87" s="271">
        <f t="shared" si="174"/>
        <v>10.89</v>
      </c>
      <c r="O87" s="271">
        <f t="shared" ref="O87:T87" si="178">O66</f>
        <v>1.4821271999999999</v>
      </c>
      <c r="P87" s="271">
        <f t="shared" si="178"/>
        <v>2.0168999999999997</v>
      </c>
      <c r="Q87" s="271">
        <f t="shared" si="178"/>
        <v>1.8039999999999998</v>
      </c>
      <c r="R87" s="271">
        <f t="shared" si="178"/>
        <v>6.003000000000001</v>
      </c>
      <c r="S87" s="271">
        <f t="shared" si="178"/>
        <v>3</v>
      </c>
      <c r="T87" s="271">
        <f t="shared" si="178"/>
        <v>0</v>
      </c>
      <c r="U87" s="387">
        <f>IFERROR(SUMPRODUCT(N84:T84,N87:T87)/ SUM(N84:T84),0)</f>
        <v>0</v>
      </c>
      <c r="V87" s="557" t="s">
        <v>906</v>
      </c>
      <c r="W87" s="271">
        <f t="shared" si="176"/>
        <v>10.89</v>
      </c>
      <c r="X87" s="271">
        <f t="shared" ref="X87:AC87" si="179">X66</f>
        <v>1.4821271999999999</v>
      </c>
      <c r="Y87" s="271">
        <f t="shared" si="179"/>
        <v>2.0168999999999997</v>
      </c>
      <c r="Z87" s="271">
        <f t="shared" si="179"/>
        <v>1.8039999999999998</v>
      </c>
      <c r="AA87" s="271">
        <f t="shared" si="179"/>
        <v>6.003000000000001</v>
      </c>
      <c r="AB87" s="271">
        <f t="shared" si="179"/>
        <v>3</v>
      </c>
      <c r="AC87" s="271">
        <f t="shared" si="179"/>
        <v>0</v>
      </c>
      <c r="AD87" s="387">
        <f>IFERROR(SUMPRODUCT(W84:AC84,W87:AC87)/ SUM(W84:AC84),0)</f>
        <v>0</v>
      </c>
      <c r="AE87" s="583"/>
    </row>
    <row r="88" spans="2:32" s="145" customFormat="1">
      <c r="B88" s="512"/>
      <c r="C88" s="531"/>
      <c r="D88" s="513" t="s">
        <v>1154</v>
      </c>
      <c r="E88" s="379">
        <f>VLOOKUP(E6,'Feed parameters'!$A$2:$M$113,2, FALSE)</f>
        <v>90</v>
      </c>
      <c r="F88" s="271">
        <f>VLOOKUP(F6,'Feed parameters'!$A$2:$M$113,2, FALSE)</f>
        <v>15</v>
      </c>
      <c r="G88" s="271">
        <f>VLOOKUP(G6,'Feed parameters'!A2:G114,2, FALSE)</f>
        <v>24.9</v>
      </c>
      <c r="H88" s="271">
        <f>VLOOKUP(H6,'Feed parameters'!$A$2:$M$113,2, FALSE)</f>
        <v>22</v>
      </c>
      <c r="I88" s="271">
        <f>VLOOKUP(I6,'Feed parameters'!$A$2:$M$113,2, FALSE)</f>
        <v>87</v>
      </c>
      <c r="J88" s="271">
        <f>VLOOKUP(J6,'Feed parameters'!$A$2:$M$113,2, FALSE)</f>
        <v>60</v>
      </c>
      <c r="K88" s="271">
        <f>VLOOKUP(K6,'Feed parameters'!$A$2:$M$113,2, FALSE)</f>
        <v>0</v>
      </c>
      <c r="L88" s="380">
        <f>IFERROR(SUMPRODUCT(E84:K84,E88:K88)/ SUM(E84:K84),0)</f>
        <v>0</v>
      </c>
      <c r="M88" s="557" t="s">
        <v>1154</v>
      </c>
      <c r="N88" s="271">
        <f t="shared" si="174"/>
        <v>90</v>
      </c>
      <c r="O88" s="271">
        <f t="shared" ref="O88:T88" si="180">O67</f>
        <v>15</v>
      </c>
      <c r="P88" s="271">
        <f t="shared" si="180"/>
        <v>24.9</v>
      </c>
      <c r="Q88" s="271">
        <f t="shared" si="180"/>
        <v>22</v>
      </c>
      <c r="R88" s="271">
        <f t="shared" si="180"/>
        <v>87</v>
      </c>
      <c r="S88" s="271">
        <f t="shared" si="180"/>
        <v>60</v>
      </c>
      <c r="T88" s="271">
        <f t="shared" si="180"/>
        <v>0</v>
      </c>
      <c r="U88" s="387">
        <f>IFERROR(SUMPRODUCT(N84:T84,N88:T88)/ SUM(N84:T84),0)</f>
        <v>0</v>
      </c>
      <c r="V88" s="557" t="s">
        <v>1154</v>
      </c>
      <c r="W88" s="271">
        <f t="shared" si="176"/>
        <v>90</v>
      </c>
      <c r="X88" s="271">
        <f t="shared" ref="X88:AC88" si="181">X67</f>
        <v>15</v>
      </c>
      <c r="Y88" s="271">
        <f t="shared" si="181"/>
        <v>24.9</v>
      </c>
      <c r="Z88" s="271">
        <f t="shared" si="181"/>
        <v>22</v>
      </c>
      <c r="AA88" s="271">
        <f t="shared" si="181"/>
        <v>87</v>
      </c>
      <c r="AB88" s="271">
        <f t="shared" si="181"/>
        <v>60</v>
      </c>
      <c r="AC88" s="271">
        <f t="shared" si="181"/>
        <v>0</v>
      </c>
      <c r="AD88" s="387">
        <f>IFERROR(SUMPRODUCT(W84:AC84,W88:AC88)/ SUM(W84:AC84),0)</f>
        <v>0</v>
      </c>
      <c r="AE88" s="583">
        <f>L88*$G$3+U88*$P$3</f>
        <v>0</v>
      </c>
    </row>
    <row r="89" spans="2:32" s="145" customFormat="1">
      <c r="B89" s="512"/>
      <c r="C89" s="531"/>
      <c r="D89" s="513" t="s">
        <v>1172</v>
      </c>
      <c r="E89" s="379">
        <f>IFERROR((E84*E88)/SUMPRODUCT($E84:$K84,$E88:$K88), 0)</f>
        <v>0</v>
      </c>
      <c r="F89" s="271">
        <f>IFERROR((F84*F88)/SUMPRODUCT($E84:$K84,$E88:$K88), 0)</f>
        <v>0</v>
      </c>
      <c r="G89" s="271">
        <f t="shared" ref="G89:K89" si="182">IFERROR((G84*G88)/SUMPRODUCT($E84:$K84,$E88:$K88), 0)</f>
        <v>0</v>
      </c>
      <c r="H89" s="271">
        <f t="shared" si="182"/>
        <v>0</v>
      </c>
      <c r="I89" s="271">
        <f t="shared" si="182"/>
        <v>0</v>
      </c>
      <c r="J89" s="271">
        <f t="shared" si="182"/>
        <v>0</v>
      </c>
      <c r="K89" s="271">
        <f t="shared" si="182"/>
        <v>0</v>
      </c>
      <c r="L89" s="380"/>
      <c r="M89" s="557" t="s">
        <v>1172</v>
      </c>
      <c r="N89" s="271">
        <f t="shared" ref="N89" si="183">IFERROR((N84*N88)/SUMPRODUCT($N84:$T84,$N88:$T88),0)</f>
        <v>0</v>
      </c>
      <c r="O89" s="271">
        <f t="shared" ref="O89:T89" si="184">IFERROR((O84*O88)/SUMPRODUCT($N84:$T84,$N88:$T88),0)</f>
        <v>0</v>
      </c>
      <c r="P89" s="271">
        <f t="shared" si="184"/>
        <v>0</v>
      </c>
      <c r="Q89" s="271">
        <f t="shared" si="184"/>
        <v>0</v>
      </c>
      <c r="R89" s="271">
        <f t="shared" si="184"/>
        <v>0</v>
      </c>
      <c r="S89" s="271">
        <f t="shared" si="184"/>
        <v>0</v>
      </c>
      <c r="T89" s="271">
        <f t="shared" si="184"/>
        <v>0</v>
      </c>
      <c r="U89" s="387"/>
      <c r="V89" s="557" t="s">
        <v>1172</v>
      </c>
      <c r="W89" s="271">
        <f>IFERROR((W84*W88)/SUMPRODUCT($W84:$AC84,$W88:$AC88), 0)</f>
        <v>0</v>
      </c>
      <c r="X89" s="271">
        <f t="shared" ref="X89" si="185">IFERROR((X84*X88)/SUMPRODUCT($W84:$AC84,$W88:$AC88), 0)</f>
        <v>0</v>
      </c>
      <c r="Y89" s="271">
        <f t="shared" ref="Y89" si="186">IFERROR((Y84*Y88)/SUMPRODUCT($W84:$AC84,$W88:$AC88), 0)</f>
        <v>0</v>
      </c>
      <c r="Z89" s="271">
        <f t="shared" ref="Z89" si="187">IFERROR((Z84*Z88)/SUMPRODUCT($W84:$AC84,$W88:$AC88), 0)</f>
        <v>0</v>
      </c>
      <c r="AA89" s="271">
        <f t="shared" ref="AA89" si="188">IFERROR((AA84*AA88)/SUMPRODUCT($W84:$AC84,$W88:$AC88), 0)</f>
        <v>0</v>
      </c>
      <c r="AB89" s="271">
        <f t="shared" ref="AB89" si="189">IFERROR((AB84*AB88)/SUMPRODUCT($W84:$AC84,$W88:$AC88), 0)</f>
        <v>0</v>
      </c>
      <c r="AC89" s="271">
        <f t="shared" ref="AC89" si="190">IFERROR((AC84*AC88)/SUMPRODUCT($W84:$AC84,$W88:$AC88), 0)</f>
        <v>0</v>
      </c>
      <c r="AD89" s="387"/>
      <c r="AE89" s="583"/>
    </row>
    <row r="90" spans="2:32" s="145" customFormat="1">
      <c r="B90" s="512"/>
      <c r="C90" s="531"/>
      <c r="D90" s="513"/>
      <c r="E90" s="379"/>
      <c r="F90" s="271"/>
      <c r="G90" s="271"/>
      <c r="H90" s="271"/>
      <c r="I90" s="271"/>
      <c r="J90" s="271"/>
      <c r="K90" s="271"/>
      <c r="L90" s="380"/>
      <c r="M90" s="557"/>
      <c r="N90" s="271"/>
      <c r="O90" s="271"/>
      <c r="P90" s="271"/>
      <c r="Q90" s="271"/>
      <c r="R90" s="271"/>
      <c r="S90" s="271"/>
      <c r="T90" s="271"/>
      <c r="U90" s="387"/>
      <c r="V90" s="557"/>
      <c r="W90" s="271"/>
      <c r="X90" s="271"/>
      <c r="Y90" s="271"/>
      <c r="Z90" s="271"/>
      <c r="AA90" s="271"/>
      <c r="AB90" s="271"/>
      <c r="AC90" s="271"/>
      <c r="AD90" s="387"/>
      <c r="AE90" s="583"/>
    </row>
    <row r="91" spans="2:32" s="145" customFormat="1" ht="16.5" customHeight="1">
      <c r="B91" s="512">
        <f>INPUTS!C30</f>
        <v>0</v>
      </c>
      <c r="C91" s="531"/>
      <c r="D91" s="513" t="s">
        <v>1171</v>
      </c>
      <c r="E91" s="379">
        <f>INPUTS!O60</f>
        <v>0</v>
      </c>
      <c r="F91" s="271">
        <f>INPUTS!O61</f>
        <v>0</v>
      </c>
      <c r="G91" s="271">
        <f>INPUTS!O62</f>
        <v>0</v>
      </c>
      <c r="H91" s="271">
        <f>INPUTS!O63</f>
        <v>0</v>
      </c>
      <c r="I91" s="271">
        <f>INPUTS!O64</f>
        <v>0</v>
      </c>
      <c r="J91" s="271">
        <f>INPUTS!O65</f>
        <v>0</v>
      </c>
      <c r="K91" s="271">
        <f>INPUTS!O66</f>
        <v>0</v>
      </c>
      <c r="L91" s="380"/>
      <c r="M91" s="557" t="s">
        <v>1171</v>
      </c>
      <c r="N91" s="271">
        <f>INPUTS!AD60</f>
        <v>0</v>
      </c>
      <c r="O91" s="271">
        <f>INPUTS!AD61</f>
        <v>0</v>
      </c>
      <c r="P91" s="271">
        <f>INPUTS!AD62</f>
        <v>0</v>
      </c>
      <c r="Q91" s="271">
        <f>INPUTS!AD63</f>
        <v>0</v>
      </c>
      <c r="R91" s="271">
        <f>INPUTS!AD64</f>
        <v>0</v>
      </c>
      <c r="S91" s="271">
        <f>INPUTS!AD65</f>
        <v>0</v>
      </c>
      <c r="T91" s="271">
        <f>INPUTS!AD66</f>
        <v>0</v>
      </c>
      <c r="U91" s="387"/>
      <c r="V91" s="557" t="s">
        <v>1171</v>
      </c>
      <c r="W91" s="271">
        <f>INPUTS!AS60</f>
        <v>0</v>
      </c>
      <c r="X91" s="271">
        <f>INPUTS!AS61</f>
        <v>0</v>
      </c>
      <c r="Y91" s="271">
        <f>INPUTS!AS62</f>
        <v>0</v>
      </c>
      <c r="Z91" s="271">
        <f>INPUTS!AS63</f>
        <v>0</v>
      </c>
      <c r="AA91" s="271">
        <f>INPUTS!AS64</f>
        <v>0</v>
      </c>
      <c r="AB91" s="271">
        <f>INPUTS!AS65</f>
        <v>0</v>
      </c>
      <c r="AC91" s="271">
        <f>INPUTS!AS66</f>
        <v>0</v>
      </c>
      <c r="AD91" s="387"/>
      <c r="AE91" s="583"/>
    </row>
    <row r="92" spans="2:32" s="145" customFormat="1">
      <c r="B92" s="512"/>
      <c r="C92" s="531"/>
      <c r="D92" s="513" t="s">
        <v>815</v>
      </c>
      <c r="E92" s="379">
        <f>VLOOKUP(E6,'Feed parameters'!$A$2:$M$113,6, FALSE)</f>
        <v>14.4</v>
      </c>
      <c r="F92" s="271">
        <f>VLOOKUP(F6,'Feed parameters'!$A$2:$M$113,6, FALSE)</f>
        <v>1.65</v>
      </c>
      <c r="G92" s="271">
        <f>VLOOKUP(G6,'Feed parameters'!A2:G114,6, FALSE)</f>
        <v>2.5148999999999999</v>
      </c>
      <c r="H92" s="271">
        <f>VLOOKUP(H6,'Feed parameters'!$A$2:$M$113,6, FALSE)</f>
        <v>1.21</v>
      </c>
      <c r="I92" s="271">
        <f>VLOOKUP(I6,'Feed parameters'!$A$2:$M$113,6, FALSE)</f>
        <v>3.3930000000000002</v>
      </c>
      <c r="J92" s="271">
        <f>VLOOKUP(J6,'Feed parameters'!$A$2:$M$113,6, FALSE)</f>
        <v>3.6</v>
      </c>
      <c r="K92" s="271">
        <f>VLOOKUP(K6,'Feed parameters'!$A$2:$M$113,6, FALSE)</f>
        <v>0</v>
      </c>
      <c r="L92" s="380">
        <f>IFERROR(SUMPRODUCT(E91:K91,E92:K92)/ SUM(E91:K91),0)</f>
        <v>0</v>
      </c>
      <c r="M92" s="557" t="s">
        <v>815</v>
      </c>
      <c r="N92" s="271">
        <f>N85</f>
        <v>14.4</v>
      </c>
      <c r="O92" s="271">
        <f t="shared" ref="O92:T92" si="191">O85</f>
        <v>1.65</v>
      </c>
      <c r="P92" s="271">
        <f t="shared" si="191"/>
        <v>2.5148999999999999</v>
      </c>
      <c r="Q92" s="271">
        <f t="shared" si="191"/>
        <v>1.21</v>
      </c>
      <c r="R92" s="271">
        <f t="shared" si="191"/>
        <v>3.3930000000000002</v>
      </c>
      <c r="S92" s="271">
        <f t="shared" si="191"/>
        <v>3.6</v>
      </c>
      <c r="T92" s="271">
        <f t="shared" si="191"/>
        <v>0</v>
      </c>
      <c r="U92" s="387">
        <f>IFERROR(SUMPRODUCT(N91:T91,N92:T92)/ SUM(N91:T91),0)</f>
        <v>0</v>
      </c>
      <c r="V92" s="557" t="s">
        <v>815</v>
      </c>
      <c r="W92" s="271">
        <f>W85</f>
        <v>14.4</v>
      </c>
      <c r="X92" s="271">
        <f t="shared" ref="X92:AC92" si="192">X85</f>
        <v>1.65</v>
      </c>
      <c r="Y92" s="271">
        <f t="shared" si="192"/>
        <v>2.5148999999999999</v>
      </c>
      <c r="Z92" s="271">
        <f t="shared" si="192"/>
        <v>1.21</v>
      </c>
      <c r="AA92" s="271">
        <f t="shared" si="192"/>
        <v>3.3930000000000002</v>
      </c>
      <c r="AB92" s="271">
        <f t="shared" si="192"/>
        <v>3.6</v>
      </c>
      <c r="AC92" s="271">
        <f t="shared" si="192"/>
        <v>0</v>
      </c>
      <c r="AD92" s="387">
        <f>IFERROR(SUMPRODUCT(W91:AC91,W92:AC92)/ SUM(W91:AC91),0)</f>
        <v>0</v>
      </c>
      <c r="AE92" s="583">
        <f>L92*$G$3+U92*$P$3</f>
        <v>0</v>
      </c>
      <c r="AF92" s="187" t="e">
        <f>L92*$G$3/(L95*0.01)+U92*$P$3/(U95*0.01)</f>
        <v>#DIV/0!</v>
      </c>
    </row>
    <row r="93" spans="2:32" s="145" customFormat="1">
      <c r="B93" s="512"/>
      <c r="C93" s="531"/>
      <c r="D93" s="513" t="s">
        <v>816</v>
      </c>
      <c r="E93" s="379">
        <f>VLOOKUP(E6,'Feed parameters'!$A$2:$M$113,7, FALSE)</f>
        <v>0.79859999999999998</v>
      </c>
      <c r="F93" s="271">
        <f>VLOOKUP(F6,'Feed parameters'!$A$2:$M$113,7, FALSE)</f>
        <v>0.65213596800000007</v>
      </c>
      <c r="G93" s="271">
        <f>VLOOKUP(G6,'Feed parameters'!A2:G114,7, FALSE)</f>
        <v>0.53459999999999996</v>
      </c>
      <c r="H93" s="271">
        <f>VLOOKUP(H6,'Feed parameters'!$A$2:$M$113,7, FALSE)</f>
        <v>0.5411999999999999</v>
      </c>
      <c r="I93" s="271">
        <f>VLOOKUP(I6,'Feed parameters'!$A$2:$M$113,7, FALSE)</f>
        <v>0.45539999999999997</v>
      </c>
      <c r="J93" s="271">
        <f>VLOOKUP(J6,'Feed parameters'!$A$2:$M$113,7, FALSE)</f>
        <v>0.33</v>
      </c>
      <c r="K93" s="271">
        <f>VLOOKUP(K6,'Feed parameters'!$A$2:$M$113,7, FALSE)</f>
        <v>0</v>
      </c>
      <c r="L93" s="380">
        <f>IFERROR(SUMPRODUCT(E91:K91,E93:K93)/ SUM(E91:K91),0)</f>
        <v>0</v>
      </c>
      <c r="M93" s="557" t="s">
        <v>816</v>
      </c>
      <c r="N93" s="271">
        <f t="shared" ref="N93:T96" si="193">N86</f>
        <v>0.79859999999999998</v>
      </c>
      <c r="O93" s="271">
        <f t="shared" ref="O93:T93" si="194">O86</f>
        <v>0.65213596800000007</v>
      </c>
      <c r="P93" s="271">
        <f t="shared" si="194"/>
        <v>0.53459999999999996</v>
      </c>
      <c r="Q93" s="271">
        <f t="shared" si="194"/>
        <v>0.5411999999999999</v>
      </c>
      <c r="R93" s="271">
        <f t="shared" si="194"/>
        <v>0.45539999999999997</v>
      </c>
      <c r="S93" s="271">
        <f t="shared" si="194"/>
        <v>0.33</v>
      </c>
      <c r="T93" s="271">
        <f t="shared" si="194"/>
        <v>0</v>
      </c>
      <c r="U93" s="387">
        <f>IFERROR(SUMPRODUCT(N91:T91,N93:T93)/ SUM(N91:T91),0)</f>
        <v>0</v>
      </c>
      <c r="V93" s="557" t="s">
        <v>816</v>
      </c>
      <c r="W93" s="271">
        <f t="shared" ref="W93:AC93" si="195">W86</f>
        <v>0.79859999999999998</v>
      </c>
      <c r="X93" s="271">
        <f t="shared" si="195"/>
        <v>0.65213596800000007</v>
      </c>
      <c r="Y93" s="271">
        <f t="shared" si="195"/>
        <v>0.53459999999999996</v>
      </c>
      <c r="Z93" s="271">
        <f t="shared" si="195"/>
        <v>0.5411999999999999</v>
      </c>
      <c r="AA93" s="271">
        <f t="shared" si="195"/>
        <v>0.45539999999999997</v>
      </c>
      <c r="AB93" s="271">
        <f t="shared" si="195"/>
        <v>0.33</v>
      </c>
      <c r="AC93" s="271">
        <f t="shared" si="195"/>
        <v>0</v>
      </c>
      <c r="AD93" s="387">
        <f>IFERROR(SUMPRODUCT(W91:AC91,W93:AC93)/ SUM(W91:AC91),0)</f>
        <v>0</v>
      </c>
      <c r="AE93" s="583">
        <f>L93*$G$3+U93*$P$3</f>
        <v>0</v>
      </c>
    </row>
    <row r="94" spans="2:32" s="145" customFormat="1">
      <c r="B94" s="512"/>
      <c r="C94" s="531"/>
      <c r="D94" s="513" t="s">
        <v>906</v>
      </c>
      <c r="E94" s="379">
        <f>VLOOKUP(E6,'Feed parameters'!$A$2:$M$113,4, FALSE)</f>
        <v>10.89</v>
      </c>
      <c r="F94" s="271">
        <f>VLOOKUP(F6,'Feed parameters'!$A$2:$M$113,4, FALSE)</f>
        <v>1.4821271999999999</v>
      </c>
      <c r="G94" s="271">
        <f>VLOOKUP(G6,'Feed parameters'!A2:G114,4, FALSE)</f>
        <v>2.0168999999999997</v>
      </c>
      <c r="H94" s="271">
        <f>VLOOKUP(H6,'Feed parameters'!$A$2:$M$113,4, FALSE)</f>
        <v>1.8039999999999998</v>
      </c>
      <c r="I94" s="271">
        <f>VLOOKUP(I6,'Feed parameters'!$A$2:$M$113,4, FALSE)</f>
        <v>6.003000000000001</v>
      </c>
      <c r="J94" s="271">
        <f>VLOOKUP(J6,'Feed parameters'!$A$2:$M$113,4, FALSE)</f>
        <v>3</v>
      </c>
      <c r="K94" s="271">
        <f>VLOOKUP(K6,'Feed parameters'!$A$2:$M$113,4, FALSE)</f>
        <v>0</v>
      </c>
      <c r="L94" s="380">
        <f>IFERROR(SUMPRODUCT(E91:K91,E94:K94)/ SUM(E91:K91),0)</f>
        <v>0</v>
      </c>
      <c r="M94" s="557" t="s">
        <v>906</v>
      </c>
      <c r="N94" s="271">
        <f t="shared" si="193"/>
        <v>10.89</v>
      </c>
      <c r="O94" s="271">
        <f t="shared" ref="O94:T94" si="196">O87</f>
        <v>1.4821271999999999</v>
      </c>
      <c r="P94" s="271">
        <f t="shared" si="196"/>
        <v>2.0168999999999997</v>
      </c>
      <c r="Q94" s="271">
        <f t="shared" si="196"/>
        <v>1.8039999999999998</v>
      </c>
      <c r="R94" s="271">
        <f t="shared" si="196"/>
        <v>6.003000000000001</v>
      </c>
      <c r="S94" s="271">
        <f t="shared" si="196"/>
        <v>3</v>
      </c>
      <c r="T94" s="271">
        <f t="shared" si="196"/>
        <v>0</v>
      </c>
      <c r="U94" s="387">
        <f>IFERROR(SUMPRODUCT(N91:T91,N94:T94)/ SUM(N91:T91),0)</f>
        <v>0</v>
      </c>
      <c r="V94" s="557" t="s">
        <v>906</v>
      </c>
      <c r="W94" s="271">
        <f t="shared" ref="W94:AC94" si="197">W87</f>
        <v>10.89</v>
      </c>
      <c r="X94" s="271">
        <f t="shared" si="197"/>
        <v>1.4821271999999999</v>
      </c>
      <c r="Y94" s="271">
        <f t="shared" si="197"/>
        <v>2.0168999999999997</v>
      </c>
      <c r="Z94" s="271">
        <f t="shared" si="197"/>
        <v>1.8039999999999998</v>
      </c>
      <c r="AA94" s="271">
        <f t="shared" si="197"/>
        <v>6.003000000000001</v>
      </c>
      <c r="AB94" s="271">
        <f t="shared" si="197"/>
        <v>3</v>
      </c>
      <c r="AC94" s="271">
        <f t="shared" si="197"/>
        <v>0</v>
      </c>
      <c r="AD94" s="387">
        <f>IFERROR(SUMPRODUCT(W91:AC91,W94:AC94)/ SUM(W91:AC91),0)</f>
        <v>0</v>
      </c>
      <c r="AE94" s="583"/>
    </row>
    <row r="95" spans="2:32" s="145" customFormat="1">
      <c r="B95" s="512"/>
      <c r="C95" s="531"/>
      <c r="D95" s="513" t="s">
        <v>1154</v>
      </c>
      <c r="E95" s="379">
        <f>VLOOKUP(E6,'Feed parameters'!$A$2:$M$113,2, FALSE)</f>
        <v>90</v>
      </c>
      <c r="F95" s="271">
        <f>VLOOKUP(F6,'Feed parameters'!$A$2:$M$113,2, FALSE)</f>
        <v>15</v>
      </c>
      <c r="G95" s="271">
        <f>VLOOKUP(G6,'Feed parameters'!A2:G114,2, FALSE)</f>
        <v>24.9</v>
      </c>
      <c r="H95" s="271">
        <f>VLOOKUP(H6,'Feed parameters'!$A$2:$M$113,2, FALSE)</f>
        <v>22</v>
      </c>
      <c r="I95" s="271">
        <f>VLOOKUP(I6,'Feed parameters'!$A$2:$M$113,2, FALSE)</f>
        <v>87</v>
      </c>
      <c r="J95" s="271">
        <f>VLOOKUP(J6,'Feed parameters'!$A$2:$M$113,2, FALSE)</f>
        <v>60</v>
      </c>
      <c r="K95" s="271">
        <f>VLOOKUP(K6,'Feed parameters'!$A$2:$M$113,2, FALSE)</f>
        <v>0</v>
      </c>
      <c r="L95" s="380">
        <f>IFERROR(SUMPRODUCT(E91:K91,E95:K95)/ SUM(E91:K91),0)</f>
        <v>0</v>
      </c>
      <c r="M95" s="557" t="s">
        <v>1154</v>
      </c>
      <c r="N95" s="271">
        <f t="shared" si="193"/>
        <v>90</v>
      </c>
      <c r="O95" s="271">
        <f t="shared" ref="O95:T95" si="198">O88</f>
        <v>15</v>
      </c>
      <c r="P95" s="271">
        <f t="shared" si="198"/>
        <v>24.9</v>
      </c>
      <c r="Q95" s="271">
        <f t="shared" si="198"/>
        <v>22</v>
      </c>
      <c r="R95" s="271">
        <f t="shared" si="198"/>
        <v>87</v>
      </c>
      <c r="S95" s="271">
        <f t="shared" si="198"/>
        <v>60</v>
      </c>
      <c r="T95" s="271">
        <f t="shared" si="198"/>
        <v>0</v>
      </c>
      <c r="U95" s="387">
        <f>IFERROR(SUMPRODUCT(N91:T91,N95:T95)/ SUM(N91:T91),0)</f>
        <v>0</v>
      </c>
      <c r="V95" s="557" t="s">
        <v>1154</v>
      </c>
      <c r="W95" s="271">
        <f t="shared" ref="W95:AC95" si="199">W88</f>
        <v>90</v>
      </c>
      <c r="X95" s="271">
        <f t="shared" si="199"/>
        <v>15</v>
      </c>
      <c r="Y95" s="271">
        <f t="shared" si="199"/>
        <v>24.9</v>
      </c>
      <c r="Z95" s="271">
        <f t="shared" si="199"/>
        <v>22</v>
      </c>
      <c r="AA95" s="271">
        <f t="shared" si="199"/>
        <v>87</v>
      </c>
      <c r="AB95" s="271">
        <f t="shared" si="199"/>
        <v>60</v>
      </c>
      <c r="AC95" s="271">
        <f t="shared" si="199"/>
        <v>0</v>
      </c>
      <c r="AD95" s="387">
        <f>IFERROR(SUMPRODUCT(W91:AC91,W95:AC95)/ SUM(W91:AC91),0)</f>
        <v>0</v>
      </c>
      <c r="AE95" s="583">
        <f>L95*$G$3+U95*$P$3</f>
        <v>0</v>
      </c>
    </row>
    <row r="96" spans="2:32" s="145" customFormat="1">
      <c r="B96" s="512"/>
      <c r="C96" s="531"/>
      <c r="D96" s="513" t="s">
        <v>1172</v>
      </c>
      <c r="E96" s="379">
        <f>IFERROR((E91*E95)/SUMPRODUCT($E91:$K91,$E95:$K95), 0)</f>
        <v>0</v>
      </c>
      <c r="F96" s="271">
        <f>IFERROR((F91*F95)/SUMPRODUCT($E91:$K91,$E95:$K95), 0)</f>
        <v>0</v>
      </c>
      <c r="G96" s="271">
        <f t="shared" ref="G96:K96" si="200">IFERROR((G91*G95)/SUMPRODUCT($E91:$K91,$E95:$K95), 0)</f>
        <v>0</v>
      </c>
      <c r="H96" s="271">
        <f t="shared" si="200"/>
        <v>0</v>
      </c>
      <c r="I96" s="271">
        <f t="shared" si="200"/>
        <v>0</v>
      </c>
      <c r="J96" s="271">
        <f t="shared" si="200"/>
        <v>0</v>
      </c>
      <c r="K96" s="271">
        <f t="shared" si="200"/>
        <v>0</v>
      </c>
      <c r="L96" s="380"/>
      <c r="M96" s="557" t="s">
        <v>1172</v>
      </c>
      <c r="N96" s="271">
        <f t="shared" ref="N96" si="201">IFERROR((N91*N95)/SUMPRODUCT($N91:$T91,$N95:$T95),0)</f>
        <v>0</v>
      </c>
      <c r="O96" s="271">
        <f t="shared" si="193"/>
        <v>0</v>
      </c>
      <c r="P96" s="271">
        <f t="shared" si="193"/>
        <v>0</v>
      </c>
      <c r="Q96" s="271">
        <f t="shared" si="193"/>
        <v>0</v>
      </c>
      <c r="R96" s="271">
        <f t="shared" si="193"/>
        <v>0</v>
      </c>
      <c r="S96" s="271">
        <f t="shared" si="193"/>
        <v>0</v>
      </c>
      <c r="T96" s="271">
        <f t="shared" si="193"/>
        <v>0</v>
      </c>
      <c r="U96" s="387"/>
      <c r="V96" s="557" t="s">
        <v>1172</v>
      </c>
      <c r="W96" s="271">
        <f>IFERROR((W91*W95)/SUMPRODUCT($W91:$AC91,$W95:$AC95), 0)</f>
        <v>0</v>
      </c>
      <c r="X96" s="271">
        <f t="shared" ref="X96" si="202">IFERROR((X91*X95)/SUMPRODUCT($W91:$AC91,$W95:$AC95), 0)</f>
        <v>0</v>
      </c>
      <c r="Y96" s="271">
        <f t="shared" ref="Y96" si="203">IFERROR((Y91*Y95)/SUMPRODUCT($W91:$AC91,$W95:$AC95), 0)</f>
        <v>0</v>
      </c>
      <c r="Z96" s="271">
        <f t="shared" ref="Z96" si="204">IFERROR((Z91*Z95)/SUMPRODUCT($W91:$AC91,$W95:$AC95), 0)</f>
        <v>0</v>
      </c>
      <c r="AA96" s="271">
        <f t="shared" ref="AA96" si="205">IFERROR((AA91*AA95)/SUMPRODUCT($W91:$AC91,$W95:$AC95), 0)</f>
        <v>0</v>
      </c>
      <c r="AB96" s="271">
        <f t="shared" ref="AB96" si="206">IFERROR((AB91*AB95)/SUMPRODUCT($W91:$AC91,$W95:$AC95), 0)</f>
        <v>0</v>
      </c>
      <c r="AC96" s="271">
        <f t="shared" ref="AC96" si="207">IFERROR((AC91*AC95)/SUMPRODUCT($W91:$AC91,$W95:$AC95), 0)</f>
        <v>0</v>
      </c>
      <c r="AD96" s="387"/>
      <c r="AE96" s="583"/>
    </row>
    <row r="97" spans="1:32" s="145" customFormat="1">
      <c r="B97" s="512"/>
      <c r="C97" s="531"/>
      <c r="D97" s="513"/>
      <c r="E97" s="379"/>
      <c r="F97" s="271"/>
      <c r="G97" s="271"/>
      <c r="H97" s="271"/>
      <c r="I97" s="271"/>
      <c r="J97" s="271"/>
      <c r="K97" s="271"/>
      <c r="L97" s="380"/>
      <c r="M97" s="557"/>
      <c r="N97" s="271"/>
      <c r="O97" s="271"/>
      <c r="P97" s="271"/>
      <c r="Q97" s="271"/>
      <c r="R97" s="271"/>
      <c r="S97" s="271"/>
      <c r="T97" s="271"/>
      <c r="U97" s="387"/>
      <c r="V97" s="557"/>
      <c r="W97" s="271"/>
      <c r="X97" s="271"/>
      <c r="Y97" s="271"/>
      <c r="Z97" s="271"/>
      <c r="AA97" s="271"/>
      <c r="AB97" s="271"/>
      <c r="AC97" s="271"/>
      <c r="AD97" s="387"/>
      <c r="AE97" s="583"/>
    </row>
    <row r="98" spans="1:32" s="145" customFormat="1">
      <c r="B98" s="512">
        <f>INPUTS!C30</f>
        <v>0</v>
      </c>
      <c r="C98" s="531"/>
      <c r="D98" s="513" t="s">
        <v>1171</v>
      </c>
      <c r="E98" s="379">
        <f>INPUTS!P60</f>
        <v>0</v>
      </c>
      <c r="F98" s="271">
        <f>INPUTS!P61</f>
        <v>0</v>
      </c>
      <c r="G98" s="271">
        <f>INPUTS!P62</f>
        <v>0</v>
      </c>
      <c r="H98" s="271">
        <f>INPUTS!P63</f>
        <v>0</v>
      </c>
      <c r="I98" s="271">
        <f>INPUTS!P64</f>
        <v>0</v>
      </c>
      <c r="J98" s="271">
        <f>INPUTS!P65</f>
        <v>0</v>
      </c>
      <c r="K98" s="271">
        <f>INPUTS!P66</f>
        <v>0</v>
      </c>
      <c r="L98" s="380"/>
      <c r="M98" s="557" t="s">
        <v>1171</v>
      </c>
      <c r="N98" s="271">
        <f>INPUTS!AE60</f>
        <v>0</v>
      </c>
      <c r="O98" s="271">
        <f>INPUTS!AE61</f>
        <v>0</v>
      </c>
      <c r="P98" s="271">
        <f>INPUTS!AE62</f>
        <v>0</v>
      </c>
      <c r="Q98" s="271">
        <f>INPUTS!AE63</f>
        <v>0</v>
      </c>
      <c r="R98" s="271">
        <f>INPUTS!AE64</f>
        <v>0</v>
      </c>
      <c r="S98" s="271">
        <f>INPUTS!AE65</f>
        <v>0</v>
      </c>
      <c r="T98" s="271">
        <f>INPUTS!AE66</f>
        <v>0</v>
      </c>
      <c r="U98" s="387"/>
      <c r="V98" s="557" t="s">
        <v>1171</v>
      </c>
      <c r="W98" s="271">
        <f>INPUTS!AT60</f>
        <v>0</v>
      </c>
      <c r="X98" s="271">
        <f>INPUTS!AT61</f>
        <v>0</v>
      </c>
      <c r="Y98" s="271">
        <f>INPUTS!AT62</f>
        <v>0</v>
      </c>
      <c r="Z98" s="271">
        <f>INPUTS!AT63</f>
        <v>0</v>
      </c>
      <c r="AA98" s="271">
        <f>INPUTS!AT64</f>
        <v>0</v>
      </c>
      <c r="AB98" s="271">
        <f>INPUTS!AT65</f>
        <v>0</v>
      </c>
      <c r="AC98" s="271">
        <f>INPUTS!AT66</f>
        <v>0</v>
      </c>
      <c r="AD98" s="387"/>
      <c r="AE98" s="583"/>
    </row>
    <row r="99" spans="1:32" s="145" customFormat="1">
      <c r="B99" s="512"/>
      <c r="C99" s="531"/>
      <c r="D99" s="513" t="s">
        <v>815</v>
      </c>
      <c r="E99" s="379">
        <f>VLOOKUP(E6,'Feed parameters'!$A$2:$M$113,6, FALSE)</f>
        <v>14.4</v>
      </c>
      <c r="F99" s="271">
        <f>VLOOKUP(F6,'Feed parameters'!$A$2:$M$113,6, FALSE)</f>
        <v>1.65</v>
      </c>
      <c r="G99" s="271">
        <f>VLOOKUP(G6,'Feed parameters'!A2:G114,6, FALSE)</f>
        <v>2.5148999999999999</v>
      </c>
      <c r="H99" s="271">
        <f>VLOOKUP(H6,'Feed parameters'!$A$2:$M$113,6, FALSE)</f>
        <v>1.21</v>
      </c>
      <c r="I99" s="271">
        <f>VLOOKUP(I6,'Feed parameters'!$A$2:$M$113,6, FALSE)</f>
        <v>3.3930000000000002</v>
      </c>
      <c r="J99" s="271">
        <f>VLOOKUP(J6,'Feed parameters'!$A$2:$M$113,6, FALSE)</f>
        <v>3.6</v>
      </c>
      <c r="K99" s="271">
        <f>VLOOKUP(K6,'Feed parameters'!$A$2:$M$113,6, FALSE)</f>
        <v>0</v>
      </c>
      <c r="L99" s="380">
        <f>IFERROR(SUMPRODUCT(E98:K98,E99:K99)/ SUM(E98:K98),0)</f>
        <v>0</v>
      </c>
      <c r="M99" s="557" t="s">
        <v>815</v>
      </c>
      <c r="N99" s="271">
        <f>N92</f>
        <v>14.4</v>
      </c>
      <c r="O99" s="271">
        <f t="shared" ref="O99:T99" si="208">O92</f>
        <v>1.65</v>
      </c>
      <c r="P99" s="271">
        <f t="shared" si="208"/>
        <v>2.5148999999999999</v>
      </c>
      <c r="Q99" s="271">
        <f t="shared" si="208"/>
        <v>1.21</v>
      </c>
      <c r="R99" s="271">
        <f t="shared" si="208"/>
        <v>3.3930000000000002</v>
      </c>
      <c r="S99" s="271">
        <f t="shared" si="208"/>
        <v>3.6</v>
      </c>
      <c r="T99" s="271">
        <f t="shared" si="208"/>
        <v>0</v>
      </c>
      <c r="U99" s="387">
        <f>IFERROR(SUMPRODUCT(N98:T98,N99:T99)/ SUM(N98:T98),0)</f>
        <v>0</v>
      </c>
      <c r="V99" s="557" t="s">
        <v>815</v>
      </c>
      <c r="W99" s="271">
        <f>W92</f>
        <v>14.4</v>
      </c>
      <c r="X99" s="271">
        <f t="shared" ref="X99:AC99" si="209">X92</f>
        <v>1.65</v>
      </c>
      <c r="Y99" s="271">
        <f t="shared" si="209"/>
        <v>2.5148999999999999</v>
      </c>
      <c r="Z99" s="271">
        <f t="shared" si="209"/>
        <v>1.21</v>
      </c>
      <c r="AA99" s="271">
        <f t="shared" si="209"/>
        <v>3.3930000000000002</v>
      </c>
      <c r="AB99" s="271">
        <f t="shared" si="209"/>
        <v>3.6</v>
      </c>
      <c r="AC99" s="271">
        <f t="shared" si="209"/>
        <v>0</v>
      </c>
      <c r="AD99" s="387">
        <f>IFERROR(SUMPRODUCT(W98:AC98,W99:AC99)/ SUM(W98:AC98),0)</f>
        <v>0</v>
      </c>
      <c r="AE99" s="583">
        <f>L99*$G$3+U99*$P$3</f>
        <v>0</v>
      </c>
      <c r="AF99" s="187" t="e">
        <f>L99*$G$3/(L102*0.01)+U99*$P$3/(U102*0.01)</f>
        <v>#DIV/0!</v>
      </c>
    </row>
    <row r="100" spans="1:32" s="145" customFormat="1">
      <c r="B100" s="512"/>
      <c r="C100" s="531"/>
      <c r="D100" s="513" t="s">
        <v>816</v>
      </c>
      <c r="E100" s="379">
        <f>VLOOKUP(E6,'Feed parameters'!$A$2:$M$113,7, FALSE)</f>
        <v>0.79859999999999998</v>
      </c>
      <c r="F100" s="271">
        <f>VLOOKUP(F6,'Feed parameters'!$A$2:$M$113,7, FALSE)</f>
        <v>0.65213596800000007</v>
      </c>
      <c r="G100" s="271">
        <f>VLOOKUP(G6,'Feed parameters'!A2:G114,7, FALSE)</f>
        <v>0.53459999999999996</v>
      </c>
      <c r="H100" s="271">
        <f>VLOOKUP(H6,'Feed parameters'!$A$2:$M$113,7, FALSE)</f>
        <v>0.5411999999999999</v>
      </c>
      <c r="I100" s="271">
        <f>VLOOKUP(I6,'Feed parameters'!$A$2:$M$113,7, FALSE)</f>
        <v>0.45539999999999997</v>
      </c>
      <c r="J100" s="271">
        <f>VLOOKUP(J6,'Feed parameters'!$A$2:$M$113,7, FALSE)</f>
        <v>0.33</v>
      </c>
      <c r="K100" s="271">
        <f>VLOOKUP(K6,'Feed parameters'!$A$2:$M$113,7, FALSE)</f>
        <v>0</v>
      </c>
      <c r="L100" s="380">
        <f>IFERROR(SUMPRODUCT(E98:K98,E100:K100)/ SUM(E98:K98),0)</f>
        <v>0</v>
      </c>
      <c r="M100" s="557" t="s">
        <v>816</v>
      </c>
      <c r="N100" s="271">
        <f t="shared" ref="N100" si="210">N93</f>
        <v>0.79859999999999998</v>
      </c>
      <c r="O100" s="271">
        <f t="shared" ref="O100:T100" si="211">O93</f>
        <v>0.65213596800000007</v>
      </c>
      <c r="P100" s="271">
        <f t="shared" si="211"/>
        <v>0.53459999999999996</v>
      </c>
      <c r="Q100" s="271">
        <f t="shared" si="211"/>
        <v>0.5411999999999999</v>
      </c>
      <c r="R100" s="271">
        <f t="shared" si="211"/>
        <v>0.45539999999999997</v>
      </c>
      <c r="S100" s="271">
        <f t="shared" si="211"/>
        <v>0.33</v>
      </c>
      <c r="T100" s="271">
        <f t="shared" si="211"/>
        <v>0</v>
      </c>
      <c r="U100" s="387">
        <f>IFERROR(SUMPRODUCT(N98:T98,N100:T100)/ SUM(N98:T98),0)</f>
        <v>0</v>
      </c>
      <c r="V100" s="557" t="s">
        <v>816</v>
      </c>
      <c r="W100" s="271">
        <f t="shared" ref="W100:AC102" si="212">W93</f>
        <v>0.79859999999999998</v>
      </c>
      <c r="X100" s="271">
        <f t="shared" si="212"/>
        <v>0.65213596800000007</v>
      </c>
      <c r="Y100" s="271">
        <f t="shared" si="212"/>
        <v>0.53459999999999996</v>
      </c>
      <c r="Z100" s="271">
        <f t="shared" si="212"/>
        <v>0.5411999999999999</v>
      </c>
      <c r="AA100" s="271">
        <f t="shared" si="212"/>
        <v>0.45539999999999997</v>
      </c>
      <c r="AB100" s="271">
        <f t="shared" si="212"/>
        <v>0.33</v>
      </c>
      <c r="AC100" s="271">
        <f t="shared" si="212"/>
        <v>0</v>
      </c>
      <c r="AD100" s="387">
        <f>IFERROR(SUMPRODUCT(W98:AC98,W100:AC100)/ SUM(W98:AC98),0)</f>
        <v>0</v>
      </c>
      <c r="AE100" s="583">
        <f>L100*$G$3+U100*$P$3</f>
        <v>0</v>
      </c>
    </row>
    <row r="101" spans="1:32" s="145" customFormat="1">
      <c r="B101" s="512"/>
      <c r="C101" s="531"/>
      <c r="D101" s="513" t="s">
        <v>906</v>
      </c>
      <c r="E101" s="379">
        <f>VLOOKUP(E6,'Feed parameters'!$A$2:$M$113,4, FALSE)</f>
        <v>10.89</v>
      </c>
      <c r="F101" s="271">
        <f>VLOOKUP(F6,'Feed parameters'!$A$2:$M$113,4, FALSE)</f>
        <v>1.4821271999999999</v>
      </c>
      <c r="G101" s="271">
        <f>VLOOKUP(G6,'Feed parameters'!A2:G114,4, FALSE)</f>
        <v>2.0168999999999997</v>
      </c>
      <c r="H101" s="271">
        <f>VLOOKUP(H6,'Feed parameters'!$A$2:$M$113,4, FALSE)</f>
        <v>1.8039999999999998</v>
      </c>
      <c r="I101" s="271">
        <f>VLOOKUP(I6,'Feed parameters'!$A$2:$M$113,4, FALSE)</f>
        <v>6.003000000000001</v>
      </c>
      <c r="J101" s="271">
        <f>VLOOKUP(J6,'Feed parameters'!$A$2:$M$113,4, FALSE)</f>
        <v>3</v>
      </c>
      <c r="K101" s="271">
        <f>VLOOKUP(K6,'Feed parameters'!$A$2:$M$113,4, FALSE)</f>
        <v>0</v>
      </c>
      <c r="L101" s="380">
        <f>IFERROR(SUMPRODUCT(E98:K98,E101:K101)/ SUM(E98:K98),0)</f>
        <v>0</v>
      </c>
      <c r="M101" s="557" t="s">
        <v>906</v>
      </c>
      <c r="N101" s="271">
        <f t="shared" ref="N101" si="213">N94</f>
        <v>10.89</v>
      </c>
      <c r="O101" s="271">
        <f t="shared" ref="O101:T101" si="214">O94</f>
        <v>1.4821271999999999</v>
      </c>
      <c r="P101" s="271">
        <f t="shared" si="214"/>
        <v>2.0168999999999997</v>
      </c>
      <c r="Q101" s="271">
        <f t="shared" si="214"/>
        <v>1.8039999999999998</v>
      </c>
      <c r="R101" s="271">
        <f t="shared" si="214"/>
        <v>6.003000000000001</v>
      </c>
      <c r="S101" s="271">
        <f t="shared" si="214"/>
        <v>3</v>
      </c>
      <c r="T101" s="271">
        <f t="shared" si="214"/>
        <v>0</v>
      </c>
      <c r="U101" s="387">
        <f>IFERROR(SUMPRODUCT(N98:T98,N101:T101)/ SUM(N98:T98),0)</f>
        <v>0</v>
      </c>
      <c r="V101" s="557" t="s">
        <v>906</v>
      </c>
      <c r="W101" s="271">
        <f t="shared" si="212"/>
        <v>10.89</v>
      </c>
      <c r="X101" s="271">
        <f t="shared" si="212"/>
        <v>1.4821271999999999</v>
      </c>
      <c r="Y101" s="271">
        <f t="shared" si="212"/>
        <v>2.0168999999999997</v>
      </c>
      <c r="Z101" s="271">
        <f t="shared" si="212"/>
        <v>1.8039999999999998</v>
      </c>
      <c r="AA101" s="271">
        <f t="shared" si="212"/>
        <v>6.003000000000001</v>
      </c>
      <c r="AB101" s="271">
        <f t="shared" si="212"/>
        <v>3</v>
      </c>
      <c r="AC101" s="271">
        <f t="shared" si="212"/>
        <v>0</v>
      </c>
      <c r="AD101" s="387">
        <f>IFERROR(SUMPRODUCT(W98:AC98,W101:AC101)/ SUM(W98:AC98),0)</f>
        <v>0</v>
      </c>
      <c r="AE101" s="583"/>
    </row>
    <row r="102" spans="1:32" s="145" customFormat="1">
      <c r="B102" s="512"/>
      <c r="C102" s="531"/>
      <c r="D102" s="513" t="s">
        <v>1154</v>
      </c>
      <c r="E102" s="379">
        <f>VLOOKUP(E6,'Feed parameters'!$A$2:$M$113,2, FALSE)</f>
        <v>90</v>
      </c>
      <c r="F102" s="271">
        <f>VLOOKUP(F6,'Feed parameters'!$A$2:$M$113,2, FALSE)</f>
        <v>15</v>
      </c>
      <c r="G102" s="271">
        <f>VLOOKUP(G6,'Feed parameters'!A2:G114,2, FALSE)</f>
        <v>24.9</v>
      </c>
      <c r="H102" s="271">
        <f>VLOOKUP(H6,'Feed parameters'!$A$2:$M$113,2, FALSE)</f>
        <v>22</v>
      </c>
      <c r="I102" s="271">
        <f>VLOOKUP(I6,'Feed parameters'!$A$2:$M$113,2, FALSE)</f>
        <v>87</v>
      </c>
      <c r="J102" s="271">
        <f>VLOOKUP(J6,'Feed parameters'!$A$2:$M$113,2, FALSE)</f>
        <v>60</v>
      </c>
      <c r="K102" s="271">
        <f>VLOOKUP(K6,'Feed parameters'!$A$2:$M$113,2, FALSE)</f>
        <v>0</v>
      </c>
      <c r="L102" s="380">
        <f>IFERROR(SUMPRODUCT(E98:K98,E102:K102)/ SUM(E98:K98),0)</f>
        <v>0</v>
      </c>
      <c r="M102" s="557" t="s">
        <v>1154</v>
      </c>
      <c r="N102" s="271">
        <f t="shared" ref="N102" si="215">N95</f>
        <v>90</v>
      </c>
      <c r="O102" s="271">
        <f t="shared" ref="O102:T102" si="216">O95</f>
        <v>15</v>
      </c>
      <c r="P102" s="271">
        <f t="shared" si="216"/>
        <v>24.9</v>
      </c>
      <c r="Q102" s="271">
        <f t="shared" si="216"/>
        <v>22</v>
      </c>
      <c r="R102" s="271">
        <f t="shared" si="216"/>
        <v>87</v>
      </c>
      <c r="S102" s="271">
        <f t="shared" si="216"/>
        <v>60</v>
      </c>
      <c r="T102" s="271">
        <f t="shared" si="216"/>
        <v>0</v>
      </c>
      <c r="U102" s="387">
        <f>IFERROR(SUMPRODUCT(N98:T98,N102:T102)/ SUM(N98:T98),0)</f>
        <v>0</v>
      </c>
      <c r="V102" s="557" t="s">
        <v>1154</v>
      </c>
      <c r="W102" s="271">
        <f t="shared" si="212"/>
        <v>90</v>
      </c>
      <c r="X102" s="271">
        <f t="shared" si="212"/>
        <v>15</v>
      </c>
      <c r="Y102" s="271">
        <f t="shared" si="212"/>
        <v>24.9</v>
      </c>
      <c r="Z102" s="271">
        <f t="shared" si="212"/>
        <v>22</v>
      </c>
      <c r="AA102" s="271">
        <f t="shared" si="212"/>
        <v>87</v>
      </c>
      <c r="AB102" s="271">
        <f t="shared" si="212"/>
        <v>60</v>
      </c>
      <c r="AC102" s="271">
        <f t="shared" si="212"/>
        <v>0</v>
      </c>
      <c r="AD102" s="387">
        <f>IFERROR(SUMPRODUCT(W98:AC98,W102:AC102)/ SUM(W98:AC98),0)</f>
        <v>0</v>
      </c>
      <c r="AE102" s="583">
        <f>L102*$G$3+U102*$P$3</f>
        <v>0</v>
      </c>
    </row>
    <row r="103" spans="1:32" s="145" customFormat="1">
      <c r="B103" s="512"/>
      <c r="C103" s="531"/>
      <c r="D103" s="513" t="s">
        <v>1172</v>
      </c>
      <c r="E103" s="379">
        <f>IFERROR((E98*E102)/SUMPRODUCT($E98:$K98,$E102:$K102), 0)</f>
        <v>0</v>
      </c>
      <c r="F103" s="271">
        <f>IFERROR((F98*F102)/SUMPRODUCT($E98:$K98,$E102:$K102), 0)</f>
        <v>0</v>
      </c>
      <c r="G103" s="271">
        <f t="shared" ref="G103:K103" si="217">IFERROR((G98*G102)/SUMPRODUCT($E98:$K98,$E102:$K102), 0)</f>
        <v>0</v>
      </c>
      <c r="H103" s="271">
        <f t="shared" si="217"/>
        <v>0</v>
      </c>
      <c r="I103" s="271">
        <f t="shared" si="217"/>
        <v>0</v>
      </c>
      <c r="J103" s="271">
        <f t="shared" si="217"/>
        <v>0</v>
      </c>
      <c r="K103" s="271">
        <f t="shared" si="217"/>
        <v>0</v>
      </c>
      <c r="L103" s="380"/>
      <c r="M103" s="557" t="s">
        <v>1172</v>
      </c>
      <c r="N103" s="271">
        <f t="shared" ref="N103:T103" si="218">IFERROR((N98*N102)/SUMPRODUCT($N98:$T98,$N102:$T102),0)</f>
        <v>0</v>
      </c>
      <c r="O103" s="271">
        <f t="shared" si="218"/>
        <v>0</v>
      </c>
      <c r="P103" s="271">
        <f t="shared" si="218"/>
        <v>0</v>
      </c>
      <c r="Q103" s="271">
        <f t="shared" si="218"/>
        <v>0</v>
      </c>
      <c r="R103" s="271">
        <f t="shared" si="218"/>
        <v>0</v>
      </c>
      <c r="S103" s="271">
        <f t="shared" si="218"/>
        <v>0</v>
      </c>
      <c r="T103" s="271">
        <f t="shared" si="218"/>
        <v>0</v>
      </c>
      <c r="U103" s="387"/>
      <c r="V103" s="557" t="s">
        <v>1172</v>
      </c>
      <c r="W103" s="271">
        <f>IFERROR((W98*W102)/SUMPRODUCT($W98:$AC98,$W102:$AC102), 0)</f>
        <v>0</v>
      </c>
      <c r="X103" s="271">
        <f t="shared" ref="X103" si="219">IFERROR((X98*X102)/SUMPRODUCT($W98:$AC98,$W102:$AC102), 0)</f>
        <v>0</v>
      </c>
      <c r="Y103" s="271">
        <f t="shared" ref="Y103" si="220">IFERROR((Y98*Y102)/SUMPRODUCT($W98:$AC98,$W102:$AC102), 0)</f>
        <v>0</v>
      </c>
      <c r="Z103" s="271">
        <f t="shared" ref="Z103" si="221">IFERROR((Z98*Z102)/SUMPRODUCT($W98:$AC98,$W102:$AC102), 0)</f>
        <v>0</v>
      </c>
      <c r="AA103" s="271">
        <f t="shared" ref="AA103" si="222">IFERROR((AA98*AA102)/SUMPRODUCT($W98:$AC98,$W102:$AC102), 0)</f>
        <v>0</v>
      </c>
      <c r="AB103" s="271">
        <f t="shared" ref="AB103" si="223">IFERROR((AB98*AB102)/SUMPRODUCT($W98:$AC98,$W102:$AC102), 0)</f>
        <v>0</v>
      </c>
      <c r="AC103" s="271">
        <f t="shared" ref="AC103" si="224">IFERROR((AC98*AC102)/SUMPRODUCT($W98:$AC98,$W102:$AC102), 0)</f>
        <v>0</v>
      </c>
      <c r="AD103" s="387"/>
      <c r="AE103" s="583"/>
    </row>
    <row r="104" spans="1:32" s="145" customFormat="1" ht="16.5" thickBot="1">
      <c r="B104" s="550"/>
      <c r="C104" s="551"/>
      <c r="D104" s="552"/>
      <c r="E104" s="553"/>
      <c r="F104" s="554"/>
      <c r="G104" s="554"/>
      <c r="H104" s="554"/>
      <c r="I104" s="554"/>
      <c r="J104" s="554"/>
      <c r="K104" s="554"/>
      <c r="L104" s="555"/>
      <c r="M104" s="558"/>
      <c r="N104" s="554"/>
      <c r="O104" s="554"/>
      <c r="P104" s="554"/>
      <c r="Q104" s="554"/>
      <c r="R104" s="554"/>
      <c r="S104" s="554"/>
      <c r="T104" s="554"/>
      <c r="U104" s="556"/>
      <c r="V104" s="558"/>
      <c r="W104" s="554"/>
      <c r="X104" s="554"/>
      <c r="Y104" s="554"/>
      <c r="Z104" s="554"/>
      <c r="AA104" s="554"/>
      <c r="AB104" s="554"/>
      <c r="AC104" s="554"/>
      <c r="AD104" s="556"/>
      <c r="AE104" s="583"/>
    </row>
    <row r="105" spans="1:32" s="145" customFormat="1">
      <c r="B105" s="269"/>
      <c r="C105" s="269"/>
      <c r="D105" s="865"/>
      <c r="O105" s="230"/>
      <c r="S105" s="231"/>
      <c r="V105" s="577"/>
      <c r="AB105" s="229"/>
    </row>
    <row r="106" spans="1:32" s="145" customFormat="1">
      <c r="A106" s="372" t="s">
        <v>1480</v>
      </c>
      <c r="B106" s="372"/>
      <c r="C106" s="372"/>
      <c r="D106" s="372"/>
      <c r="E106" s="372"/>
      <c r="F106" s="372"/>
      <c r="G106" s="372"/>
      <c r="H106" s="372"/>
      <c r="I106" s="372"/>
      <c r="J106" s="372"/>
      <c r="K106" s="372"/>
      <c r="L106" s="372"/>
      <c r="M106" s="372"/>
      <c r="Q106" s="230"/>
      <c r="U106" s="231"/>
      <c r="X106" s="577"/>
      <c r="AD106" s="229"/>
    </row>
    <row r="107" spans="1:32" s="145" customFormat="1" ht="61.5" customHeight="1">
      <c r="A107" s="13"/>
      <c r="B107" s="866" t="s">
        <v>1481</v>
      </c>
      <c r="C107" s="1132" t="s">
        <v>1640</v>
      </c>
      <c r="D107" s="866" t="s">
        <v>1451</v>
      </c>
      <c r="E107" s="866" t="s">
        <v>1815</v>
      </c>
      <c r="F107" s="866" t="s">
        <v>1791</v>
      </c>
      <c r="G107" s="866" t="s">
        <v>1452</v>
      </c>
      <c r="H107" s="866" t="s">
        <v>1678</v>
      </c>
      <c r="I107" s="866" t="s">
        <v>1453</v>
      </c>
      <c r="J107" s="866" t="s">
        <v>1813</v>
      </c>
      <c r="K107" s="866" t="s">
        <v>1816</v>
      </c>
      <c r="L107" s="866" t="s">
        <v>1814</v>
      </c>
      <c r="M107" s="866" t="s">
        <v>1679</v>
      </c>
      <c r="Q107" s="230"/>
      <c r="U107" s="231"/>
      <c r="X107" s="577"/>
      <c r="AD107" s="229"/>
    </row>
    <row r="108" spans="1:32" s="145" customFormat="1">
      <c r="A108" s="13" t="str">
        <f t="shared" ref="A108:A117" si="225">A126</f>
        <v>Cows (local)</v>
      </c>
      <c r="B108" s="505">
        <f>'Livestock parameters'!H2</f>
        <v>0</v>
      </c>
      <c r="C108" s="1133">
        <f>'Livestock parameters'!G2*'Livestock parameters'!I2</f>
        <v>0</v>
      </c>
      <c r="D108" s="867">
        <f>IFERROR('Livestock parameters'!J2/(365*'Livestock parameters'!V2),0)</f>
        <v>0</v>
      </c>
      <c r="E108" s="867">
        <f>IFERROR('Livestock parameters'!K2/(365*'Livestock parameters'!V2),0)</f>
        <v>0</v>
      </c>
      <c r="F108" s="867">
        <f>'Livestock parameters'!L2</f>
        <v>0</v>
      </c>
      <c r="G108" s="867">
        <f>'Livestock parameters'!M2</f>
        <v>0</v>
      </c>
      <c r="H108" s="869">
        <f>'Livestock parameters'!N2</f>
        <v>0</v>
      </c>
      <c r="I108" s="505">
        <f>'Livestock parameters'!G2*'Livestock parameters'!O2</f>
        <v>0</v>
      </c>
      <c r="J108" s="870">
        <f>IFERROR('Livestock parameters'!P2/(365*'Livestock parameters'!V2),0)</f>
        <v>0</v>
      </c>
      <c r="K108" s="870">
        <f>IFERROR('Livestock parameters'!Q2/(365*'Livestock parameters'!V2),0)</f>
        <v>0</v>
      </c>
      <c r="L108" s="868">
        <f>'Livestock parameters'!R2</f>
        <v>0</v>
      </c>
      <c r="M108" s="868">
        <f>'Livestock parameters'!S2</f>
        <v>0</v>
      </c>
      <c r="Q108" s="230"/>
      <c r="U108" s="231"/>
      <c r="X108" s="577"/>
      <c r="AD108" s="229"/>
    </row>
    <row r="109" spans="1:32" s="145" customFormat="1">
      <c r="A109" s="13" t="str">
        <f t="shared" si="225"/>
        <v>Cows (improved)</v>
      </c>
      <c r="B109" s="505">
        <f>'Livestock parameters'!H3</f>
        <v>43.118509116603107</v>
      </c>
      <c r="C109" s="1133">
        <f>'Livestock parameters'!G3*'Livestock parameters'!I3</f>
        <v>0</v>
      </c>
      <c r="D109" s="867">
        <f>IFERROR('Livestock parameters'!J3/(365*'Livestock parameters'!V3),0)</f>
        <v>3.4246575342465753</v>
      </c>
      <c r="E109" s="867">
        <f>IFERROR('Livestock parameters'!K3/(365*'Livestock parameters'!V3),0)</f>
        <v>0</v>
      </c>
      <c r="F109" s="867">
        <f>'Livestock parameters'!L3</f>
        <v>5.5</v>
      </c>
      <c r="G109" s="867">
        <f>'Livestock parameters'!M3</f>
        <v>0</v>
      </c>
      <c r="H109" s="869">
        <f>'Livestock parameters'!N3</f>
        <v>0.38100000000000001</v>
      </c>
      <c r="I109" s="505">
        <f>'Livestock parameters'!G3*'Livestock parameters'!O3</f>
        <v>0</v>
      </c>
      <c r="J109" s="870">
        <f>IFERROR('Livestock parameters'!P3/(365*'Livestock parameters'!V3),0)</f>
        <v>2.7876712328767126E-2</v>
      </c>
      <c r="K109" s="870">
        <f>IFERROR('Livestock parameters'!Q3/(365*'Livestock parameters'!V3),0)</f>
        <v>0</v>
      </c>
      <c r="L109" s="868">
        <f>'Livestock parameters'!R3</f>
        <v>0.09</v>
      </c>
      <c r="M109" s="868">
        <f>'Livestock parameters'!S3</f>
        <v>0</v>
      </c>
      <c r="Q109" s="230"/>
      <c r="U109" s="231"/>
      <c r="X109" s="577"/>
      <c r="AD109" s="229"/>
    </row>
    <row r="110" spans="1:32" s="145" customFormat="1">
      <c r="A110" s="13" t="str">
        <f t="shared" si="225"/>
        <v>Adult cattle - male</v>
      </c>
      <c r="B110" s="505">
        <f>'Livestock parameters'!H4</f>
        <v>0</v>
      </c>
      <c r="C110" s="1133">
        <f>'Livestock parameters'!G4*'Livestock parameters'!I4</f>
        <v>0</v>
      </c>
      <c r="D110" s="867">
        <f>IFERROR('Livestock parameters'!J4/(365*'Livestock parameters'!V4),0)</f>
        <v>0</v>
      </c>
      <c r="E110" s="867">
        <f>IFERROR('Livestock parameters'!K4/(365*'Livestock parameters'!V4),0)</f>
        <v>0</v>
      </c>
      <c r="F110" s="867">
        <f>'Livestock parameters'!L4</f>
        <v>0</v>
      </c>
      <c r="G110" s="867">
        <f>'Livestock parameters'!M4</f>
        <v>0</v>
      </c>
      <c r="H110" s="869">
        <f>'Livestock parameters'!N4</f>
        <v>0</v>
      </c>
      <c r="I110" s="505">
        <f>'Livestock parameters'!G4*'Livestock parameters'!O4</f>
        <v>0</v>
      </c>
      <c r="J110" s="870">
        <f>IFERROR('Livestock parameters'!P4/(365*'Livestock parameters'!V4),0)</f>
        <v>0</v>
      </c>
      <c r="K110" s="870">
        <f>IFERROR('Livestock parameters'!Q4/(365*'Livestock parameters'!V4),0)</f>
        <v>0</v>
      </c>
      <c r="L110" s="868">
        <f>'Livestock parameters'!R4</f>
        <v>0</v>
      </c>
      <c r="M110" s="868">
        <f>'Livestock parameters'!S4</f>
        <v>0</v>
      </c>
      <c r="Q110" s="230"/>
      <c r="U110" s="231"/>
      <c r="X110" s="577"/>
      <c r="AD110" s="229"/>
    </row>
    <row r="111" spans="1:32" s="145" customFormat="1">
      <c r="A111" s="13" t="str">
        <f t="shared" si="225"/>
        <v>Calves</v>
      </c>
      <c r="B111" s="505">
        <f>'Livestock parameters'!H5</f>
        <v>0</v>
      </c>
      <c r="C111" s="1133">
        <f>'Livestock parameters'!G5*'Livestock parameters'!I5</f>
        <v>0</v>
      </c>
      <c r="D111" s="867">
        <f>IFERROR('Livestock parameters'!J5/(365*'Livestock parameters'!V5),0)</f>
        <v>0</v>
      </c>
      <c r="E111" s="867">
        <f>IFERROR('Livestock parameters'!K5/(365*'Livestock parameters'!V5),0)</f>
        <v>0</v>
      </c>
      <c r="F111" s="867">
        <f>'Livestock parameters'!L5</f>
        <v>0</v>
      </c>
      <c r="G111" s="867">
        <f>'Livestock parameters'!M5</f>
        <v>0</v>
      </c>
      <c r="H111" s="869">
        <f>'Livestock parameters'!N5</f>
        <v>0</v>
      </c>
      <c r="I111" s="505">
        <f>'Livestock parameters'!G5*'Livestock parameters'!O5</f>
        <v>0</v>
      </c>
      <c r="J111" s="870">
        <f>IFERROR('Livestock parameters'!P5/(365*'Livestock parameters'!V5),0)</f>
        <v>0</v>
      </c>
      <c r="K111" s="870">
        <f>IFERROR('Livestock parameters'!Q5/(365*'Livestock parameters'!V5),0)</f>
        <v>0</v>
      </c>
      <c r="L111" s="868">
        <f>'Livestock parameters'!R5</f>
        <v>0</v>
      </c>
      <c r="M111" s="868">
        <f>'Livestock parameters'!S5</f>
        <v>0</v>
      </c>
      <c r="Q111" s="230"/>
      <c r="U111" s="231"/>
      <c r="X111" s="577"/>
      <c r="AD111" s="229"/>
    </row>
    <row r="112" spans="1:32" s="145" customFormat="1">
      <c r="A112" s="13" t="str">
        <f t="shared" si="225"/>
        <v>Steers/heifers</v>
      </c>
      <c r="B112" s="505">
        <f>'Livestock parameters'!H6</f>
        <v>35.137309395138168</v>
      </c>
      <c r="C112" s="1133">
        <f>'Livestock parameters'!G6*'Livestock parameters'!I6</f>
        <v>0</v>
      </c>
      <c r="D112" s="867">
        <f>IFERROR('Livestock parameters'!J6/(365*'Livestock parameters'!V6),0)</f>
        <v>0</v>
      </c>
      <c r="E112" s="867">
        <f>IFERROR('Livestock parameters'!K6/(365*'Livestock parameters'!V6),0)</f>
        <v>0</v>
      </c>
      <c r="F112" s="867">
        <f>'Livestock parameters'!L6</f>
        <v>0</v>
      </c>
      <c r="G112" s="867">
        <f>'Livestock parameters'!M6</f>
        <v>50</v>
      </c>
      <c r="H112" s="869">
        <f>'Livestock parameters'!N6</f>
        <v>0.28999999999999998</v>
      </c>
      <c r="I112" s="505">
        <f>'Livestock parameters'!G6*'Livestock parameters'!O6</f>
        <v>0</v>
      </c>
      <c r="J112" s="870">
        <f>IFERROR('Livestock parameters'!P6/(365*'Livestock parameters'!V6),0)</f>
        <v>0</v>
      </c>
      <c r="K112" s="870">
        <f>IFERROR('Livestock parameters'!Q6/(365*'Livestock parameters'!V6),0)</f>
        <v>0</v>
      </c>
      <c r="L112" s="868">
        <f>'Livestock parameters'!R6</f>
        <v>0</v>
      </c>
      <c r="M112" s="868">
        <f>'Livestock parameters'!S6</f>
        <v>0.4</v>
      </c>
      <c r="Q112" s="230"/>
      <c r="U112" s="231"/>
      <c r="X112" s="577"/>
      <c r="AD112" s="229"/>
    </row>
    <row r="113" spans="1:37" s="145" customFormat="1">
      <c r="A113" s="13" t="str">
        <f t="shared" si="225"/>
        <v>Sheep/Goats - Ewes/Does</v>
      </c>
      <c r="B113" s="505">
        <f>'Livestock parameters'!H7</f>
        <v>0</v>
      </c>
      <c r="C113" s="1133">
        <f>'Livestock parameters'!G7*'Livestock parameters'!I7</f>
        <v>0</v>
      </c>
      <c r="D113" s="867">
        <f>IFERROR('Livestock parameters'!J7/(365*'Livestock parameters'!V7),0)</f>
        <v>0</v>
      </c>
      <c r="E113" s="867">
        <f>IFERROR('Livestock parameters'!K7/(365*'Livestock parameters'!V7),0)</f>
        <v>0</v>
      </c>
      <c r="F113" s="867">
        <f>'Livestock parameters'!L7</f>
        <v>0</v>
      </c>
      <c r="G113" s="867">
        <f>'Livestock parameters'!M7</f>
        <v>0</v>
      </c>
      <c r="H113" s="869">
        <f>'Livestock parameters'!N7</f>
        <v>0</v>
      </c>
      <c r="I113" s="505">
        <f>'Livestock parameters'!G7*'Livestock parameters'!O7</f>
        <v>0</v>
      </c>
      <c r="J113" s="870">
        <f>IFERROR('Livestock parameters'!P7/(365*'Livestock parameters'!V7),0)</f>
        <v>0</v>
      </c>
      <c r="K113" s="870">
        <f>IFERROR('Livestock parameters'!Q7/(365*'Livestock parameters'!V7),0)</f>
        <v>0</v>
      </c>
      <c r="L113" s="868">
        <f>'Livestock parameters'!R7</f>
        <v>0</v>
      </c>
      <c r="M113" s="868">
        <f>'Livestock parameters'!S7</f>
        <v>0</v>
      </c>
      <c r="Q113" s="230"/>
      <c r="U113" s="231"/>
      <c r="X113" s="577"/>
      <c r="AD113" s="229"/>
    </row>
    <row r="114" spans="1:37" s="145" customFormat="1">
      <c r="A114" s="13" t="str">
        <f t="shared" si="225"/>
        <v>Pigs - lactating/pregnant sows</v>
      </c>
      <c r="B114" s="505">
        <f>'Livestock parameters'!H8</f>
        <v>0</v>
      </c>
      <c r="C114" s="1133">
        <f>'Livestock parameters'!G8*'Livestock parameters'!I8</f>
        <v>0</v>
      </c>
      <c r="D114" s="867">
        <f>IFERROR('Livestock parameters'!J8/(365*'Livestock parameters'!V8),0)</f>
        <v>0</v>
      </c>
      <c r="E114" s="867">
        <f>IFERROR('Livestock parameters'!K8/(365*'Livestock parameters'!V8),0)</f>
        <v>0</v>
      </c>
      <c r="F114" s="867">
        <f>'Livestock parameters'!L8</f>
        <v>0</v>
      </c>
      <c r="G114" s="867">
        <f>'Livestock parameters'!M8</f>
        <v>0</v>
      </c>
      <c r="H114" s="869">
        <f>'Livestock parameters'!N8</f>
        <v>0</v>
      </c>
      <c r="I114" s="505">
        <f>'Livestock parameters'!G8*'Livestock parameters'!O8</f>
        <v>0</v>
      </c>
      <c r="J114" s="870">
        <f>IFERROR('Livestock parameters'!P8/(365*'Livestock parameters'!V8),0)</f>
        <v>0</v>
      </c>
      <c r="K114" s="870">
        <f>IFERROR('Livestock parameters'!Q8/(365*'Livestock parameters'!V8),0)</f>
        <v>0</v>
      </c>
      <c r="L114" s="868">
        <f>'Livestock parameters'!R8</f>
        <v>0</v>
      </c>
      <c r="M114" s="868">
        <f>'Livestock parameters'!S8</f>
        <v>0</v>
      </c>
      <c r="Q114" s="230"/>
      <c r="U114" s="231"/>
      <c r="X114" s="577"/>
      <c r="AD114" s="229"/>
    </row>
    <row r="115" spans="1:37" s="145" customFormat="1">
      <c r="A115" s="13" t="str">
        <f t="shared" si="225"/>
        <v>Calves</v>
      </c>
      <c r="B115" s="505">
        <f>'Livestock parameters'!H9</f>
        <v>0</v>
      </c>
      <c r="C115" s="1133">
        <f>'Livestock parameters'!G9*'Livestock parameters'!I9</f>
        <v>0</v>
      </c>
      <c r="D115" s="867">
        <f>IFERROR('Livestock parameters'!J9/(365*'Livestock parameters'!V9),0)</f>
        <v>0</v>
      </c>
      <c r="E115" s="867">
        <f>IFERROR('Livestock parameters'!K9/(365*'Livestock parameters'!V9),0)</f>
        <v>0</v>
      </c>
      <c r="F115" s="867">
        <f>'Livestock parameters'!L9</f>
        <v>0</v>
      </c>
      <c r="G115" s="867">
        <f>'Livestock parameters'!M9</f>
        <v>0</v>
      </c>
      <c r="H115" s="869">
        <f>'Livestock parameters'!N9</f>
        <v>0</v>
      </c>
      <c r="I115" s="505">
        <f>'Livestock parameters'!G9*'Livestock parameters'!O9</f>
        <v>0</v>
      </c>
      <c r="J115" s="870">
        <f>IFERROR('Livestock parameters'!P9/(365*'Livestock parameters'!V9),0)</f>
        <v>0</v>
      </c>
      <c r="K115" s="870">
        <f>IFERROR('Livestock parameters'!Q9/(365*'Livestock parameters'!V9),0)</f>
        <v>0</v>
      </c>
      <c r="L115" s="868">
        <f>'Livestock parameters'!R9</f>
        <v>0</v>
      </c>
      <c r="M115" s="868">
        <f>'Livestock parameters'!S9</f>
        <v>0</v>
      </c>
      <c r="Q115" s="230"/>
      <c r="U115" s="231"/>
      <c r="X115" s="577"/>
      <c r="AD115" s="229"/>
    </row>
    <row r="116" spans="1:37" s="145" customFormat="1">
      <c r="A116" s="13">
        <f t="shared" si="225"/>
        <v>0</v>
      </c>
      <c r="B116" s="505">
        <f>'Livestock parameters'!H10</f>
        <v>0</v>
      </c>
      <c r="C116" s="1133">
        <f>'Livestock parameters'!G10*'Livestock parameters'!I10</f>
        <v>0</v>
      </c>
      <c r="D116" s="867">
        <f>IFERROR('Livestock parameters'!J10/(365*'Livestock parameters'!V10),0)</f>
        <v>0</v>
      </c>
      <c r="E116" s="867">
        <f>IFERROR('Livestock parameters'!K10/(365*'Livestock parameters'!V10),0)</f>
        <v>0</v>
      </c>
      <c r="F116" s="867">
        <f>'Livestock parameters'!L10</f>
        <v>0</v>
      </c>
      <c r="G116" s="867">
        <f>'Livestock parameters'!M10</f>
        <v>0</v>
      </c>
      <c r="H116" s="869">
        <f>'Livestock parameters'!N10</f>
        <v>0</v>
      </c>
      <c r="I116" s="505">
        <f>'Livestock parameters'!G10*'Livestock parameters'!O10</f>
        <v>0</v>
      </c>
      <c r="J116" s="870">
        <f>IFERROR('Livestock parameters'!P10/(365*'Livestock parameters'!V10),0)</f>
        <v>0</v>
      </c>
      <c r="K116" s="870">
        <f>IFERROR('Livestock parameters'!Q10/(365*'Livestock parameters'!V10),0)</f>
        <v>0</v>
      </c>
      <c r="L116" s="868">
        <f>'Livestock parameters'!R10</f>
        <v>0</v>
      </c>
      <c r="M116" s="868">
        <f>'Livestock parameters'!S10</f>
        <v>0</v>
      </c>
      <c r="Q116" s="230"/>
      <c r="U116" s="231"/>
      <c r="X116" s="577"/>
      <c r="AD116" s="229"/>
    </row>
    <row r="117" spans="1:37" s="145" customFormat="1">
      <c r="A117" s="13">
        <f t="shared" si="225"/>
        <v>0</v>
      </c>
      <c r="B117" s="505">
        <f>'Livestock parameters'!H11</f>
        <v>0</v>
      </c>
      <c r="C117" s="1133">
        <f>'Livestock parameters'!G11*'Livestock parameters'!I11</f>
        <v>0</v>
      </c>
      <c r="D117" s="867">
        <f>IFERROR('Livestock parameters'!J11/(365*'Livestock parameters'!V11),0)</f>
        <v>0</v>
      </c>
      <c r="E117" s="867">
        <f>IFERROR('Livestock parameters'!K11/(365*'Livestock parameters'!V11),0)</f>
        <v>0</v>
      </c>
      <c r="F117" s="867">
        <f>'Livestock parameters'!L11</f>
        <v>0</v>
      </c>
      <c r="G117" s="867">
        <f>'Livestock parameters'!M11</f>
        <v>0</v>
      </c>
      <c r="H117" s="869">
        <f>'Livestock parameters'!N11</f>
        <v>0</v>
      </c>
      <c r="I117" s="505">
        <f>'Livestock parameters'!G11*'Livestock parameters'!O11</f>
        <v>0</v>
      </c>
      <c r="J117" s="870">
        <f>IFERROR('Livestock parameters'!P11/(365*'Livestock parameters'!V11),0)</f>
        <v>0</v>
      </c>
      <c r="K117" s="870">
        <f>IFERROR('Livestock parameters'!Q11/(365*'Livestock parameters'!V11),0)</f>
        <v>0</v>
      </c>
      <c r="L117" s="868">
        <f>'Livestock parameters'!R11</f>
        <v>0</v>
      </c>
      <c r="M117" s="868">
        <f>'Livestock parameters'!S11</f>
        <v>0</v>
      </c>
      <c r="Q117" s="230"/>
      <c r="U117" s="231"/>
      <c r="X117" s="577"/>
      <c r="AD117" s="229"/>
    </row>
    <row r="118" spans="1:37" s="145" customFormat="1">
      <c r="A118" s="13">
        <f t="shared" ref="A118:A121" si="226">A136</f>
        <v>0</v>
      </c>
      <c r="B118" s="505">
        <f>'Livestock parameters'!H12</f>
        <v>0</v>
      </c>
      <c r="C118" s="1133">
        <f>'Livestock parameters'!G12*'Livestock parameters'!I12</f>
        <v>0</v>
      </c>
      <c r="D118" s="867">
        <f>IFERROR('Livestock parameters'!J12/(365*'Livestock parameters'!V12),0)</f>
        <v>0</v>
      </c>
      <c r="E118" s="867">
        <f>IFERROR('Livestock parameters'!K12/(365*'Livestock parameters'!V12),0)</f>
        <v>0</v>
      </c>
      <c r="F118" s="867">
        <f>'Livestock parameters'!L12</f>
        <v>0</v>
      </c>
      <c r="G118" s="867">
        <f>'Livestock parameters'!M12</f>
        <v>0</v>
      </c>
      <c r="H118" s="869">
        <f>'Livestock parameters'!N12</f>
        <v>0</v>
      </c>
      <c r="I118" s="505">
        <f>'Livestock parameters'!G12*'Livestock parameters'!O12</f>
        <v>0</v>
      </c>
      <c r="J118" s="870">
        <f>IFERROR('Livestock parameters'!P12/(365*'Livestock parameters'!V12),0)</f>
        <v>0</v>
      </c>
      <c r="K118" s="870">
        <f>IFERROR('Livestock parameters'!Q12/(365*'Livestock parameters'!V12),0)</f>
        <v>0</v>
      </c>
      <c r="L118" s="868">
        <f>'Livestock parameters'!R12</f>
        <v>0</v>
      </c>
      <c r="M118" s="868">
        <f>'Livestock parameters'!S12</f>
        <v>0</v>
      </c>
      <c r="Q118" s="230"/>
      <c r="U118" s="231"/>
      <c r="X118" s="577"/>
      <c r="AD118" s="229"/>
    </row>
    <row r="119" spans="1:37" s="145" customFormat="1">
      <c r="A119" s="13">
        <f t="shared" si="226"/>
        <v>0</v>
      </c>
      <c r="B119" s="505">
        <f>'Livestock parameters'!H13</f>
        <v>0</v>
      </c>
      <c r="C119" s="1133">
        <f>'Livestock parameters'!G13*'Livestock parameters'!I13</f>
        <v>0</v>
      </c>
      <c r="D119" s="867">
        <f>IFERROR('Livestock parameters'!J13/(365*'Livestock parameters'!V13),0)</f>
        <v>0</v>
      </c>
      <c r="E119" s="867">
        <f>IFERROR('Livestock parameters'!K13/(365*'Livestock parameters'!V13),0)</f>
        <v>0</v>
      </c>
      <c r="F119" s="867">
        <f>'Livestock parameters'!L13</f>
        <v>0</v>
      </c>
      <c r="G119" s="867">
        <f>'Livestock parameters'!M13</f>
        <v>0</v>
      </c>
      <c r="H119" s="869">
        <f>'Livestock parameters'!N13</f>
        <v>0</v>
      </c>
      <c r="I119" s="505">
        <f>'Livestock parameters'!G13*'Livestock parameters'!O13</f>
        <v>0</v>
      </c>
      <c r="J119" s="870">
        <f>IFERROR('Livestock parameters'!P13/(365*'Livestock parameters'!V13),0)</f>
        <v>0</v>
      </c>
      <c r="K119" s="870">
        <f>IFERROR('Livestock parameters'!Q13/(365*'Livestock parameters'!V13),0)</f>
        <v>0</v>
      </c>
      <c r="L119" s="868">
        <f>'Livestock parameters'!R13</f>
        <v>0</v>
      </c>
      <c r="M119" s="868">
        <f>'Livestock parameters'!S13</f>
        <v>0</v>
      </c>
      <c r="Q119" s="230"/>
      <c r="U119" s="231"/>
      <c r="X119" s="577"/>
      <c r="AD119" s="229"/>
    </row>
    <row r="120" spans="1:37" s="145" customFormat="1">
      <c r="A120" s="13">
        <f t="shared" si="226"/>
        <v>0</v>
      </c>
      <c r="B120" s="505">
        <f>'Livestock parameters'!H14</f>
        <v>0</v>
      </c>
      <c r="C120" s="1133">
        <f>'Livestock parameters'!G14*'Livestock parameters'!I14</f>
        <v>0</v>
      </c>
      <c r="D120" s="867">
        <f>IFERROR('Livestock parameters'!J14/(365*'Livestock parameters'!V14),0)</f>
        <v>0</v>
      </c>
      <c r="E120" s="867">
        <f>IFERROR('Livestock parameters'!K14/(365*'Livestock parameters'!V14),0)</f>
        <v>0</v>
      </c>
      <c r="F120" s="867">
        <f>'Livestock parameters'!L14</f>
        <v>0</v>
      </c>
      <c r="G120" s="867">
        <f>'Livestock parameters'!M14</f>
        <v>0</v>
      </c>
      <c r="H120" s="869">
        <f>'Livestock parameters'!N14</f>
        <v>0</v>
      </c>
      <c r="I120" s="505">
        <f>'Livestock parameters'!G14*'Livestock parameters'!O14</f>
        <v>0</v>
      </c>
      <c r="J120" s="870">
        <f>IFERROR('Livestock parameters'!P14/(365*'Livestock parameters'!V14),0)</f>
        <v>0</v>
      </c>
      <c r="K120" s="870">
        <f>IFERROR('Livestock parameters'!Q14/(365*'Livestock parameters'!V14),0)</f>
        <v>0</v>
      </c>
      <c r="L120" s="868">
        <f>'Livestock parameters'!R14</f>
        <v>0</v>
      </c>
      <c r="M120" s="868">
        <f>'Livestock parameters'!S14</f>
        <v>0</v>
      </c>
      <c r="Q120" s="230"/>
      <c r="U120" s="231"/>
      <c r="X120" s="577"/>
      <c r="AD120" s="229"/>
    </row>
    <row r="121" spans="1:37" s="145" customFormat="1">
      <c r="A121" s="13">
        <f t="shared" si="226"/>
        <v>0</v>
      </c>
      <c r="B121" s="505">
        <f>'Livestock parameters'!H15</f>
        <v>0</v>
      </c>
      <c r="C121" s="1133">
        <f>'Livestock parameters'!G15*'Livestock parameters'!I15</f>
        <v>0</v>
      </c>
      <c r="D121" s="867">
        <f>IFERROR('Livestock parameters'!J15/(365*'Livestock parameters'!V15),0)</f>
        <v>0</v>
      </c>
      <c r="E121" s="867">
        <f>IFERROR('Livestock parameters'!K15/(365*'Livestock parameters'!V15),0)</f>
        <v>0</v>
      </c>
      <c r="F121" s="867">
        <f>'Livestock parameters'!L15</f>
        <v>0</v>
      </c>
      <c r="G121" s="867">
        <f>'Livestock parameters'!M15</f>
        <v>0</v>
      </c>
      <c r="H121" s="869">
        <f>'Livestock parameters'!N15</f>
        <v>0</v>
      </c>
      <c r="I121" s="505">
        <f>'Livestock parameters'!G15*'Livestock parameters'!O15</f>
        <v>0</v>
      </c>
      <c r="J121" s="870">
        <f>IFERROR('Livestock parameters'!P15/(365*'Livestock parameters'!V15),0)</f>
        <v>0</v>
      </c>
      <c r="K121" s="870">
        <f>IFERROR('Livestock parameters'!Q15/(365*'Livestock parameters'!V15),0)</f>
        <v>0</v>
      </c>
      <c r="L121" s="868">
        <f>'Livestock parameters'!R15</f>
        <v>0</v>
      </c>
      <c r="M121" s="868">
        <f>'Livestock parameters'!S15</f>
        <v>0</v>
      </c>
      <c r="Q121" s="230"/>
      <c r="U121" s="231"/>
      <c r="X121" s="577"/>
      <c r="AD121" s="229"/>
    </row>
    <row r="122" spans="1:37" s="145" customFormat="1">
      <c r="B122" s="269"/>
      <c r="C122" s="269"/>
      <c r="D122" s="535"/>
      <c r="O122" s="230"/>
      <c r="S122" s="231"/>
      <c r="V122" s="577"/>
      <c r="AB122" s="229"/>
    </row>
    <row r="123" spans="1:37" s="145" customFormat="1">
      <c r="O123" s="230"/>
      <c r="S123" s="231"/>
      <c r="V123" s="577"/>
      <c r="AB123" s="229"/>
    </row>
    <row r="124" spans="1:37" s="145" customFormat="1">
      <c r="A124" s="372" t="s">
        <v>1176</v>
      </c>
      <c r="B124" s="372"/>
      <c r="C124" s="372"/>
      <c r="D124" s="372"/>
      <c r="E124" s="372"/>
      <c r="F124" s="372"/>
      <c r="G124" s="372"/>
      <c r="H124" s="372"/>
      <c r="I124" s="372"/>
      <c r="J124" s="372"/>
      <c r="K124" s="372"/>
      <c r="L124" s="372"/>
      <c r="M124" s="372"/>
      <c r="N124" s="372"/>
      <c r="O124" s="372"/>
      <c r="P124" s="372"/>
      <c r="Q124" s="372"/>
      <c r="R124" s="372"/>
      <c r="S124" s="372"/>
      <c r="T124" s="372"/>
      <c r="U124" s="372"/>
      <c r="V124" s="372"/>
      <c r="W124" s="372"/>
      <c r="X124" s="372"/>
      <c r="Y124" s="372"/>
      <c r="Z124" s="372"/>
      <c r="AA124" s="581"/>
      <c r="AB124" s="372"/>
      <c r="AC124" s="372"/>
      <c r="AD124" s="372"/>
      <c r="AE124" s="372"/>
      <c r="AF124" s="372"/>
      <c r="AG124" s="372"/>
      <c r="AH124" s="372"/>
      <c r="AI124" s="372"/>
      <c r="AJ124" s="372"/>
      <c r="AK124" s="372"/>
    </row>
    <row r="125" spans="1:37" s="145" customFormat="1" ht="78.75">
      <c r="A125" s="13"/>
      <c r="B125" s="502" t="s">
        <v>641</v>
      </c>
      <c r="C125" s="502" t="s">
        <v>1145</v>
      </c>
      <c r="D125" s="503" t="s">
        <v>998</v>
      </c>
      <c r="E125" s="503" t="s">
        <v>999</v>
      </c>
      <c r="F125" s="503" t="s">
        <v>1843</v>
      </c>
      <c r="G125" s="503" t="s">
        <v>1151</v>
      </c>
      <c r="H125" s="504" t="s">
        <v>1152</v>
      </c>
      <c r="I125" s="504" t="s">
        <v>1844</v>
      </c>
      <c r="J125" s="503" t="s">
        <v>1155</v>
      </c>
      <c r="K125" s="503" t="s">
        <v>1156</v>
      </c>
      <c r="L125" s="503" t="s">
        <v>1845</v>
      </c>
      <c r="M125" s="503" t="s">
        <v>1146</v>
      </c>
      <c r="N125" s="503" t="s">
        <v>1147</v>
      </c>
      <c r="O125" s="503" t="s">
        <v>1846</v>
      </c>
      <c r="P125" s="503" t="s">
        <v>1161</v>
      </c>
      <c r="Q125" s="503" t="s">
        <v>1162</v>
      </c>
      <c r="R125" s="503" t="s">
        <v>1847</v>
      </c>
      <c r="S125" s="503" t="s">
        <v>1157</v>
      </c>
      <c r="T125" s="503" t="s">
        <v>1158</v>
      </c>
      <c r="U125" s="503" t="s">
        <v>1848</v>
      </c>
      <c r="AA125" s="577"/>
    </row>
    <row r="126" spans="1:37" s="145" customFormat="1">
      <c r="A126" s="13" t="str">
        <f>INPUTS!C21</f>
        <v>Cows (local)</v>
      </c>
      <c r="B126" s="1126">
        <f>(B108*365+C108*365+D108*365+E108*365+'Livestock parameters'!T2*F108+G108*'Livestock parameters'!U2)*INPUTS!D21</f>
        <v>0</v>
      </c>
      <c r="C126" s="505">
        <f>(H108*365+I108*365+J108*365+K108*365+'Livestock parameters'!T2*L108+M108*'Livestock parameters'!U2)*INPUTS!D21</f>
        <v>0</v>
      </c>
      <c r="D126" s="506">
        <f>B126*Feed!$G$3</f>
        <v>0</v>
      </c>
      <c r="E126" s="506">
        <f>B126*Feed!$P$3</f>
        <v>0</v>
      </c>
      <c r="F126" s="506">
        <f>B126*Feed!$Y$3</f>
        <v>0</v>
      </c>
      <c r="G126" s="506">
        <f>IFERROR(D126/Feed!L10,0)</f>
        <v>0</v>
      </c>
      <c r="H126" s="506">
        <f>IFERROR(E126/Feed!U10,0)</f>
        <v>0</v>
      </c>
      <c r="I126" s="506">
        <f>IFERROR(F126/Feed!AD10,0)</f>
        <v>0</v>
      </c>
      <c r="J126" s="506">
        <f t="shared" ref="J126:J139" si="227">IFERROR(G126*$L$11/100, 0)</f>
        <v>0</v>
      </c>
      <c r="K126" s="506">
        <f t="shared" ref="K126:K139" si="228">IFERROR(H126*$U$11/100, 0)</f>
        <v>0</v>
      </c>
      <c r="L126" s="506">
        <f>IFERROR(I126*$AD$11/100, 0)</f>
        <v>0</v>
      </c>
      <c r="M126" s="506">
        <f>IFERROR(C126*Feed!$G$3, 0)</f>
        <v>0</v>
      </c>
      <c r="N126" s="506">
        <f>IFERROR(C126*Feed!$P$3, 0)</f>
        <v>0</v>
      </c>
      <c r="O126" s="506">
        <f>IFERROR(C126*Feed!$Y$3, 0)</f>
        <v>0</v>
      </c>
      <c r="P126" s="506">
        <f>IFERROR(M126/(Feed!L8/100),0)</f>
        <v>0</v>
      </c>
      <c r="Q126" s="506">
        <f>IFERROR(N126/(Feed!U8/100),0)</f>
        <v>0</v>
      </c>
      <c r="R126" s="506">
        <f>IFERROR(O126/(Feed!AD8/100),0)</f>
        <v>0</v>
      </c>
      <c r="S126" s="506">
        <f t="shared" ref="S126:S139" si="229">IFERROR(P126*$L$11/100, 0)</f>
        <v>0</v>
      </c>
      <c r="T126" s="506">
        <f t="shared" ref="T126:T139" si="230">IFERROR(Q126*$U$11/100, 0)</f>
        <v>0</v>
      </c>
      <c r="U126" s="506">
        <f>IFERROR(R126*$AD$11/100, 0)</f>
        <v>0</v>
      </c>
      <c r="AA126" s="577"/>
    </row>
    <row r="127" spans="1:37" s="145" customFormat="1">
      <c r="A127" s="13" t="str">
        <f>INPUTS!C22</f>
        <v>Cows (improved)</v>
      </c>
      <c r="B127" s="1126">
        <f>(B109*365+C109*365+D109*365+E109*365+'Livestock parameters'!T3*F109+G109*'Livestock parameters'!U3)*INPUTS!D22</f>
        <v>50751.511655120266</v>
      </c>
      <c r="C127" s="505">
        <f>(H109*365+I109*365+J109*365+K109*365+'Livestock parameters'!T3*L109+M109*'Livestock parameters'!U3)*INPUTS!D22</f>
        <v>572.98</v>
      </c>
      <c r="D127" s="506">
        <f>B127*Feed!$G$3</f>
        <v>26418.595108144797</v>
      </c>
      <c r="E127" s="506">
        <f>B127*Feed!$P$3</f>
        <v>24332.91654697547</v>
      </c>
      <c r="F127" s="506">
        <f>B127*Feed!$Y$3</f>
        <v>0</v>
      </c>
      <c r="G127" s="506">
        <f>IFERROR(D127/Feed!L17,0)</f>
        <v>9423.9977120886779</v>
      </c>
      <c r="H127" s="506">
        <f>IFERROR(E127/Feed!U17,0)</f>
        <v>7126.0746161990373</v>
      </c>
      <c r="I127" s="506">
        <f>IFERROR(F127/Feed!AD17,0)</f>
        <v>0</v>
      </c>
      <c r="J127" s="506">
        <f>IFERROR(G127*$L$18/100, 0)</f>
        <v>3807.5777956151874</v>
      </c>
      <c r="K127" s="506">
        <f>IFERROR(H127*$U$18/100, 0)</f>
        <v>3191.1274738800912</v>
      </c>
      <c r="L127" s="506">
        <f t="shared" ref="L127:L139" si="231">IFERROR(I127*$AD$11/100, 0)</f>
        <v>0</v>
      </c>
      <c r="M127" s="506">
        <f>IFERROR(C127*Feed!$G$3, 0)</f>
        <v>298.2635616438356</v>
      </c>
      <c r="N127" s="506">
        <f>IFERROR(C127*Feed!$P$3, 0)</f>
        <v>274.71643835616436</v>
      </c>
      <c r="O127" s="506">
        <f>IFERROR(C127*Feed!$Y$3, 0)</f>
        <v>0</v>
      </c>
      <c r="P127" s="506">
        <f>IFERROR(M127/(Feed!L15/100),0)</f>
        <v>8977.4255221745298</v>
      </c>
      <c r="Q127" s="506">
        <f>IFERROR(N127/(Feed!U15/100),0)</f>
        <v>8191.2455928447416</v>
      </c>
      <c r="R127" s="506">
        <f>IFERROR(O127/(Feed!AD15/100),0)</f>
        <v>0</v>
      </c>
      <c r="S127" s="506">
        <f t="shared" si="229"/>
        <v>0</v>
      </c>
      <c r="T127" s="506">
        <f t="shared" si="230"/>
        <v>0</v>
      </c>
      <c r="U127" s="506">
        <f t="shared" ref="U127:U139" si="232">IFERROR(R127*$AD$11/100, 0)</f>
        <v>0</v>
      </c>
      <c r="AA127" s="577"/>
    </row>
    <row r="128" spans="1:37" s="145" customFormat="1">
      <c r="A128" s="13" t="str">
        <f>INPUTS!C23</f>
        <v>Adult cattle - male</v>
      </c>
      <c r="B128" s="1126">
        <f>(B110*365+C110*365+D110*365+E110*365+'Livestock parameters'!T4*F110+G110*'Livestock parameters'!U4)*INPUTS!D23</f>
        <v>0</v>
      </c>
      <c r="C128" s="505">
        <f>(H110*365+I110*365+J110*365+K110*365+'Livestock parameters'!T4*L110+M110*'Livestock parameters'!U4)*INPUTS!D23</f>
        <v>0</v>
      </c>
      <c r="D128" s="506">
        <f>B128*Feed!$G$3</f>
        <v>0</v>
      </c>
      <c r="E128" s="506">
        <f>B128*Feed!$P$3</f>
        <v>0</v>
      </c>
      <c r="F128" s="506">
        <f>B128*Feed!$Y$3</f>
        <v>0</v>
      </c>
      <c r="G128" s="506">
        <f>IFERROR(D128/Feed!L24,0)</f>
        <v>0</v>
      </c>
      <c r="H128" s="506">
        <f>IFERROR(E128/Feed!U24,0)</f>
        <v>0</v>
      </c>
      <c r="I128" s="506">
        <f>IFERROR(F128/Feed!AD24,0)</f>
        <v>0</v>
      </c>
      <c r="J128" s="506">
        <f t="shared" si="227"/>
        <v>0</v>
      </c>
      <c r="K128" s="506">
        <f t="shared" si="228"/>
        <v>0</v>
      </c>
      <c r="L128" s="506">
        <f t="shared" si="231"/>
        <v>0</v>
      </c>
      <c r="M128" s="506">
        <f>IFERROR(C128*Feed!$G$3, 0)</f>
        <v>0</v>
      </c>
      <c r="N128" s="506">
        <f>IFERROR(C128*Feed!$P$3, 0)</f>
        <v>0</v>
      </c>
      <c r="O128" s="506">
        <f>IFERROR(C128*Feed!$Y$3, 0)</f>
        <v>0</v>
      </c>
      <c r="P128" s="506">
        <f>IFERROR(M128/(Feed!L22/100),0)</f>
        <v>0</v>
      </c>
      <c r="Q128" s="506">
        <f>IFERROR(N128/(Feed!U22/100),0)</f>
        <v>0</v>
      </c>
      <c r="R128" s="506">
        <f>IFERROR(O128/(Feed!AD22/100),0)</f>
        <v>0</v>
      </c>
      <c r="S128" s="506">
        <f t="shared" si="229"/>
        <v>0</v>
      </c>
      <c r="T128" s="506">
        <f t="shared" si="230"/>
        <v>0</v>
      </c>
      <c r="U128" s="506">
        <f t="shared" si="232"/>
        <v>0</v>
      </c>
      <c r="AA128" s="577"/>
    </row>
    <row r="129" spans="1:33" s="145" customFormat="1">
      <c r="A129" s="13" t="str">
        <f>INPUTS!C24</f>
        <v>Calves</v>
      </c>
      <c r="B129" s="1126">
        <f>(B111*365+C111*365+D111*365+E111*365+'Livestock parameters'!T5*F111+G111*'Livestock parameters'!U5)*INPUTS!D24</f>
        <v>0</v>
      </c>
      <c r="C129" s="505">
        <f>(H111*365+I111*365+J111*365+K111*365+'Livestock parameters'!T5*L111+M111*'Livestock parameters'!U5)*INPUTS!D24</f>
        <v>0</v>
      </c>
      <c r="D129" s="506">
        <f>B129*Feed!$G$3</f>
        <v>0</v>
      </c>
      <c r="E129" s="506">
        <f>B129*Feed!$P$3</f>
        <v>0</v>
      </c>
      <c r="F129" s="506">
        <f>B129*Feed!$Y$3</f>
        <v>0</v>
      </c>
      <c r="G129" s="506">
        <f>IFERROR(D129/Feed!L31,0)</f>
        <v>0</v>
      </c>
      <c r="H129" s="506">
        <f>IFERROR(E129/Feed!U31,0)</f>
        <v>0</v>
      </c>
      <c r="I129" s="506">
        <f>IFERROR(F129/Feed!AD31,0)</f>
        <v>0</v>
      </c>
      <c r="J129" s="506">
        <f t="shared" si="227"/>
        <v>0</v>
      </c>
      <c r="K129" s="506">
        <f t="shared" si="228"/>
        <v>0</v>
      </c>
      <c r="L129" s="506">
        <f t="shared" si="231"/>
        <v>0</v>
      </c>
      <c r="M129" s="506">
        <f>IFERROR(C129*Feed!$G$3, 0)</f>
        <v>0</v>
      </c>
      <c r="N129" s="506">
        <f>IFERROR(C129*Feed!$P$3, 0)</f>
        <v>0</v>
      </c>
      <c r="O129" s="506">
        <f>IFERROR(C129*Feed!$Y$3, 0)</f>
        <v>0</v>
      </c>
      <c r="P129" s="506">
        <f>IFERROR(M129/(Feed!L29/100),0)</f>
        <v>0</v>
      </c>
      <c r="Q129" s="506">
        <f>IFERROR(N129/(Feed!U29/100),0)</f>
        <v>0</v>
      </c>
      <c r="R129" s="506">
        <f>IFERROR(O129/(Feed!AD29/100),0)</f>
        <v>0</v>
      </c>
      <c r="S129" s="506">
        <f t="shared" si="229"/>
        <v>0</v>
      </c>
      <c r="T129" s="506">
        <f t="shared" si="230"/>
        <v>0</v>
      </c>
      <c r="U129" s="506">
        <f t="shared" si="232"/>
        <v>0</v>
      </c>
      <c r="AA129" s="577"/>
    </row>
    <row r="130" spans="1:33" s="145" customFormat="1">
      <c r="A130" s="13" t="str">
        <f>INPUTS!C25</f>
        <v>Steers/heifers</v>
      </c>
      <c r="B130" s="1126">
        <f>(B112*365+C112*365+D112*365+E112*365+'Livestock parameters'!T6*F112+G112*'Livestock parameters'!U6)*INPUTS!D25</f>
        <v>61875.353787676293</v>
      </c>
      <c r="C130" s="505">
        <f>(H112*365+I112*365+J112*365+K112*365+'Livestock parameters'!T6*L112+M112*'Livestock parameters'!U6)*INPUTS!D25</f>
        <v>504.75</v>
      </c>
      <c r="D130" s="506">
        <f>B130*Feed!$G$3</f>
        <v>32209.088273036974</v>
      </c>
      <c r="E130" s="506">
        <f>B130*Feed!$P$3</f>
        <v>29666.265514639315</v>
      </c>
      <c r="F130" s="506">
        <f>B130*Feed!$Y$3</f>
        <v>0</v>
      </c>
      <c r="G130" s="506">
        <f>IFERROR(D130/Feed!L38,0)</f>
        <v>11489.572891784184</v>
      </c>
      <c r="H130" s="506">
        <f>IFERROR(E130/Feed!U38,0)</f>
        <v>8687.9853154129669</v>
      </c>
      <c r="I130" s="506">
        <f>IFERROR(F130/Feed!AD38,0)</f>
        <v>0</v>
      </c>
      <c r="J130" s="506">
        <f>IFERROR(G130*$L$18/100, 0)</f>
        <v>4642.1321354675629</v>
      </c>
      <c r="K130" s="506">
        <f>IFERROR(H130*$U$18/100, 0)</f>
        <v>3890.5667040950807</v>
      </c>
      <c r="L130" s="506">
        <f t="shared" si="231"/>
        <v>0</v>
      </c>
      <c r="M130" s="506">
        <f>IFERROR(C130*Feed!$G$3, 0)</f>
        <v>262.74657534246575</v>
      </c>
      <c r="N130" s="506">
        <f>IFERROR(C130*Feed!$P$3, 0)</f>
        <v>242.00342465753423</v>
      </c>
      <c r="O130" s="506">
        <f>IFERROR(C130*Feed!$Y$3, 0)</f>
        <v>0</v>
      </c>
      <c r="P130" s="506">
        <f>IFERROR(M130/(Feed!L36/100),0)</f>
        <v>7908.4008731850927</v>
      </c>
      <c r="Q130" s="506">
        <f>IFERROR(N130/(Feed!U36/100),0)</f>
        <v>7215.8386208739976</v>
      </c>
      <c r="R130" s="506">
        <f>IFERROR(O130/(Feed!AD36/100),0)</f>
        <v>0</v>
      </c>
      <c r="S130" s="506">
        <f t="shared" si="229"/>
        <v>0</v>
      </c>
      <c r="T130" s="506">
        <f t="shared" si="230"/>
        <v>0</v>
      </c>
      <c r="U130" s="506">
        <f t="shared" si="232"/>
        <v>0</v>
      </c>
      <c r="AA130" s="577"/>
    </row>
    <row r="131" spans="1:33" s="145" customFormat="1">
      <c r="A131" s="13" t="str">
        <f>INPUTS!C26</f>
        <v>Sheep/Goats - Ewes/Does</v>
      </c>
      <c r="B131" s="1126">
        <f>(B113*365+C113*365+D113*365+E113*365+'Livestock parameters'!T7*F113+G113*'Livestock parameters'!U7)*INPUTS!D26</f>
        <v>0</v>
      </c>
      <c r="C131" s="505">
        <f>(H113*365+I113*365+J113*365+K113*365+'Livestock parameters'!T7*L113+M113*'Livestock parameters'!U7)*INPUTS!D26</f>
        <v>0</v>
      </c>
      <c r="D131" s="506">
        <f>B131*Feed!$G$3</f>
        <v>0</v>
      </c>
      <c r="E131" s="506">
        <f>B131*Feed!$P$3</f>
        <v>0</v>
      </c>
      <c r="F131" s="506">
        <f>B131*Feed!$Y$3</f>
        <v>0</v>
      </c>
      <c r="G131" s="506">
        <f>IFERROR(D131/Feed!L45,0)</f>
        <v>0</v>
      </c>
      <c r="H131" s="506">
        <f>IFERROR(E131/Feed!U45,0)</f>
        <v>0</v>
      </c>
      <c r="I131" s="506">
        <f>IFERROR(F131/Feed!AD45,0)</f>
        <v>0</v>
      </c>
      <c r="J131" s="506">
        <f t="shared" si="227"/>
        <v>0</v>
      </c>
      <c r="K131" s="506">
        <f t="shared" si="228"/>
        <v>0</v>
      </c>
      <c r="L131" s="506">
        <f t="shared" si="231"/>
        <v>0</v>
      </c>
      <c r="M131" s="506">
        <f>IFERROR(C131*Feed!$G$3, 0)</f>
        <v>0</v>
      </c>
      <c r="N131" s="506">
        <f>IFERROR(C131*Feed!$P$3, 0)</f>
        <v>0</v>
      </c>
      <c r="O131" s="506">
        <f>IFERROR(C131*Feed!$Y$3, 0)</f>
        <v>0</v>
      </c>
      <c r="P131" s="506">
        <f>IFERROR(M131/(Feed!L43/100),0)</f>
        <v>0</v>
      </c>
      <c r="Q131" s="506">
        <f>IFERROR(N131/(Feed!U43/100),0)</f>
        <v>0</v>
      </c>
      <c r="R131" s="506">
        <f>IFERROR(O131/(Feed!AD43/100),0)</f>
        <v>0</v>
      </c>
      <c r="S131" s="506">
        <f t="shared" si="229"/>
        <v>0</v>
      </c>
      <c r="T131" s="506">
        <f t="shared" si="230"/>
        <v>0</v>
      </c>
      <c r="U131" s="506">
        <f t="shared" si="232"/>
        <v>0</v>
      </c>
      <c r="AA131" s="577"/>
    </row>
    <row r="132" spans="1:33" s="145" customFormat="1">
      <c r="A132" s="13" t="str">
        <f>INPUTS!C27</f>
        <v>Pigs - lactating/pregnant sows</v>
      </c>
      <c r="B132" s="1126">
        <f>(B114*365+C114*365+D114*365+E114*365+'Livestock parameters'!T8*F114+G114*'Livestock parameters'!U8)*INPUTS!D27</f>
        <v>0</v>
      </c>
      <c r="C132" s="505">
        <f>(H114*365+I114*365+J114*365+K114*365+'Livestock parameters'!T8*L114+M114*'Livestock parameters'!U8)*INPUTS!D27</f>
        <v>0</v>
      </c>
      <c r="D132" s="506">
        <f>B132*Feed!$G$3</f>
        <v>0</v>
      </c>
      <c r="E132" s="506">
        <f>B132*Feed!$P$3</f>
        <v>0</v>
      </c>
      <c r="F132" s="506">
        <f>B132*Feed!$Y$3</f>
        <v>0</v>
      </c>
      <c r="G132" s="506">
        <f>IFERROR(D132/Feed!L52,0)</f>
        <v>0</v>
      </c>
      <c r="H132" s="506">
        <f>IFERROR(E132/Feed!U52,0)</f>
        <v>0</v>
      </c>
      <c r="I132" s="506">
        <f>IFERROR(F132/Feed!AD52,0)</f>
        <v>0</v>
      </c>
      <c r="J132" s="506">
        <f t="shared" si="227"/>
        <v>0</v>
      </c>
      <c r="K132" s="506">
        <f t="shared" si="228"/>
        <v>0</v>
      </c>
      <c r="L132" s="506">
        <f t="shared" si="231"/>
        <v>0</v>
      </c>
      <c r="M132" s="506">
        <f>IFERROR(C132*Feed!$G$3, 0)</f>
        <v>0</v>
      </c>
      <c r="N132" s="506">
        <f>IFERROR(C132*Feed!$P$3, 0)</f>
        <v>0</v>
      </c>
      <c r="O132" s="506">
        <f>IFERROR(C132*Feed!$Y$3, 0)</f>
        <v>0</v>
      </c>
      <c r="P132" s="506">
        <f>IFERROR(M132/(Feed!L50/100),0)</f>
        <v>0</v>
      </c>
      <c r="Q132" s="506">
        <f>IFERROR(N132/(Feed!U50/100),0)</f>
        <v>0</v>
      </c>
      <c r="R132" s="506">
        <f>IFERROR(O132/(Feed!AD50/100),0)</f>
        <v>0</v>
      </c>
      <c r="S132" s="506">
        <f t="shared" si="229"/>
        <v>0</v>
      </c>
      <c r="T132" s="506">
        <f t="shared" si="230"/>
        <v>0</v>
      </c>
      <c r="U132" s="506">
        <f t="shared" si="232"/>
        <v>0</v>
      </c>
      <c r="AA132" s="577"/>
    </row>
    <row r="133" spans="1:33" s="145" customFormat="1">
      <c r="A133" s="13" t="str">
        <f>INPUTS!C28</f>
        <v>Calves</v>
      </c>
      <c r="B133" s="1126">
        <f>(B115*365+C115*365+D115*365+E115*365+'Livestock parameters'!T9*F115+G115*'Livestock parameters'!U9)*INPUTS!D28</f>
        <v>0</v>
      </c>
      <c r="C133" s="505">
        <f>(H115*365+I115*365+J115*365+K115*365+'Livestock parameters'!T9*L115+M115*'Livestock parameters'!U9)*INPUTS!D28</f>
        <v>0</v>
      </c>
      <c r="D133" s="506">
        <f>B133*Feed!$G$3</f>
        <v>0</v>
      </c>
      <c r="E133" s="506">
        <f>B133*Feed!$P$3</f>
        <v>0</v>
      </c>
      <c r="F133" s="506">
        <f>B133*Feed!$Y$3</f>
        <v>0</v>
      </c>
      <c r="G133" s="506">
        <f>IFERROR(D133/Feed!L57,0)</f>
        <v>0</v>
      </c>
      <c r="H133" s="506">
        <f>IFERROR(E133/Feed!U57,0)</f>
        <v>0</v>
      </c>
      <c r="I133" s="506">
        <f>IFERROR(F133/Feed!AD57,0)</f>
        <v>0</v>
      </c>
      <c r="J133" s="506">
        <f t="shared" si="227"/>
        <v>0</v>
      </c>
      <c r="K133" s="506">
        <f t="shared" si="228"/>
        <v>0</v>
      </c>
      <c r="L133" s="506">
        <f t="shared" si="231"/>
        <v>0</v>
      </c>
      <c r="M133" s="506">
        <f>IFERROR(C133*Feed!$G$3, 0)</f>
        <v>0</v>
      </c>
      <c r="N133" s="506">
        <f>IFERROR(C133*Feed!$P$3, 0)</f>
        <v>0</v>
      </c>
      <c r="O133" s="506">
        <f>IFERROR(C133*Feed!$Y$3, 0)</f>
        <v>0</v>
      </c>
      <c r="P133" s="506">
        <f>IFERROR(M133/(Feed!L57/100),0)</f>
        <v>0</v>
      </c>
      <c r="Q133" s="506">
        <f>IFERROR(N133/(Feed!U57/100),0)</f>
        <v>0</v>
      </c>
      <c r="R133" s="506">
        <f>IFERROR(O133/(Feed!AD57/100),0)</f>
        <v>0</v>
      </c>
      <c r="S133" s="506">
        <f t="shared" si="229"/>
        <v>0</v>
      </c>
      <c r="T133" s="506">
        <f t="shared" si="230"/>
        <v>0</v>
      </c>
      <c r="U133" s="506">
        <f t="shared" si="232"/>
        <v>0</v>
      </c>
      <c r="AA133" s="577"/>
    </row>
    <row r="134" spans="1:33" s="145" customFormat="1">
      <c r="A134" s="13">
        <f>INPUTS!C29</f>
        <v>0</v>
      </c>
      <c r="B134" s="1126">
        <f>(B116*365+C116*365+D116*365+E116*365+'Livestock parameters'!T10*F116+G116*'Livestock parameters'!U10)*INPUTS!D29</f>
        <v>0</v>
      </c>
      <c r="C134" s="505">
        <f>(H116*365+I116*365+J116*365+K116*365+'Livestock parameters'!T10*L116+M116*'Livestock parameters'!U10)*INPUTS!D29</f>
        <v>0</v>
      </c>
      <c r="D134" s="506">
        <f>B134*Feed!$G$3</f>
        <v>0</v>
      </c>
      <c r="E134" s="506">
        <f>B134*Feed!$P$3</f>
        <v>0</v>
      </c>
      <c r="F134" s="506">
        <f>B134*Feed!$Y$3</f>
        <v>0</v>
      </c>
      <c r="G134" s="506">
        <f>IFERROR(D134/Feed!L64,0)</f>
        <v>0</v>
      </c>
      <c r="H134" s="506">
        <f>IFERROR(E134/Feed!U64,0)</f>
        <v>0</v>
      </c>
      <c r="I134" s="506">
        <f>IFERROR(F134/Feed!AD64,0)</f>
        <v>0</v>
      </c>
      <c r="J134" s="506">
        <f t="shared" si="227"/>
        <v>0</v>
      </c>
      <c r="K134" s="506">
        <f t="shared" si="228"/>
        <v>0</v>
      </c>
      <c r="L134" s="506">
        <f t="shared" si="231"/>
        <v>0</v>
      </c>
      <c r="M134" s="506">
        <f>IFERROR(C134*Feed!$G$3, 0)</f>
        <v>0</v>
      </c>
      <c r="N134" s="506">
        <f>IFERROR(C134*Feed!$P$3, 0)</f>
        <v>0</v>
      </c>
      <c r="O134" s="506">
        <f>IFERROR(C134*Feed!$Y$3, 0)</f>
        <v>0</v>
      </c>
      <c r="P134" s="506">
        <f>IFERROR(M134/(Feed!L64/100),0)</f>
        <v>0</v>
      </c>
      <c r="Q134" s="506">
        <f>IFERROR(N134/(Feed!U64/100),0)</f>
        <v>0</v>
      </c>
      <c r="R134" s="506">
        <f>IFERROR(O134/(Feed!AD64/100),0)</f>
        <v>0</v>
      </c>
      <c r="S134" s="506">
        <f t="shared" si="229"/>
        <v>0</v>
      </c>
      <c r="T134" s="506">
        <f t="shared" si="230"/>
        <v>0</v>
      </c>
      <c r="U134" s="506">
        <f t="shared" si="232"/>
        <v>0</v>
      </c>
      <c r="AA134" s="577"/>
    </row>
    <row r="135" spans="1:33" s="145" customFormat="1">
      <c r="A135" s="13">
        <f>INPUTS!C30</f>
        <v>0</v>
      </c>
      <c r="B135" s="1126">
        <f>(B117*365+C117*365+D117*365+E117*365+'Livestock parameters'!T11*F117+G117*'Livestock parameters'!U11)*INPUTS!D30</f>
        <v>0</v>
      </c>
      <c r="C135" s="505">
        <f>(H117*365+I117*365+J117*365+K117*365+'Livestock parameters'!T11*L117+M117*'Livestock parameters'!U11)*INPUTS!D30</f>
        <v>0</v>
      </c>
      <c r="D135" s="506">
        <f>B135*Feed!$G$3</f>
        <v>0</v>
      </c>
      <c r="E135" s="506">
        <f>B135*Feed!$P$3</f>
        <v>0</v>
      </c>
      <c r="F135" s="506">
        <f>B135*Feed!$Y$3</f>
        <v>0</v>
      </c>
      <c r="G135" s="506">
        <f>IFERROR(D135/Feed!L71,0)</f>
        <v>0</v>
      </c>
      <c r="H135" s="506">
        <f>IFERROR(E135/Feed!U71,0)</f>
        <v>0</v>
      </c>
      <c r="I135" s="506">
        <f>IFERROR(F135/Feed!AD71,0)</f>
        <v>0</v>
      </c>
      <c r="J135" s="506">
        <f t="shared" si="227"/>
        <v>0</v>
      </c>
      <c r="K135" s="506">
        <f t="shared" si="228"/>
        <v>0</v>
      </c>
      <c r="L135" s="506">
        <f t="shared" si="231"/>
        <v>0</v>
      </c>
      <c r="M135" s="506">
        <f>IFERROR(C135*Feed!$G$3, 0)</f>
        <v>0</v>
      </c>
      <c r="N135" s="506">
        <f>IFERROR(C135*Feed!$P$3, 0)</f>
        <v>0</v>
      </c>
      <c r="O135" s="506">
        <f>IFERROR(C135*Feed!$Y$3, 0)</f>
        <v>0</v>
      </c>
      <c r="P135" s="506">
        <f>IFERROR(M135/(Feed!L71/100),0)</f>
        <v>0</v>
      </c>
      <c r="Q135" s="506">
        <f>IFERROR(N135/(Feed!U71/100),0)</f>
        <v>0</v>
      </c>
      <c r="R135" s="506">
        <f>IFERROR(O135/(Feed!AD71/100),0)</f>
        <v>0</v>
      </c>
      <c r="S135" s="506">
        <f t="shared" si="229"/>
        <v>0</v>
      </c>
      <c r="T135" s="506">
        <f t="shared" si="230"/>
        <v>0</v>
      </c>
      <c r="U135" s="506">
        <f t="shared" si="232"/>
        <v>0</v>
      </c>
      <c r="AA135" s="577"/>
    </row>
    <row r="136" spans="1:33" s="145" customFormat="1">
      <c r="A136" s="13">
        <f>INPUTS!C31</f>
        <v>0</v>
      </c>
      <c r="B136" s="1126">
        <f>(B118*365+C118*365+D118*365+E118*365+'Livestock parameters'!T12*F118+G118*'Livestock parameters'!U12)*INPUTS!D31</f>
        <v>0</v>
      </c>
      <c r="C136" s="505">
        <f>(H118*365+I118*365+J118*365+K118*365+'Livestock parameters'!T12*L118+M118*'Livestock parameters'!U12)*INPUTS!D31</f>
        <v>0</v>
      </c>
      <c r="D136" s="506">
        <f>B136*Feed!$G$3</f>
        <v>0</v>
      </c>
      <c r="E136" s="506">
        <f>B136*Feed!$P$3</f>
        <v>0</v>
      </c>
      <c r="F136" s="506">
        <f>B136*Feed!$Y$3</f>
        <v>0</v>
      </c>
      <c r="G136" s="506">
        <f>IFERROR(D136/Feed!L78,0)</f>
        <v>0</v>
      </c>
      <c r="H136" s="506">
        <f>IFERROR(E136/Feed!U78,0)</f>
        <v>0</v>
      </c>
      <c r="I136" s="506">
        <f>IFERROR(F136/Feed!AD78,0)</f>
        <v>0</v>
      </c>
      <c r="J136" s="506">
        <f t="shared" si="227"/>
        <v>0</v>
      </c>
      <c r="K136" s="506">
        <f t="shared" si="228"/>
        <v>0</v>
      </c>
      <c r="L136" s="506">
        <f t="shared" si="231"/>
        <v>0</v>
      </c>
      <c r="M136" s="506">
        <f>IFERROR(C136*Feed!$G$3, 0)</f>
        <v>0</v>
      </c>
      <c r="N136" s="506">
        <f>IFERROR(C136*Feed!$P$3, 0)</f>
        <v>0</v>
      </c>
      <c r="O136" s="506">
        <f>IFERROR(C136*Feed!$Y$3, 0)</f>
        <v>0</v>
      </c>
      <c r="P136" s="506">
        <f>IFERROR(M136/(Feed!L78/100),0)</f>
        <v>0</v>
      </c>
      <c r="Q136" s="506">
        <f>IFERROR(N136/(Feed!U78/100),0)</f>
        <v>0</v>
      </c>
      <c r="R136" s="506">
        <f>IFERROR(O136/(Feed!AD78/100),0)</f>
        <v>0</v>
      </c>
      <c r="S136" s="506">
        <f t="shared" si="229"/>
        <v>0</v>
      </c>
      <c r="T136" s="506">
        <f t="shared" si="230"/>
        <v>0</v>
      </c>
      <c r="U136" s="506">
        <f t="shared" si="232"/>
        <v>0</v>
      </c>
      <c r="AA136" s="577"/>
    </row>
    <row r="137" spans="1:33" s="145" customFormat="1">
      <c r="A137" s="13">
        <f>INPUTS!C32</f>
        <v>0</v>
      </c>
      <c r="B137" s="1126">
        <f>(B119*365+C119*365+D119*365+E119*365+'Livestock parameters'!T13*F119+G119*'Livestock parameters'!U13)*INPUTS!D32</f>
        <v>0</v>
      </c>
      <c r="C137" s="505">
        <f>(H119*365+I119*365+J119*365+K119*365+'Livestock parameters'!T13*L119+M119*'Livestock parameters'!U13)*INPUTS!D32</f>
        <v>0</v>
      </c>
      <c r="D137" s="506">
        <f>B137*Feed!$G$3</f>
        <v>0</v>
      </c>
      <c r="E137" s="506">
        <f>B137*Feed!$P$3</f>
        <v>0</v>
      </c>
      <c r="F137" s="506">
        <f>B137*Feed!$Y$3</f>
        <v>0</v>
      </c>
      <c r="G137" s="506">
        <f>IFERROR(D137/Feed!L85,0)</f>
        <v>0</v>
      </c>
      <c r="H137" s="506">
        <f>IFERROR(E137/Feed!U85,0)</f>
        <v>0</v>
      </c>
      <c r="I137" s="506">
        <f>IFERROR(F137/Feed!AD85,0)</f>
        <v>0</v>
      </c>
      <c r="J137" s="506">
        <f t="shared" si="227"/>
        <v>0</v>
      </c>
      <c r="K137" s="506">
        <f t="shared" si="228"/>
        <v>0</v>
      </c>
      <c r="L137" s="506">
        <f t="shared" si="231"/>
        <v>0</v>
      </c>
      <c r="M137" s="506">
        <f>IFERROR(C137*Feed!$G$3, 0)</f>
        <v>0</v>
      </c>
      <c r="N137" s="506">
        <f>IFERROR(C137*Feed!$P$3, 0)</f>
        <v>0</v>
      </c>
      <c r="O137" s="506">
        <f>IFERROR(C137*Feed!$Y$3, 0)</f>
        <v>0</v>
      </c>
      <c r="P137" s="506">
        <f>IFERROR(M137/(Feed!L85/100),0)</f>
        <v>0</v>
      </c>
      <c r="Q137" s="506">
        <f>IFERROR(N137/(Feed!U85/100),0)</f>
        <v>0</v>
      </c>
      <c r="R137" s="506">
        <f>IFERROR(O137/(Feed!AD85/100),0)</f>
        <v>0</v>
      </c>
      <c r="S137" s="506">
        <f t="shared" si="229"/>
        <v>0</v>
      </c>
      <c r="T137" s="506">
        <f t="shared" si="230"/>
        <v>0</v>
      </c>
      <c r="U137" s="506">
        <f t="shared" si="232"/>
        <v>0</v>
      </c>
      <c r="AA137" s="577"/>
    </row>
    <row r="138" spans="1:33" s="145" customFormat="1">
      <c r="A138" s="13">
        <f>INPUTS!C33</f>
        <v>0</v>
      </c>
      <c r="B138" s="1126">
        <f>(B120*365+C120*365+D120*365+E120*365+'Livestock parameters'!T14*F120+G120*'Livestock parameters'!U14)*INPUTS!D33</f>
        <v>0</v>
      </c>
      <c r="C138" s="505">
        <f>(H120*365+I120*365+J120*365+K120*365+'Livestock parameters'!T14*L120+M120*'Livestock parameters'!U14)*INPUTS!D33</f>
        <v>0</v>
      </c>
      <c r="D138" s="506">
        <f>B138*Feed!$G$3</f>
        <v>0</v>
      </c>
      <c r="E138" s="506">
        <f>B138*Feed!$P$3</f>
        <v>0</v>
      </c>
      <c r="F138" s="506">
        <f>B138*Feed!$Y$3</f>
        <v>0</v>
      </c>
      <c r="G138" s="506">
        <f>IFERROR(D138/Feed!L92,0)</f>
        <v>0</v>
      </c>
      <c r="H138" s="506">
        <f>IFERROR(E138/Feed!U92,0)</f>
        <v>0</v>
      </c>
      <c r="I138" s="506">
        <f>IFERROR(F138/Feed!AD92,0)</f>
        <v>0</v>
      </c>
      <c r="J138" s="506">
        <f t="shared" si="227"/>
        <v>0</v>
      </c>
      <c r="K138" s="506">
        <f t="shared" si="228"/>
        <v>0</v>
      </c>
      <c r="L138" s="506">
        <f t="shared" si="231"/>
        <v>0</v>
      </c>
      <c r="M138" s="506">
        <f>IFERROR(C138*Feed!$G$3, 0)</f>
        <v>0</v>
      </c>
      <c r="N138" s="506">
        <f>IFERROR(C138*Feed!$P$3, 0)</f>
        <v>0</v>
      </c>
      <c r="O138" s="506">
        <f>IFERROR(C138*Feed!$Y$3, 0)</f>
        <v>0</v>
      </c>
      <c r="P138" s="506">
        <f>IFERROR(M138/(Feed!L92/100),0)</f>
        <v>0</v>
      </c>
      <c r="Q138" s="506">
        <f>IFERROR(N138/(Feed!U92/100),0)</f>
        <v>0</v>
      </c>
      <c r="R138" s="506">
        <f>IFERROR(O138/(Feed!AD92/100),0)</f>
        <v>0</v>
      </c>
      <c r="S138" s="506">
        <f t="shared" si="229"/>
        <v>0</v>
      </c>
      <c r="T138" s="506">
        <f t="shared" si="230"/>
        <v>0</v>
      </c>
      <c r="U138" s="506">
        <f t="shared" si="232"/>
        <v>0</v>
      </c>
      <c r="AA138" s="577"/>
    </row>
    <row r="139" spans="1:33" s="145" customFormat="1">
      <c r="A139" s="13">
        <f>INPUTS!C34</f>
        <v>0</v>
      </c>
      <c r="B139" s="1126">
        <f>(B121*365+C121*365+D121*365+E121*365+'Livestock parameters'!T15*F121+G121*'Livestock parameters'!U15)*INPUTS!D34</f>
        <v>0</v>
      </c>
      <c r="C139" s="505">
        <f>(H121*365+I121*365+J121*365+K121*365+'Livestock parameters'!T15*L121+M121*'Livestock parameters'!U15)*INPUTS!D34</f>
        <v>0</v>
      </c>
      <c r="D139" s="506">
        <f>B139*Feed!$G$3</f>
        <v>0</v>
      </c>
      <c r="E139" s="506">
        <f>B139*Feed!$P$3</f>
        <v>0</v>
      </c>
      <c r="F139" s="506">
        <f>B139*Feed!$Y$3</f>
        <v>0</v>
      </c>
      <c r="G139" s="506">
        <f>IFERROR(D139/Feed!L99,0)</f>
        <v>0</v>
      </c>
      <c r="H139" s="506">
        <f>IFERROR(E139/Feed!U99,0)</f>
        <v>0</v>
      </c>
      <c r="I139" s="506">
        <f>IFERROR(F139/Feed!AD99,0)</f>
        <v>0</v>
      </c>
      <c r="J139" s="506">
        <f t="shared" si="227"/>
        <v>0</v>
      </c>
      <c r="K139" s="506">
        <f t="shared" si="228"/>
        <v>0</v>
      </c>
      <c r="L139" s="506">
        <f t="shared" si="231"/>
        <v>0</v>
      </c>
      <c r="M139" s="506">
        <f>IFERROR(C139*Feed!$G$3, 0)</f>
        <v>0</v>
      </c>
      <c r="N139" s="506">
        <f>IFERROR(C139*Feed!$P$3, 0)</f>
        <v>0</v>
      </c>
      <c r="O139" s="506">
        <f>IFERROR(C139*Feed!$Y$3, 0)</f>
        <v>0</v>
      </c>
      <c r="P139" s="506">
        <f>IFERROR(M139/(Feed!L99/100),0)</f>
        <v>0</v>
      </c>
      <c r="Q139" s="506">
        <f>IFERROR(N139/(Feed!U99/100),0)</f>
        <v>0</v>
      </c>
      <c r="R139" s="506">
        <f>IFERROR(O139/(Feed!AD99/100),0)</f>
        <v>0</v>
      </c>
      <c r="S139" s="506">
        <f t="shared" si="229"/>
        <v>0</v>
      </c>
      <c r="T139" s="506">
        <f t="shared" si="230"/>
        <v>0</v>
      </c>
      <c r="U139" s="506">
        <f t="shared" si="232"/>
        <v>0</v>
      </c>
      <c r="X139" s="231"/>
      <c r="AA139" s="577"/>
      <c r="AG139" s="229"/>
    </row>
    <row r="140" spans="1:33" s="145" customFormat="1">
      <c r="O140" s="230"/>
      <c r="S140" s="231"/>
      <c r="V140" s="577"/>
      <c r="AB140" s="229"/>
    </row>
    <row r="141" spans="1:33" s="145" customFormat="1">
      <c r="O141" s="230"/>
      <c r="S141" s="231"/>
      <c r="V141" s="577"/>
      <c r="AB141" s="229"/>
    </row>
    <row r="142" spans="1:33" s="145" customFormat="1">
      <c r="A142" s="175"/>
      <c r="B142" s="175" t="s">
        <v>1149</v>
      </c>
      <c r="C142" s="175" t="s">
        <v>1150</v>
      </c>
      <c r="D142" s="175" t="s">
        <v>1849</v>
      </c>
      <c r="E142" s="175" t="s">
        <v>1163</v>
      </c>
      <c r="F142" s="175" t="s">
        <v>1164</v>
      </c>
      <c r="G142" s="175" t="s">
        <v>1850</v>
      </c>
      <c r="H142" s="176" t="s">
        <v>1167</v>
      </c>
      <c r="I142" s="176" t="s">
        <v>1168</v>
      </c>
      <c r="J142" s="176" t="s">
        <v>1851</v>
      </c>
      <c r="K142" s="176" t="s">
        <v>1169</v>
      </c>
      <c r="L142" s="176" t="s">
        <v>1170</v>
      </c>
      <c r="M142" s="176" t="s">
        <v>1852</v>
      </c>
      <c r="N142" s="576" t="s">
        <v>1174</v>
      </c>
      <c r="O142" s="576" t="s">
        <v>1175</v>
      </c>
      <c r="P142" s="576" t="s">
        <v>1311</v>
      </c>
      <c r="R142" s="145" t="s">
        <v>1331</v>
      </c>
      <c r="S142" s="230"/>
      <c r="T142" s="145" t="s">
        <v>1332</v>
      </c>
      <c r="U142" s="230"/>
      <c r="V142" s="145" t="s">
        <v>1333</v>
      </c>
      <c r="W142" s="230"/>
      <c r="X142" s="145" t="s">
        <v>1334</v>
      </c>
      <c r="Y142" s="230"/>
      <c r="Z142" s="145" t="s">
        <v>1335</v>
      </c>
      <c r="AA142" s="230"/>
      <c r="AB142" s="145" t="s">
        <v>1336</v>
      </c>
      <c r="AC142" s="230"/>
      <c r="AD142" s="145" t="s">
        <v>1337</v>
      </c>
      <c r="AE142" s="230"/>
      <c r="AF142" s="145" t="s">
        <v>1338</v>
      </c>
    </row>
    <row r="143" spans="1:33" s="145" customFormat="1">
      <c r="A143" s="175" t="str">
        <f>INPUTS!C21</f>
        <v>Cows (local)</v>
      </c>
      <c r="B143" s="252">
        <f>J126</f>
        <v>0</v>
      </c>
      <c r="C143" s="252">
        <f>K126</f>
        <v>0</v>
      </c>
      <c r="D143" s="252">
        <f>L126</f>
        <v>0</v>
      </c>
      <c r="E143" s="252">
        <f t="shared" ref="E143:E156" si="233">S126</f>
        <v>0</v>
      </c>
      <c r="F143" s="252">
        <f t="shared" ref="F143:F156" si="234">T126</f>
        <v>0</v>
      </c>
      <c r="G143" s="252">
        <f t="shared" ref="G143:G156" si="235">U126</f>
        <v>0</v>
      </c>
      <c r="H143" s="252">
        <f>IF(E143&gt;B143,E143,B143)</f>
        <v>0</v>
      </c>
      <c r="I143" s="252">
        <f>IF(F143&gt;C143,F143,C143)</f>
        <v>0</v>
      </c>
      <c r="J143" s="252">
        <f>IF(G143&gt;D143,G143,D143)</f>
        <v>0</v>
      </c>
      <c r="K143" s="252" t="str">
        <f>IF(OR(B143=0,E143=0),"",IF(E143&gt;B143,"CP","ENERGY"))</f>
        <v/>
      </c>
      <c r="L143" s="252" t="str">
        <f>IF(OR(C143=0,F143=0),"",IF(F143&gt;C143,"CP","ENERGY"))</f>
        <v/>
      </c>
      <c r="M143" s="252" t="str">
        <f>IF(OR(D143=0,G143=0),"",IF(G143&gt;D143,"CP","ENERGY"))</f>
        <v/>
      </c>
      <c r="N143" s="748">
        <f>IFERROR((H143*L10*100/L11+I143*U10*100/U11+J143*AD10*100/AD11), 0)</f>
        <v>0</v>
      </c>
      <c r="O143" s="748">
        <f>IFERROR(N143/0.81,0)</f>
        <v>0</v>
      </c>
      <c r="P143" s="748">
        <f t="shared" ref="P143:P156" si="236">(H143+I143)*18.45</f>
        <v>0</v>
      </c>
      <c r="R143" s="763">
        <f t="shared" ref="R143:R156" si="237">H143+I143</f>
        <v>0</v>
      </c>
      <c r="S143" s="230">
        <f t="shared" ref="S143:S156" si="238">E12*$G$3+N12*$P$3</f>
        <v>0</v>
      </c>
      <c r="T143" s="145">
        <f t="shared" ref="T143:T156" si="239">$R143*S143</f>
        <v>0</v>
      </c>
      <c r="U143" s="230">
        <f t="shared" ref="U143:U156" si="240">F12*$G$3+O12*$P$3</f>
        <v>0</v>
      </c>
      <c r="V143" s="145">
        <f t="shared" ref="V143:V156" si="241">$R143*U143</f>
        <v>0</v>
      </c>
      <c r="W143" s="230">
        <f t="shared" ref="W143:W156" si="242">G12*$G$3+P12*$P$3</f>
        <v>0</v>
      </c>
      <c r="X143" s="145">
        <f t="shared" ref="X143:X156" si="243">$R143*W143</f>
        <v>0</v>
      </c>
      <c r="Y143" s="230">
        <f t="shared" ref="Y143:Y156" si="244">H12*$G$3+Q12*$P$3</f>
        <v>0</v>
      </c>
      <c r="Z143" s="145">
        <f t="shared" ref="Z143:Z156" si="245">$R143*Y143</f>
        <v>0</v>
      </c>
      <c r="AA143" s="230">
        <f t="shared" ref="AA143:AA156" si="246">I12*$G$3+R12*$P$3</f>
        <v>0</v>
      </c>
      <c r="AB143" s="145">
        <f t="shared" ref="AB143:AB156" si="247">$R143*AA143</f>
        <v>0</v>
      </c>
      <c r="AC143" s="230">
        <f t="shared" ref="AC143:AC156" si="248">J12*$G$3+S12*$P$3</f>
        <v>0</v>
      </c>
      <c r="AD143" s="145">
        <f t="shared" ref="AD143:AD156" si="249">$R143*AC143</f>
        <v>0</v>
      </c>
      <c r="AE143" s="230">
        <f t="shared" ref="AE143:AE156" si="250">K12*$G$3+T12*$K$3</f>
        <v>0</v>
      </c>
      <c r="AF143" s="145">
        <f t="shared" ref="AF143:AF156" si="251">$R143*AE143</f>
        <v>0</v>
      </c>
    </row>
    <row r="144" spans="1:33" s="145" customFormat="1">
      <c r="A144" s="175" t="str">
        <f>INPUTS!C22</f>
        <v>Cows (improved)</v>
      </c>
      <c r="B144" s="252">
        <f t="shared" ref="B144:B156" si="252">J127</f>
        <v>3807.5777956151874</v>
      </c>
      <c r="C144" s="252">
        <f t="shared" ref="C144:C156" si="253">K127</f>
        <v>3191.1274738800912</v>
      </c>
      <c r="D144" s="252">
        <f t="shared" ref="D144:D156" si="254">L127</f>
        <v>0</v>
      </c>
      <c r="E144" s="252">
        <f t="shared" si="233"/>
        <v>0</v>
      </c>
      <c r="F144" s="252">
        <f t="shared" si="234"/>
        <v>0</v>
      </c>
      <c r="G144" s="252">
        <f t="shared" si="235"/>
        <v>0</v>
      </c>
      <c r="H144" s="252">
        <f t="shared" ref="H144:H156" si="255">IF(E144&gt;B144,E144,B144)</f>
        <v>3807.5777956151874</v>
      </c>
      <c r="I144" s="252">
        <f t="shared" ref="I144:I156" si="256">IF(F144&gt;C144,F144,C144)</f>
        <v>3191.1274738800912</v>
      </c>
      <c r="J144" s="252">
        <f t="shared" ref="J144:J156" si="257">IF(G144&gt;D144,G144,D144)</f>
        <v>0</v>
      </c>
      <c r="K144" s="252" t="str">
        <f t="shared" ref="K144:K156" si="258">IF(OR(B144=0,E144=0),"",IF(E144&gt;B144,"CP","ENERGY"))</f>
        <v/>
      </c>
      <c r="L144" s="252" t="str">
        <f t="shared" ref="L144:L156" si="259">IF(OR(C144=0,F144=0),"",IF(F144&gt;C144,"CP","ENERGY"))</f>
        <v/>
      </c>
      <c r="M144" s="252" t="str">
        <f t="shared" ref="M144:M156" si="260">IF(OR(D144=0,G144=0),"",IF(G144&gt;D144,"CP","ENERGY"))</f>
        <v/>
      </c>
      <c r="N144" s="748">
        <f>IFERROR((H144*L17*100/L18+I144*U17*100/U18+J144*AD17*100/AD18), 0)</f>
        <v>0</v>
      </c>
      <c r="O144" s="748">
        <f t="shared" ref="O144:O156" si="261">IFERROR(N144/0.81,0)</f>
        <v>0</v>
      </c>
      <c r="P144" s="748">
        <f t="shared" si="236"/>
        <v>129126.11222218788</v>
      </c>
      <c r="R144" s="763">
        <f t="shared" si="237"/>
        <v>6998.7052694952781</v>
      </c>
      <c r="S144" s="230">
        <f t="shared" si="238"/>
        <v>0</v>
      </c>
      <c r="T144" s="145">
        <f t="shared" si="239"/>
        <v>0</v>
      </c>
      <c r="U144" s="230">
        <f t="shared" si="240"/>
        <v>0</v>
      </c>
      <c r="V144" s="145">
        <f t="shared" si="241"/>
        <v>0</v>
      </c>
      <c r="W144" s="230">
        <f t="shared" si="242"/>
        <v>0</v>
      </c>
      <c r="X144" s="145">
        <f t="shared" si="243"/>
        <v>0</v>
      </c>
      <c r="Y144" s="230">
        <f t="shared" si="244"/>
        <v>0</v>
      </c>
      <c r="Z144" s="145">
        <f t="shared" si="245"/>
        <v>0</v>
      </c>
      <c r="AA144" s="230">
        <f t="shared" si="246"/>
        <v>0</v>
      </c>
      <c r="AB144" s="145">
        <f t="shared" si="247"/>
        <v>0</v>
      </c>
      <c r="AC144" s="230">
        <f t="shared" si="248"/>
        <v>0</v>
      </c>
      <c r="AD144" s="145">
        <f t="shared" si="249"/>
        <v>0</v>
      </c>
      <c r="AE144" s="230">
        <f t="shared" si="250"/>
        <v>0</v>
      </c>
      <c r="AF144" s="145">
        <f t="shared" si="251"/>
        <v>0</v>
      </c>
    </row>
    <row r="145" spans="1:32" s="145" customFormat="1">
      <c r="A145" s="175" t="str">
        <f>INPUTS!C23</f>
        <v>Adult cattle - male</v>
      </c>
      <c r="B145" s="252">
        <f t="shared" si="252"/>
        <v>0</v>
      </c>
      <c r="C145" s="252">
        <f t="shared" si="253"/>
        <v>0</v>
      </c>
      <c r="D145" s="252">
        <f t="shared" si="254"/>
        <v>0</v>
      </c>
      <c r="E145" s="252">
        <f t="shared" si="233"/>
        <v>0</v>
      </c>
      <c r="F145" s="252">
        <f t="shared" si="234"/>
        <v>0</v>
      </c>
      <c r="G145" s="252">
        <f t="shared" si="235"/>
        <v>0</v>
      </c>
      <c r="H145" s="252">
        <f t="shared" si="255"/>
        <v>0</v>
      </c>
      <c r="I145" s="252">
        <f t="shared" si="256"/>
        <v>0</v>
      </c>
      <c r="J145" s="252">
        <f t="shared" si="257"/>
        <v>0</v>
      </c>
      <c r="K145" s="252" t="str">
        <f t="shared" si="258"/>
        <v/>
      </c>
      <c r="L145" s="252" t="str">
        <f t="shared" si="259"/>
        <v/>
      </c>
      <c r="M145" s="252" t="str">
        <f t="shared" si="260"/>
        <v/>
      </c>
      <c r="N145" s="748">
        <f>IFERROR((H145*L24*100/L25+I145*U24*100/U25+J145*AD24*100/AD25), 0)</f>
        <v>0</v>
      </c>
      <c r="O145" s="748">
        <f t="shared" si="261"/>
        <v>0</v>
      </c>
      <c r="P145" s="748">
        <f t="shared" si="236"/>
        <v>0</v>
      </c>
      <c r="R145" s="763">
        <f t="shared" si="237"/>
        <v>0</v>
      </c>
      <c r="S145" s="230">
        <f t="shared" si="238"/>
        <v>6.4383561643835616E-2</v>
      </c>
      <c r="T145" s="145">
        <f t="shared" si="239"/>
        <v>0</v>
      </c>
      <c r="U145" s="230">
        <f t="shared" si="240"/>
        <v>0.11643835616438356</v>
      </c>
      <c r="V145" s="145">
        <f t="shared" si="241"/>
        <v>0</v>
      </c>
      <c r="W145" s="230">
        <f t="shared" si="242"/>
        <v>0.28369863013698626</v>
      </c>
      <c r="X145" s="145">
        <f t="shared" si="243"/>
        <v>0</v>
      </c>
      <c r="Y145" s="230">
        <f t="shared" si="244"/>
        <v>0.16986301369863013</v>
      </c>
      <c r="Z145" s="145">
        <f t="shared" si="245"/>
        <v>0</v>
      </c>
      <c r="AA145" s="230">
        <f t="shared" si="246"/>
        <v>8.2328767123287669E-2</v>
      </c>
      <c r="AB145" s="145">
        <f t="shared" si="247"/>
        <v>0</v>
      </c>
      <c r="AC145" s="230">
        <f t="shared" si="248"/>
        <v>0.28328767123287668</v>
      </c>
      <c r="AD145" s="145">
        <f t="shared" si="249"/>
        <v>0</v>
      </c>
      <c r="AE145" s="230">
        <f t="shared" si="250"/>
        <v>0</v>
      </c>
      <c r="AF145" s="145">
        <f t="shared" si="251"/>
        <v>0</v>
      </c>
    </row>
    <row r="146" spans="1:32" s="145" customFormat="1">
      <c r="A146" s="175" t="str">
        <f>INPUTS!C24</f>
        <v>Calves</v>
      </c>
      <c r="B146" s="252">
        <f t="shared" si="252"/>
        <v>0</v>
      </c>
      <c r="C146" s="252">
        <f t="shared" si="253"/>
        <v>0</v>
      </c>
      <c r="D146" s="252">
        <f t="shared" si="254"/>
        <v>0</v>
      </c>
      <c r="E146" s="252">
        <f t="shared" si="233"/>
        <v>0</v>
      </c>
      <c r="F146" s="252">
        <f t="shared" si="234"/>
        <v>0</v>
      </c>
      <c r="G146" s="252">
        <f t="shared" si="235"/>
        <v>0</v>
      </c>
      <c r="H146" s="252">
        <f t="shared" si="255"/>
        <v>0</v>
      </c>
      <c r="I146" s="252">
        <f t="shared" si="256"/>
        <v>0</v>
      </c>
      <c r="J146" s="252">
        <f t="shared" si="257"/>
        <v>0</v>
      </c>
      <c r="K146" s="252" t="str">
        <f t="shared" si="258"/>
        <v/>
      </c>
      <c r="L146" s="252" t="str">
        <f t="shared" si="259"/>
        <v/>
      </c>
      <c r="M146" s="252" t="str">
        <f t="shared" si="260"/>
        <v/>
      </c>
      <c r="N146" s="748">
        <f>IFERROR((H146*L31*100/L32+I146*U31*100/U32+J146*AD31*100/AD32), 0)</f>
        <v>0</v>
      </c>
      <c r="O146" s="748">
        <f t="shared" si="261"/>
        <v>0</v>
      </c>
      <c r="P146" s="748">
        <f t="shared" si="236"/>
        <v>0</v>
      </c>
      <c r="R146" s="763">
        <f t="shared" si="237"/>
        <v>0</v>
      </c>
      <c r="S146" s="230">
        <f t="shared" si="238"/>
        <v>14.399999999999999</v>
      </c>
      <c r="T146" s="145">
        <f t="shared" si="239"/>
        <v>0</v>
      </c>
      <c r="U146" s="230">
        <f t="shared" si="240"/>
        <v>1.65</v>
      </c>
      <c r="V146" s="145">
        <f t="shared" si="241"/>
        <v>0</v>
      </c>
      <c r="W146" s="230">
        <f t="shared" si="242"/>
        <v>2.5148999999999999</v>
      </c>
      <c r="X146" s="145">
        <f t="shared" si="243"/>
        <v>0</v>
      </c>
      <c r="Y146" s="230">
        <f t="shared" si="244"/>
        <v>1.21</v>
      </c>
      <c r="Z146" s="145">
        <f t="shared" si="245"/>
        <v>0</v>
      </c>
      <c r="AA146" s="230">
        <f t="shared" si="246"/>
        <v>3.3929999999999998</v>
      </c>
      <c r="AB146" s="145">
        <f t="shared" si="247"/>
        <v>0</v>
      </c>
      <c r="AC146" s="230">
        <f t="shared" si="248"/>
        <v>3.5999999999999996</v>
      </c>
      <c r="AD146" s="145">
        <f t="shared" si="249"/>
        <v>0</v>
      </c>
      <c r="AE146" s="230">
        <f t="shared" si="250"/>
        <v>0</v>
      </c>
      <c r="AF146" s="145">
        <f t="shared" si="251"/>
        <v>0</v>
      </c>
    </row>
    <row r="147" spans="1:32" s="145" customFormat="1">
      <c r="A147" s="175" t="str">
        <f>INPUTS!C25</f>
        <v>Steers/heifers</v>
      </c>
      <c r="B147" s="252">
        <f t="shared" si="252"/>
        <v>4642.1321354675629</v>
      </c>
      <c r="C147" s="252">
        <f t="shared" si="253"/>
        <v>3890.5667040950807</v>
      </c>
      <c r="D147" s="252">
        <f t="shared" si="254"/>
        <v>0</v>
      </c>
      <c r="E147" s="252">
        <f t="shared" si="233"/>
        <v>0</v>
      </c>
      <c r="F147" s="252">
        <f t="shared" si="234"/>
        <v>0</v>
      </c>
      <c r="G147" s="252">
        <f t="shared" si="235"/>
        <v>0</v>
      </c>
      <c r="H147" s="252">
        <f t="shared" si="255"/>
        <v>4642.1321354675629</v>
      </c>
      <c r="I147" s="252">
        <f t="shared" si="256"/>
        <v>3890.5667040950807</v>
      </c>
      <c r="J147" s="252">
        <f t="shared" si="257"/>
        <v>0</v>
      </c>
      <c r="K147" s="252" t="str">
        <f t="shared" si="258"/>
        <v/>
      </c>
      <c r="L147" s="252" t="str">
        <f t="shared" si="259"/>
        <v/>
      </c>
      <c r="M147" s="252" t="str">
        <f t="shared" si="260"/>
        <v/>
      </c>
      <c r="N147" s="748">
        <f>IFERROR((H147*L38*100/L39+I147*U38*100/U39+J147*AD38*100/AD39), 0)</f>
        <v>0</v>
      </c>
      <c r="O147" s="748">
        <f t="shared" si="261"/>
        <v>0</v>
      </c>
      <c r="P147" s="748">
        <f t="shared" si="236"/>
        <v>157428.29358993075</v>
      </c>
      <c r="R147" s="763">
        <f t="shared" si="237"/>
        <v>8532.6988395626431</v>
      </c>
      <c r="S147" s="230">
        <f t="shared" si="238"/>
        <v>0.79859999999999998</v>
      </c>
      <c r="T147" s="145">
        <f t="shared" si="239"/>
        <v>6814.2132932747263</v>
      </c>
      <c r="U147" s="230">
        <f t="shared" si="240"/>
        <v>0.65213596800000007</v>
      </c>
      <c r="V147" s="145">
        <f t="shared" si="241"/>
        <v>5564.4798173906611</v>
      </c>
      <c r="W147" s="230">
        <f t="shared" si="242"/>
        <v>0.53459999999999996</v>
      </c>
      <c r="X147" s="145">
        <f t="shared" si="243"/>
        <v>4561.5807996301883</v>
      </c>
      <c r="Y147" s="230">
        <f t="shared" si="244"/>
        <v>0.5411999999999999</v>
      </c>
      <c r="Z147" s="145">
        <f t="shared" si="245"/>
        <v>4617.8966119713014</v>
      </c>
      <c r="AA147" s="230">
        <f t="shared" si="246"/>
        <v>0.45539999999999992</v>
      </c>
      <c r="AB147" s="145">
        <f t="shared" si="247"/>
        <v>3885.7910515368271</v>
      </c>
      <c r="AC147" s="230">
        <f t="shared" si="248"/>
        <v>0.32999999999999996</v>
      </c>
      <c r="AD147" s="145">
        <f t="shared" si="249"/>
        <v>2815.7906170556721</v>
      </c>
      <c r="AE147" s="230">
        <f t="shared" si="250"/>
        <v>0</v>
      </c>
      <c r="AF147" s="145">
        <f t="shared" si="251"/>
        <v>0</v>
      </c>
    </row>
    <row r="148" spans="1:32" s="145" customFormat="1">
      <c r="A148" s="175" t="str">
        <f>INPUTS!C26</f>
        <v>Sheep/Goats - Ewes/Does</v>
      </c>
      <c r="B148" s="252">
        <f t="shared" si="252"/>
        <v>0</v>
      </c>
      <c r="C148" s="252">
        <f t="shared" si="253"/>
        <v>0</v>
      </c>
      <c r="D148" s="252">
        <f t="shared" si="254"/>
        <v>0</v>
      </c>
      <c r="E148" s="252">
        <f t="shared" si="233"/>
        <v>0</v>
      </c>
      <c r="F148" s="252">
        <f t="shared" si="234"/>
        <v>0</v>
      </c>
      <c r="G148" s="252">
        <f t="shared" si="235"/>
        <v>0</v>
      </c>
      <c r="H148" s="252">
        <f t="shared" si="255"/>
        <v>0</v>
      </c>
      <c r="I148" s="252">
        <f t="shared" si="256"/>
        <v>0</v>
      </c>
      <c r="J148" s="252">
        <f t="shared" si="257"/>
        <v>0</v>
      </c>
      <c r="K148" s="252" t="str">
        <f t="shared" si="258"/>
        <v/>
      </c>
      <c r="L148" s="252" t="str">
        <f t="shared" si="259"/>
        <v/>
      </c>
      <c r="M148" s="252" t="str">
        <f t="shared" si="260"/>
        <v/>
      </c>
      <c r="N148" s="748">
        <f>IFERROR((H148*L46*100/L46+I148*U45*100/U46+J148*AD45*100/AD46), 0)</f>
        <v>0</v>
      </c>
      <c r="O148" s="748">
        <f t="shared" si="261"/>
        <v>0</v>
      </c>
      <c r="P148" s="748">
        <f t="shared" si="236"/>
        <v>0</v>
      </c>
      <c r="R148" s="763">
        <f t="shared" si="237"/>
        <v>0</v>
      </c>
      <c r="S148" s="230">
        <f t="shared" si="238"/>
        <v>10.89</v>
      </c>
      <c r="T148" s="145">
        <f t="shared" si="239"/>
        <v>0</v>
      </c>
      <c r="U148" s="230">
        <f t="shared" si="240"/>
        <v>1.4821271999999999</v>
      </c>
      <c r="V148" s="145">
        <f t="shared" si="241"/>
        <v>0</v>
      </c>
      <c r="W148" s="230">
        <f t="shared" si="242"/>
        <v>2.0168999999999997</v>
      </c>
      <c r="X148" s="145">
        <f t="shared" si="243"/>
        <v>0</v>
      </c>
      <c r="Y148" s="230">
        <f t="shared" si="244"/>
        <v>1.8039999999999998</v>
      </c>
      <c r="Z148" s="145">
        <f t="shared" si="245"/>
        <v>0</v>
      </c>
      <c r="AA148" s="230">
        <f t="shared" si="246"/>
        <v>6.0030000000000001</v>
      </c>
      <c r="AB148" s="145">
        <f t="shared" si="247"/>
        <v>0</v>
      </c>
      <c r="AC148" s="230">
        <f t="shared" si="248"/>
        <v>3</v>
      </c>
      <c r="AD148" s="145">
        <f t="shared" si="249"/>
        <v>0</v>
      </c>
      <c r="AE148" s="230">
        <f t="shared" si="250"/>
        <v>0</v>
      </c>
      <c r="AF148" s="145">
        <f t="shared" si="251"/>
        <v>0</v>
      </c>
    </row>
    <row r="149" spans="1:32" s="145" customFormat="1">
      <c r="A149" s="175" t="str">
        <f>INPUTS!C27</f>
        <v>Pigs - lactating/pregnant sows</v>
      </c>
      <c r="B149" s="252">
        <f t="shared" si="252"/>
        <v>0</v>
      </c>
      <c r="C149" s="252">
        <f t="shared" si="253"/>
        <v>0</v>
      </c>
      <c r="D149" s="252">
        <f t="shared" si="254"/>
        <v>0</v>
      </c>
      <c r="E149" s="252">
        <f t="shared" si="233"/>
        <v>0</v>
      </c>
      <c r="F149" s="252">
        <f t="shared" si="234"/>
        <v>0</v>
      </c>
      <c r="G149" s="252">
        <f t="shared" si="235"/>
        <v>0</v>
      </c>
      <c r="H149" s="252">
        <f t="shared" si="255"/>
        <v>0</v>
      </c>
      <c r="I149" s="252">
        <f t="shared" si="256"/>
        <v>0</v>
      </c>
      <c r="J149" s="252">
        <f t="shared" si="257"/>
        <v>0</v>
      </c>
      <c r="K149" s="252" t="str">
        <f t="shared" si="258"/>
        <v/>
      </c>
      <c r="L149" s="252" t="str">
        <f t="shared" si="259"/>
        <v/>
      </c>
      <c r="M149" s="252" t="str">
        <f t="shared" si="260"/>
        <v/>
      </c>
      <c r="N149" s="748">
        <f>IFERROR((H149*L52*100/L53+I149*U52*100/U53+J149*AD52*100/AD53), 0)</f>
        <v>0</v>
      </c>
      <c r="O149" s="748">
        <f t="shared" si="261"/>
        <v>0</v>
      </c>
      <c r="P149" s="748">
        <f t="shared" si="236"/>
        <v>0</v>
      </c>
      <c r="R149" s="763">
        <f t="shared" si="237"/>
        <v>0</v>
      </c>
      <c r="S149" s="230">
        <f t="shared" si="238"/>
        <v>90</v>
      </c>
      <c r="T149" s="145">
        <f t="shared" si="239"/>
        <v>0</v>
      </c>
      <c r="U149" s="230">
        <f t="shared" si="240"/>
        <v>15</v>
      </c>
      <c r="V149" s="145">
        <f t="shared" si="241"/>
        <v>0</v>
      </c>
      <c r="W149" s="230">
        <f t="shared" si="242"/>
        <v>24.9</v>
      </c>
      <c r="X149" s="145">
        <f t="shared" si="243"/>
        <v>0</v>
      </c>
      <c r="Y149" s="230">
        <f t="shared" si="244"/>
        <v>22</v>
      </c>
      <c r="Z149" s="145">
        <f t="shared" si="245"/>
        <v>0</v>
      </c>
      <c r="AA149" s="230">
        <f t="shared" si="246"/>
        <v>87</v>
      </c>
      <c r="AB149" s="145">
        <f t="shared" si="247"/>
        <v>0</v>
      </c>
      <c r="AC149" s="230">
        <f t="shared" si="248"/>
        <v>60</v>
      </c>
      <c r="AD149" s="145">
        <f t="shared" si="249"/>
        <v>0</v>
      </c>
      <c r="AE149" s="230">
        <f t="shared" si="250"/>
        <v>0</v>
      </c>
      <c r="AF149" s="145">
        <f t="shared" si="251"/>
        <v>0</v>
      </c>
    </row>
    <row r="150" spans="1:32" s="145" customFormat="1">
      <c r="A150" s="175" t="str">
        <f>INPUTS!C28</f>
        <v>Calves</v>
      </c>
      <c r="B150" s="252">
        <f t="shared" si="252"/>
        <v>0</v>
      </c>
      <c r="C150" s="252">
        <f t="shared" si="253"/>
        <v>0</v>
      </c>
      <c r="D150" s="252">
        <f t="shared" si="254"/>
        <v>0</v>
      </c>
      <c r="E150" s="252">
        <f t="shared" si="233"/>
        <v>0</v>
      </c>
      <c r="F150" s="252">
        <f t="shared" si="234"/>
        <v>0</v>
      </c>
      <c r="G150" s="252">
        <f t="shared" si="235"/>
        <v>0</v>
      </c>
      <c r="H150" s="252">
        <f t="shared" si="255"/>
        <v>0</v>
      </c>
      <c r="I150" s="252">
        <f t="shared" si="256"/>
        <v>0</v>
      </c>
      <c r="J150" s="252">
        <f t="shared" si="257"/>
        <v>0</v>
      </c>
      <c r="K150" s="252" t="str">
        <f t="shared" si="258"/>
        <v/>
      </c>
      <c r="L150" s="252" t="str">
        <f t="shared" si="259"/>
        <v/>
      </c>
      <c r="M150" s="252" t="str">
        <f t="shared" si="260"/>
        <v/>
      </c>
      <c r="N150" s="748">
        <f>IFERROR((H150*L59*100/L60+I150*U59*100/U60+J150*AD59*100/AD60), 0)</f>
        <v>0</v>
      </c>
      <c r="O150" s="748">
        <f t="shared" si="261"/>
        <v>0</v>
      </c>
      <c r="P150" s="748">
        <f t="shared" si="236"/>
        <v>0</v>
      </c>
      <c r="R150" s="763">
        <f t="shared" si="237"/>
        <v>0</v>
      </c>
      <c r="S150" s="230">
        <f t="shared" si="238"/>
        <v>0.13506500819318903</v>
      </c>
      <c r="T150" s="145">
        <f t="shared" si="239"/>
        <v>0</v>
      </c>
      <c r="U150" s="230">
        <f t="shared" si="240"/>
        <v>4.1836674805000994E-2</v>
      </c>
      <c r="V150" s="145">
        <f t="shared" si="241"/>
        <v>0</v>
      </c>
      <c r="W150" s="230">
        <f t="shared" si="242"/>
        <v>0.16935221342294202</v>
      </c>
      <c r="X150" s="145">
        <f t="shared" si="243"/>
        <v>0</v>
      </c>
      <c r="Y150" s="230">
        <f t="shared" si="244"/>
        <v>8.4835813296382012E-2</v>
      </c>
      <c r="Z150" s="145">
        <f t="shared" si="245"/>
        <v>0</v>
      </c>
      <c r="AA150" s="230">
        <f t="shared" si="246"/>
        <v>0.16213904629615766</v>
      </c>
      <c r="AB150" s="145">
        <f t="shared" si="247"/>
        <v>0</v>
      </c>
      <c r="AC150" s="230">
        <f t="shared" si="248"/>
        <v>0.4067712439863283</v>
      </c>
      <c r="AD150" s="145">
        <f t="shared" si="249"/>
        <v>0</v>
      </c>
      <c r="AE150" s="230">
        <f t="shared" si="250"/>
        <v>0</v>
      </c>
      <c r="AF150" s="145">
        <f t="shared" si="251"/>
        <v>0</v>
      </c>
    </row>
    <row r="151" spans="1:32" s="145" customFormat="1">
      <c r="A151" s="175">
        <f>INPUTS!C29</f>
        <v>0</v>
      </c>
      <c r="B151" s="252">
        <f t="shared" si="252"/>
        <v>0</v>
      </c>
      <c r="C151" s="252">
        <f t="shared" si="253"/>
        <v>0</v>
      </c>
      <c r="D151" s="252">
        <f t="shared" si="254"/>
        <v>0</v>
      </c>
      <c r="E151" s="252">
        <f t="shared" si="233"/>
        <v>0</v>
      </c>
      <c r="F151" s="252">
        <f t="shared" si="234"/>
        <v>0</v>
      </c>
      <c r="G151" s="252">
        <f t="shared" si="235"/>
        <v>0</v>
      </c>
      <c r="H151" s="252">
        <f t="shared" si="255"/>
        <v>0</v>
      </c>
      <c r="I151" s="252">
        <f t="shared" si="256"/>
        <v>0</v>
      </c>
      <c r="J151" s="252">
        <f t="shared" si="257"/>
        <v>0</v>
      </c>
      <c r="K151" s="252" t="str">
        <f t="shared" si="258"/>
        <v/>
      </c>
      <c r="L151" s="252" t="str">
        <f t="shared" si="259"/>
        <v/>
      </c>
      <c r="M151" s="252" t="str">
        <f t="shared" si="260"/>
        <v/>
      </c>
      <c r="N151" s="748">
        <f>IFERROR((H151*L66*100/L67+I151*U66*100/U57+J151*AD66*100/AD67), 0)</f>
        <v>0</v>
      </c>
      <c r="O151" s="748">
        <f t="shared" si="261"/>
        <v>0</v>
      </c>
      <c r="P151" s="748">
        <f t="shared" si="236"/>
        <v>0</v>
      </c>
      <c r="R151" s="763">
        <f t="shared" si="237"/>
        <v>0</v>
      </c>
      <c r="S151" s="230">
        <f t="shared" si="238"/>
        <v>0</v>
      </c>
      <c r="T151" s="145">
        <f t="shared" si="239"/>
        <v>0</v>
      </c>
      <c r="U151" s="230">
        <f t="shared" si="240"/>
        <v>0</v>
      </c>
      <c r="V151" s="145">
        <f t="shared" si="241"/>
        <v>0</v>
      </c>
      <c r="W151" s="230">
        <f t="shared" si="242"/>
        <v>0</v>
      </c>
      <c r="X151" s="145">
        <f t="shared" si="243"/>
        <v>0</v>
      </c>
      <c r="Y151" s="230">
        <f t="shared" si="244"/>
        <v>0</v>
      </c>
      <c r="Z151" s="145">
        <f t="shared" si="245"/>
        <v>0</v>
      </c>
      <c r="AA151" s="230">
        <f t="shared" si="246"/>
        <v>0</v>
      </c>
      <c r="AB151" s="145">
        <f t="shared" si="247"/>
        <v>0</v>
      </c>
      <c r="AC151" s="230">
        <f t="shared" si="248"/>
        <v>0</v>
      </c>
      <c r="AD151" s="145">
        <f t="shared" si="249"/>
        <v>0</v>
      </c>
      <c r="AE151" s="230">
        <f t="shared" si="250"/>
        <v>0</v>
      </c>
      <c r="AF151" s="145">
        <f t="shared" si="251"/>
        <v>0</v>
      </c>
    </row>
    <row r="152" spans="1:32" s="145" customFormat="1">
      <c r="A152" s="175">
        <f>INPUTS!C30</f>
        <v>0</v>
      </c>
      <c r="B152" s="252">
        <f t="shared" si="252"/>
        <v>0</v>
      </c>
      <c r="C152" s="252">
        <f t="shared" si="253"/>
        <v>0</v>
      </c>
      <c r="D152" s="252">
        <f t="shared" si="254"/>
        <v>0</v>
      </c>
      <c r="E152" s="252">
        <f t="shared" si="233"/>
        <v>0</v>
      </c>
      <c r="F152" s="252">
        <f t="shared" si="234"/>
        <v>0</v>
      </c>
      <c r="G152" s="252">
        <f t="shared" si="235"/>
        <v>0</v>
      </c>
      <c r="H152" s="252">
        <f t="shared" si="255"/>
        <v>0</v>
      </c>
      <c r="I152" s="252">
        <f t="shared" si="256"/>
        <v>0</v>
      </c>
      <c r="J152" s="252">
        <f t="shared" si="257"/>
        <v>0</v>
      </c>
      <c r="K152" s="252" t="str">
        <f t="shared" si="258"/>
        <v/>
      </c>
      <c r="L152" s="252" t="str">
        <f t="shared" si="259"/>
        <v/>
      </c>
      <c r="M152" s="252" t="str">
        <f t="shared" si="260"/>
        <v/>
      </c>
      <c r="N152" s="748">
        <f>IFERROR((H152*L73*100/L74+I152*U73*100/U74+J152*AD73*100/AD74), 0)</f>
        <v>0</v>
      </c>
      <c r="O152" s="748">
        <f t="shared" si="261"/>
        <v>0</v>
      </c>
      <c r="P152" s="748">
        <f t="shared" si="236"/>
        <v>0</v>
      </c>
      <c r="R152" s="763">
        <f t="shared" si="237"/>
        <v>0</v>
      </c>
      <c r="S152" s="230">
        <f t="shared" si="238"/>
        <v>0</v>
      </c>
      <c r="T152" s="145">
        <f t="shared" si="239"/>
        <v>0</v>
      </c>
      <c r="U152" s="230">
        <f t="shared" si="240"/>
        <v>0</v>
      </c>
      <c r="V152" s="145">
        <f t="shared" si="241"/>
        <v>0</v>
      </c>
      <c r="W152" s="230">
        <f t="shared" si="242"/>
        <v>0</v>
      </c>
      <c r="X152" s="145">
        <f t="shared" si="243"/>
        <v>0</v>
      </c>
      <c r="Y152" s="230">
        <f t="shared" si="244"/>
        <v>0</v>
      </c>
      <c r="Z152" s="145">
        <f t="shared" si="245"/>
        <v>0</v>
      </c>
      <c r="AA152" s="230">
        <f t="shared" si="246"/>
        <v>0</v>
      </c>
      <c r="AB152" s="145">
        <f t="shared" si="247"/>
        <v>0</v>
      </c>
      <c r="AC152" s="230">
        <f t="shared" si="248"/>
        <v>0</v>
      </c>
      <c r="AD152" s="145">
        <f t="shared" si="249"/>
        <v>0</v>
      </c>
      <c r="AE152" s="230">
        <f t="shared" si="250"/>
        <v>0</v>
      </c>
      <c r="AF152" s="145">
        <f t="shared" si="251"/>
        <v>0</v>
      </c>
    </row>
    <row r="153" spans="1:32" s="145" customFormat="1">
      <c r="A153" s="175">
        <f>INPUTS!C31</f>
        <v>0</v>
      </c>
      <c r="B153" s="252">
        <f t="shared" si="252"/>
        <v>0</v>
      </c>
      <c r="C153" s="252">
        <f t="shared" si="253"/>
        <v>0</v>
      </c>
      <c r="D153" s="252">
        <f t="shared" si="254"/>
        <v>0</v>
      </c>
      <c r="E153" s="252">
        <f t="shared" si="233"/>
        <v>0</v>
      </c>
      <c r="F153" s="252">
        <f t="shared" si="234"/>
        <v>0</v>
      </c>
      <c r="G153" s="252">
        <f t="shared" si="235"/>
        <v>0</v>
      </c>
      <c r="H153" s="252">
        <f t="shared" si="255"/>
        <v>0</v>
      </c>
      <c r="I153" s="252">
        <f t="shared" si="256"/>
        <v>0</v>
      </c>
      <c r="J153" s="252">
        <f t="shared" si="257"/>
        <v>0</v>
      </c>
      <c r="K153" s="252" t="str">
        <f t="shared" si="258"/>
        <v/>
      </c>
      <c r="L153" s="252" t="str">
        <f t="shared" si="259"/>
        <v/>
      </c>
      <c r="M153" s="252" t="str">
        <f t="shared" si="260"/>
        <v/>
      </c>
      <c r="N153" s="748">
        <f>IFERROR((H153*L80*100/L81+I153*U80*100/U81+J153*AD80*100/AD81), 0)</f>
        <v>0</v>
      </c>
      <c r="O153" s="748">
        <f t="shared" si="261"/>
        <v>0</v>
      </c>
      <c r="P153" s="748">
        <f t="shared" si="236"/>
        <v>0</v>
      </c>
      <c r="R153" s="763">
        <f t="shared" si="237"/>
        <v>0</v>
      </c>
      <c r="S153" s="230">
        <f t="shared" si="238"/>
        <v>14.399999999999999</v>
      </c>
      <c r="T153" s="145">
        <f t="shared" si="239"/>
        <v>0</v>
      </c>
      <c r="U153" s="230">
        <f t="shared" si="240"/>
        <v>1.65</v>
      </c>
      <c r="V153" s="145">
        <f t="shared" si="241"/>
        <v>0</v>
      </c>
      <c r="W153" s="230">
        <f t="shared" si="242"/>
        <v>2.5148999999999999</v>
      </c>
      <c r="X153" s="145">
        <f t="shared" si="243"/>
        <v>0</v>
      </c>
      <c r="Y153" s="230">
        <f t="shared" si="244"/>
        <v>1.21</v>
      </c>
      <c r="Z153" s="145">
        <f t="shared" si="245"/>
        <v>0</v>
      </c>
      <c r="AA153" s="230">
        <f t="shared" si="246"/>
        <v>3.3929999999999998</v>
      </c>
      <c r="AB153" s="145">
        <f t="shared" si="247"/>
        <v>0</v>
      </c>
      <c r="AC153" s="230">
        <f t="shared" si="248"/>
        <v>3.5999999999999996</v>
      </c>
      <c r="AD153" s="145">
        <f t="shared" si="249"/>
        <v>0</v>
      </c>
      <c r="AE153" s="230">
        <f t="shared" si="250"/>
        <v>0</v>
      </c>
      <c r="AF153" s="145">
        <f t="shared" si="251"/>
        <v>0</v>
      </c>
    </row>
    <row r="154" spans="1:32" s="145" customFormat="1">
      <c r="A154" s="175">
        <f>INPUTS!C32</f>
        <v>0</v>
      </c>
      <c r="B154" s="252">
        <f t="shared" si="252"/>
        <v>0</v>
      </c>
      <c r="C154" s="252">
        <f t="shared" si="253"/>
        <v>0</v>
      </c>
      <c r="D154" s="252">
        <f t="shared" si="254"/>
        <v>0</v>
      </c>
      <c r="E154" s="252">
        <f t="shared" si="233"/>
        <v>0</v>
      </c>
      <c r="F154" s="252">
        <f t="shared" si="234"/>
        <v>0</v>
      </c>
      <c r="G154" s="252">
        <f t="shared" si="235"/>
        <v>0</v>
      </c>
      <c r="H154" s="252">
        <f t="shared" si="255"/>
        <v>0</v>
      </c>
      <c r="I154" s="252">
        <f t="shared" si="256"/>
        <v>0</v>
      </c>
      <c r="J154" s="252">
        <f t="shared" si="257"/>
        <v>0</v>
      </c>
      <c r="K154" s="252" t="str">
        <f t="shared" si="258"/>
        <v/>
      </c>
      <c r="L154" s="252" t="str">
        <f t="shared" si="259"/>
        <v/>
      </c>
      <c r="M154" s="252" t="str">
        <f t="shared" si="260"/>
        <v/>
      </c>
      <c r="N154" s="748">
        <f>IFERROR((H154*L87*100/L88+I154*U87*100/U88+J154*AD87*100/AD88), 0)</f>
        <v>0</v>
      </c>
      <c r="O154" s="748">
        <f t="shared" si="261"/>
        <v>0</v>
      </c>
      <c r="P154" s="748">
        <f t="shared" si="236"/>
        <v>0</v>
      </c>
      <c r="R154" s="763">
        <f t="shared" si="237"/>
        <v>0</v>
      </c>
      <c r="S154" s="230">
        <f t="shared" si="238"/>
        <v>0.79859999999999998</v>
      </c>
      <c r="T154" s="145">
        <f t="shared" si="239"/>
        <v>0</v>
      </c>
      <c r="U154" s="230">
        <f t="shared" si="240"/>
        <v>0.65213596800000007</v>
      </c>
      <c r="V154" s="145">
        <f t="shared" si="241"/>
        <v>0</v>
      </c>
      <c r="W154" s="230">
        <f t="shared" si="242"/>
        <v>0.53459999999999996</v>
      </c>
      <c r="X154" s="145">
        <f t="shared" si="243"/>
        <v>0</v>
      </c>
      <c r="Y154" s="230">
        <f t="shared" si="244"/>
        <v>0.5411999999999999</v>
      </c>
      <c r="Z154" s="145">
        <f t="shared" si="245"/>
        <v>0</v>
      </c>
      <c r="AA154" s="230">
        <f t="shared" si="246"/>
        <v>0.45539999999999992</v>
      </c>
      <c r="AB154" s="145">
        <f t="shared" si="247"/>
        <v>0</v>
      </c>
      <c r="AC154" s="230">
        <f t="shared" si="248"/>
        <v>0.32999999999999996</v>
      </c>
      <c r="AD154" s="145">
        <f t="shared" si="249"/>
        <v>0</v>
      </c>
      <c r="AE154" s="230">
        <f t="shared" si="250"/>
        <v>0</v>
      </c>
      <c r="AF154" s="145">
        <f t="shared" si="251"/>
        <v>0</v>
      </c>
    </row>
    <row r="155" spans="1:32" s="145" customFormat="1">
      <c r="A155" s="175">
        <f>INPUTS!C33</f>
        <v>0</v>
      </c>
      <c r="B155" s="252">
        <f t="shared" si="252"/>
        <v>0</v>
      </c>
      <c r="C155" s="252">
        <f t="shared" si="253"/>
        <v>0</v>
      </c>
      <c r="D155" s="252">
        <f t="shared" si="254"/>
        <v>0</v>
      </c>
      <c r="E155" s="252">
        <f t="shared" si="233"/>
        <v>0</v>
      </c>
      <c r="F155" s="252">
        <f t="shared" si="234"/>
        <v>0</v>
      </c>
      <c r="G155" s="252">
        <f t="shared" si="235"/>
        <v>0</v>
      </c>
      <c r="H155" s="252">
        <f t="shared" si="255"/>
        <v>0</v>
      </c>
      <c r="I155" s="252">
        <f t="shared" si="256"/>
        <v>0</v>
      </c>
      <c r="J155" s="252">
        <f t="shared" si="257"/>
        <v>0</v>
      </c>
      <c r="K155" s="252" t="str">
        <f t="shared" si="258"/>
        <v/>
      </c>
      <c r="L155" s="252" t="str">
        <f t="shared" si="259"/>
        <v/>
      </c>
      <c r="M155" s="252" t="str">
        <f t="shared" si="260"/>
        <v/>
      </c>
      <c r="N155" s="748">
        <f>IFERROR((H155*L94*100/L95+I155*U94*100/U95+J155*AD94*100/AD95), 0)</f>
        <v>0</v>
      </c>
      <c r="O155" s="748">
        <f t="shared" si="261"/>
        <v>0</v>
      </c>
      <c r="P155" s="748">
        <f t="shared" si="236"/>
        <v>0</v>
      </c>
      <c r="R155" s="763">
        <f t="shared" si="237"/>
        <v>0</v>
      </c>
      <c r="S155" s="230">
        <f t="shared" si="238"/>
        <v>10.89</v>
      </c>
      <c r="T155" s="145">
        <f t="shared" si="239"/>
        <v>0</v>
      </c>
      <c r="U155" s="230">
        <f t="shared" si="240"/>
        <v>1.4821271999999999</v>
      </c>
      <c r="V155" s="145">
        <f t="shared" si="241"/>
        <v>0</v>
      </c>
      <c r="W155" s="230">
        <f t="shared" si="242"/>
        <v>2.0168999999999997</v>
      </c>
      <c r="X155" s="145">
        <f t="shared" si="243"/>
        <v>0</v>
      </c>
      <c r="Y155" s="230">
        <f t="shared" si="244"/>
        <v>1.8039999999999998</v>
      </c>
      <c r="Z155" s="145">
        <f t="shared" si="245"/>
        <v>0</v>
      </c>
      <c r="AA155" s="230">
        <f t="shared" si="246"/>
        <v>6.0030000000000001</v>
      </c>
      <c r="AB155" s="145">
        <f t="shared" si="247"/>
        <v>0</v>
      </c>
      <c r="AC155" s="230">
        <f t="shared" si="248"/>
        <v>3</v>
      </c>
      <c r="AD155" s="145">
        <f t="shared" si="249"/>
        <v>0</v>
      </c>
      <c r="AE155" s="230">
        <f t="shared" si="250"/>
        <v>0</v>
      </c>
      <c r="AF155" s="145">
        <f t="shared" si="251"/>
        <v>0</v>
      </c>
    </row>
    <row r="156" spans="1:32" s="145" customFormat="1">
      <c r="A156" s="175">
        <f>INPUTS!C34</f>
        <v>0</v>
      </c>
      <c r="B156" s="252">
        <f t="shared" si="252"/>
        <v>0</v>
      </c>
      <c r="C156" s="252">
        <f t="shared" si="253"/>
        <v>0</v>
      </c>
      <c r="D156" s="252">
        <f t="shared" si="254"/>
        <v>0</v>
      </c>
      <c r="E156" s="252">
        <f t="shared" si="233"/>
        <v>0</v>
      </c>
      <c r="F156" s="252">
        <f t="shared" si="234"/>
        <v>0</v>
      </c>
      <c r="G156" s="252">
        <f t="shared" si="235"/>
        <v>0</v>
      </c>
      <c r="H156" s="252">
        <f t="shared" si="255"/>
        <v>0</v>
      </c>
      <c r="I156" s="252">
        <f t="shared" si="256"/>
        <v>0</v>
      </c>
      <c r="J156" s="252">
        <f t="shared" si="257"/>
        <v>0</v>
      </c>
      <c r="K156" s="252" t="str">
        <f t="shared" si="258"/>
        <v/>
      </c>
      <c r="L156" s="252" t="str">
        <f t="shared" si="259"/>
        <v/>
      </c>
      <c r="M156" s="252" t="str">
        <f t="shared" si="260"/>
        <v/>
      </c>
      <c r="N156" s="748">
        <f>IFERROR((H156*L101*100/L102+I156*U101*100/U102+J156*AD101*100/AD102), 0)</f>
        <v>0</v>
      </c>
      <c r="O156" s="748">
        <f t="shared" si="261"/>
        <v>0</v>
      </c>
      <c r="P156" s="748">
        <f t="shared" si="236"/>
        <v>0</v>
      </c>
      <c r="R156" s="763">
        <f t="shared" si="237"/>
        <v>0</v>
      </c>
      <c r="S156" s="230">
        <f t="shared" si="238"/>
        <v>90</v>
      </c>
      <c r="T156" s="145">
        <f t="shared" si="239"/>
        <v>0</v>
      </c>
      <c r="U156" s="230">
        <f t="shared" si="240"/>
        <v>15</v>
      </c>
      <c r="V156" s="145">
        <f t="shared" si="241"/>
        <v>0</v>
      </c>
      <c r="W156" s="230">
        <f t="shared" si="242"/>
        <v>24.9</v>
      </c>
      <c r="X156" s="145">
        <f t="shared" si="243"/>
        <v>0</v>
      </c>
      <c r="Y156" s="230">
        <f t="shared" si="244"/>
        <v>22</v>
      </c>
      <c r="Z156" s="145">
        <f t="shared" si="245"/>
        <v>0</v>
      </c>
      <c r="AA156" s="230">
        <f t="shared" si="246"/>
        <v>87</v>
      </c>
      <c r="AB156" s="145">
        <f t="shared" si="247"/>
        <v>0</v>
      </c>
      <c r="AC156" s="230">
        <f t="shared" si="248"/>
        <v>60</v>
      </c>
      <c r="AD156" s="145">
        <f t="shared" si="249"/>
        <v>0</v>
      </c>
      <c r="AE156" s="230">
        <f t="shared" si="250"/>
        <v>0</v>
      </c>
      <c r="AF156" s="145">
        <f t="shared" si="251"/>
        <v>0</v>
      </c>
    </row>
    <row r="157" spans="1:32" s="145" customFormat="1">
      <c r="D157" s="538"/>
      <c r="O157" s="747">
        <f>SUM(O143:O156)</f>
        <v>0</v>
      </c>
      <c r="R157" s="747">
        <f>SUM(R143:R156)</f>
        <v>15531.404109057921</v>
      </c>
      <c r="S157" s="231"/>
      <c r="V157" s="577"/>
      <c r="AB157" s="229"/>
    </row>
    <row r="158" spans="1:32" s="145" customFormat="1">
      <c r="O158" s="230"/>
      <c r="S158" s="231"/>
      <c r="V158" s="577"/>
      <c r="AB158" s="229"/>
    </row>
    <row r="159" spans="1:32" s="145" customFormat="1">
      <c r="A159" s="372" t="s">
        <v>1153</v>
      </c>
      <c r="B159" s="372"/>
      <c r="C159" s="372"/>
      <c r="D159" s="372"/>
      <c r="E159" s="372"/>
      <c r="F159" s="372"/>
      <c r="G159" s="372"/>
      <c r="H159" s="372"/>
      <c r="I159" s="372"/>
      <c r="J159" s="372"/>
      <c r="K159" s="372"/>
      <c r="L159" s="372"/>
      <c r="M159" s="372"/>
      <c r="N159" s="372"/>
      <c r="O159" s="372"/>
      <c r="P159" s="372"/>
      <c r="Q159" s="372"/>
      <c r="R159" s="372"/>
      <c r="S159" s="372"/>
      <c r="T159" s="372"/>
      <c r="U159" s="372"/>
      <c r="V159" s="581"/>
      <c r="W159" s="372"/>
      <c r="X159" s="372"/>
      <c r="Y159" s="372"/>
      <c r="Z159" s="372"/>
      <c r="AA159" s="372"/>
      <c r="AB159" s="372"/>
      <c r="AC159" s="372"/>
      <c r="AD159" s="372"/>
      <c r="AE159" s="372"/>
      <c r="AF159" s="372"/>
    </row>
    <row r="160" spans="1:32" s="145" customFormat="1" ht="141.75">
      <c r="A160" s="13"/>
      <c r="B160" s="503" t="s">
        <v>1000</v>
      </c>
      <c r="C160" s="503" t="s">
        <v>1001</v>
      </c>
      <c r="D160" s="503" t="s">
        <v>1853</v>
      </c>
      <c r="E160" s="503" t="s">
        <v>1165</v>
      </c>
      <c r="F160" s="503" t="s">
        <v>1558</v>
      </c>
      <c r="G160" s="736" t="s">
        <v>1292</v>
      </c>
      <c r="H160" s="736" t="s">
        <v>1293</v>
      </c>
      <c r="I160" s="736" t="s">
        <v>1294</v>
      </c>
      <c r="J160" s="736" t="s">
        <v>1295</v>
      </c>
      <c r="K160" s="736" t="s">
        <v>1296</v>
      </c>
      <c r="L160" s="736" t="s">
        <v>1557</v>
      </c>
      <c r="M160" s="736" t="s">
        <v>1297</v>
      </c>
      <c r="N160" s="736" t="s">
        <v>1298</v>
      </c>
      <c r="O160" s="504" t="s">
        <v>1559</v>
      </c>
      <c r="P160" s="153" t="s">
        <v>1299</v>
      </c>
      <c r="Q160" s="504" t="s">
        <v>1300</v>
      </c>
      <c r="R160" s="153" t="s">
        <v>1301</v>
      </c>
      <c r="S160" s="504" t="s">
        <v>1560</v>
      </c>
      <c r="T160" s="153" t="s">
        <v>1302</v>
      </c>
      <c r="V160" s="577"/>
    </row>
    <row r="161" spans="1:28" s="145" customFormat="1">
      <c r="A161" s="13" t="str">
        <f>INPUTS!C21</f>
        <v>Cows (local)</v>
      </c>
      <c r="B161" s="651">
        <f>MAX(B143,E143)</f>
        <v>0</v>
      </c>
      <c r="C161" s="651">
        <f>MAX(C143,F143)</f>
        <v>0</v>
      </c>
      <c r="D161" s="651">
        <f>MAX(D143,G143)</f>
        <v>0</v>
      </c>
      <c r="E161" s="658">
        <f>IF(B161+C161+D161 = 0, 0, IFERROR(((B161+C161+D161)/365)*0.365,""))</f>
        <v>0</v>
      </c>
      <c r="F161" s="507">
        <f>IFERROR(E161*365,"")</f>
        <v>0</v>
      </c>
      <c r="G161" s="737">
        <f>INPUTS!H21</f>
        <v>0</v>
      </c>
      <c r="H161" s="737">
        <f>INPUTS!I21</f>
        <v>0</v>
      </c>
      <c r="I161" s="737">
        <f>INPUTS!J21</f>
        <v>0</v>
      </c>
      <c r="J161" s="737">
        <f>INPUTS!K21</f>
        <v>0</v>
      </c>
      <c r="K161" s="737">
        <f>INPUTS!M21</f>
        <v>0</v>
      </c>
      <c r="L161" s="737">
        <f>INPUTS!N21</f>
        <v>0</v>
      </c>
      <c r="M161" s="737">
        <f>INPUTS!O21</f>
        <v>0</v>
      </c>
      <c r="N161" s="737">
        <f>INPUTS!Q21</f>
        <v>0</v>
      </c>
      <c r="O161" s="738">
        <f>F161*I161 - F161*I161*M161</f>
        <v>0</v>
      </c>
      <c r="P161" s="739">
        <f>O161*'Livestock parameters'!AD2</f>
        <v>0</v>
      </c>
      <c r="Q161" s="738">
        <f>F161*(G161*K161+H161*L161+I161*M161)*N161</f>
        <v>0</v>
      </c>
      <c r="R161" s="739">
        <f>Q161*'Livestock parameters'!AD2</f>
        <v>0</v>
      </c>
      <c r="S161" s="738">
        <f>P161+R161</f>
        <v>0</v>
      </c>
      <c r="T161" s="739"/>
      <c r="V161" s="577"/>
    </row>
    <row r="162" spans="1:28" s="145" customFormat="1">
      <c r="A162" s="13" t="str">
        <f>INPUTS!C22</f>
        <v>Cows (improved)</v>
      </c>
      <c r="B162" s="651">
        <f t="shared" ref="B162:B174" si="262">MAX(B144,E144)</f>
        <v>3807.5777956151874</v>
      </c>
      <c r="C162" s="651">
        <f t="shared" ref="C162:C174" si="263">MAX(C144,F144)</f>
        <v>3191.1274738800912</v>
      </c>
      <c r="D162" s="651">
        <f t="shared" ref="D162:D174" si="264">MAX(D144,G144)</f>
        <v>0</v>
      </c>
      <c r="E162" s="658">
        <f t="shared" ref="E162:E174" si="265">IF(B162+C162+D162 = 0, 0, IFERROR(((B162+C162+D162)/365)*0.365,""))</f>
        <v>6.9987052694952778</v>
      </c>
      <c r="F162" s="507">
        <f t="shared" ref="F162:F174" si="266">IFERROR(E162*365,"")</f>
        <v>2554.5274233657765</v>
      </c>
      <c r="G162" s="737">
        <f>INPUTS!H22</f>
        <v>1</v>
      </c>
      <c r="H162" s="737">
        <f>INPUTS!I22</f>
        <v>0</v>
      </c>
      <c r="I162" s="737">
        <f>INPUTS!J22</f>
        <v>0</v>
      </c>
      <c r="J162" s="737">
        <f>INPUTS!K22</f>
        <v>0</v>
      </c>
      <c r="K162" s="737">
        <f>INPUTS!M22</f>
        <v>1</v>
      </c>
      <c r="L162" s="737">
        <f>INPUTS!N22</f>
        <v>0</v>
      </c>
      <c r="M162" s="737">
        <f>INPUTS!O22</f>
        <v>0</v>
      </c>
      <c r="N162" s="737">
        <f>INPUTS!Q22</f>
        <v>0.9</v>
      </c>
      <c r="O162" s="738">
        <f t="shared" ref="O162:O169" si="267">F162*I162 - F162*I162*M162</f>
        <v>0</v>
      </c>
      <c r="P162" s="739">
        <f>O162*'Livestock parameters'!AD3</f>
        <v>0</v>
      </c>
      <c r="Q162" s="738">
        <f t="shared" ref="Q162:Q169" si="268">F162*(G162*K162+H162*L162+I162*M162)*N162</f>
        <v>2299.0746810291989</v>
      </c>
      <c r="R162" s="739">
        <f>Q162*'Livestock parameters'!AD3</f>
        <v>66.673165749846774</v>
      </c>
      <c r="S162" s="738">
        <f t="shared" ref="S162:S169" si="269">P162+R162</f>
        <v>66.673165749846774</v>
      </c>
      <c r="T162" s="739"/>
      <c r="V162" s="577"/>
    </row>
    <row r="163" spans="1:28" s="145" customFormat="1">
      <c r="A163" s="13" t="str">
        <f>INPUTS!C23</f>
        <v>Adult cattle - male</v>
      </c>
      <c r="B163" s="651">
        <f t="shared" si="262"/>
        <v>0</v>
      </c>
      <c r="C163" s="651">
        <f t="shared" si="263"/>
        <v>0</v>
      </c>
      <c r="D163" s="651">
        <f t="shared" si="264"/>
        <v>0</v>
      </c>
      <c r="E163" s="658">
        <f t="shared" si="265"/>
        <v>0</v>
      </c>
      <c r="F163" s="507">
        <f t="shared" si="266"/>
        <v>0</v>
      </c>
      <c r="G163" s="737">
        <f>INPUTS!H23</f>
        <v>0</v>
      </c>
      <c r="H163" s="737">
        <f>INPUTS!I23</f>
        <v>0</v>
      </c>
      <c r="I163" s="737">
        <f>INPUTS!J23</f>
        <v>0</v>
      </c>
      <c r="J163" s="737">
        <f>INPUTS!K23</f>
        <v>0</v>
      </c>
      <c r="K163" s="737">
        <f>INPUTS!M23</f>
        <v>0</v>
      </c>
      <c r="L163" s="737">
        <f>INPUTS!N23</f>
        <v>0</v>
      </c>
      <c r="M163" s="737">
        <f>INPUTS!O23</f>
        <v>0</v>
      </c>
      <c r="N163" s="737">
        <f>INPUTS!Q23</f>
        <v>0</v>
      </c>
      <c r="O163" s="738">
        <f t="shared" si="267"/>
        <v>0</v>
      </c>
      <c r="P163" s="739">
        <f>O163*'Livestock parameters'!AD4</f>
        <v>0</v>
      </c>
      <c r="Q163" s="738">
        <f t="shared" si="268"/>
        <v>0</v>
      </c>
      <c r="R163" s="739">
        <f>Q163*'Livestock parameters'!AD4</f>
        <v>0</v>
      </c>
      <c r="S163" s="738">
        <f t="shared" si="269"/>
        <v>0</v>
      </c>
      <c r="T163" s="739"/>
      <c r="V163" s="577"/>
    </row>
    <row r="164" spans="1:28" s="145" customFormat="1">
      <c r="A164" s="13" t="str">
        <f>INPUTS!C24</f>
        <v>Calves</v>
      </c>
      <c r="B164" s="651">
        <f t="shared" si="262"/>
        <v>0</v>
      </c>
      <c r="C164" s="651">
        <f t="shared" si="263"/>
        <v>0</v>
      </c>
      <c r="D164" s="651">
        <f t="shared" si="264"/>
        <v>0</v>
      </c>
      <c r="E164" s="658">
        <f t="shared" si="265"/>
        <v>0</v>
      </c>
      <c r="F164" s="507">
        <f t="shared" si="266"/>
        <v>0</v>
      </c>
      <c r="G164" s="737">
        <f>INPUTS!H24</f>
        <v>0</v>
      </c>
      <c r="H164" s="737">
        <f>INPUTS!I24</f>
        <v>0</v>
      </c>
      <c r="I164" s="737">
        <f>INPUTS!J24</f>
        <v>0</v>
      </c>
      <c r="J164" s="737">
        <f>INPUTS!K24</f>
        <v>0</v>
      </c>
      <c r="K164" s="737">
        <f>INPUTS!M24</f>
        <v>0</v>
      </c>
      <c r="L164" s="737">
        <f>INPUTS!N24</f>
        <v>0</v>
      </c>
      <c r="M164" s="737">
        <f>INPUTS!O24</f>
        <v>0</v>
      </c>
      <c r="N164" s="737">
        <f>INPUTS!Q24</f>
        <v>0</v>
      </c>
      <c r="O164" s="738">
        <f t="shared" si="267"/>
        <v>0</v>
      </c>
      <c r="P164" s="739">
        <f>O164*'Livestock parameters'!AD5</f>
        <v>0</v>
      </c>
      <c r="Q164" s="738">
        <f t="shared" si="268"/>
        <v>0</v>
      </c>
      <c r="R164" s="739">
        <f>Q164*'Livestock parameters'!AD5</f>
        <v>0</v>
      </c>
      <c r="S164" s="738">
        <f t="shared" si="269"/>
        <v>0</v>
      </c>
      <c r="T164" s="739"/>
      <c r="V164" s="577"/>
    </row>
    <row r="165" spans="1:28" s="145" customFormat="1">
      <c r="A165" s="13" t="str">
        <f>INPUTS!C25</f>
        <v>Steers/heifers</v>
      </c>
      <c r="B165" s="651">
        <f t="shared" si="262"/>
        <v>4642.1321354675629</v>
      </c>
      <c r="C165" s="651">
        <f t="shared" si="263"/>
        <v>3890.5667040950807</v>
      </c>
      <c r="D165" s="651">
        <f t="shared" si="264"/>
        <v>0</v>
      </c>
      <c r="E165" s="658">
        <f t="shared" si="265"/>
        <v>8.5326988395626433</v>
      </c>
      <c r="F165" s="507">
        <f t="shared" si="266"/>
        <v>3114.4350764403648</v>
      </c>
      <c r="G165" s="737">
        <f>INPUTS!H25</f>
        <v>1</v>
      </c>
      <c r="H165" s="737">
        <f>INPUTS!I25</f>
        <v>0</v>
      </c>
      <c r="I165" s="737">
        <f>INPUTS!J25</f>
        <v>0</v>
      </c>
      <c r="J165" s="737">
        <f>INPUTS!K25</f>
        <v>0</v>
      </c>
      <c r="K165" s="737">
        <f>INPUTS!M25</f>
        <v>1</v>
      </c>
      <c r="L165" s="737">
        <f>INPUTS!N25</f>
        <v>0</v>
      </c>
      <c r="M165" s="737">
        <f>INPUTS!O25</f>
        <v>0</v>
      </c>
      <c r="N165" s="737">
        <f>INPUTS!Q25</f>
        <v>0.9</v>
      </c>
      <c r="O165" s="738">
        <f t="shared" si="267"/>
        <v>0</v>
      </c>
      <c r="P165" s="739">
        <f>O165*'Livestock parameters'!AD6</f>
        <v>0</v>
      </c>
      <c r="Q165" s="738">
        <f t="shared" si="268"/>
        <v>2802.9915687963285</v>
      </c>
      <c r="R165" s="739">
        <f>Q165*'Livestock parameters'!AD6</f>
        <v>81.28675549509353</v>
      </c>
      <c r="S165" s="738">
        <f t="shared" si="269"/>
        <v>81.28675549509353</v>
      </c>
      <c r="T165" s="739"/>
      <c r="V165" s="577"/>
    </row>
    <row r="166" spans="1:28" s="145" customFormat="1">
      <c r="A166" s="13" t="str">
        <f>INPUTS!C26</f>
        <v>Sheep/Goats - Ewes/Does</v>
      </c>
      <c r="B166" s="651">
        <f t="shared" si="262"/>
        <v>0</v>
      </c>
      <c r="C166" s="651">
        <f t="shared" si="263"/>
        <v>0</v>
      </c>
      <c r="D166" s="651">
        <f t="shared" si="264"/>
        <v>0</v>
      </c>
      <c r="E166" s="658">
        <f t="shared" si="265"/>
        <v>0</v>
      </c>
      <c r="F166" s="507">
        <f t="shared" si="266"/>
        <v>0</v>
      </c>
      <c r="G166" s="737">
        <f>INPUTS!H26</f>
        <v>0</v>
      </c>
      <c r="H166" s="737">
        <f>INPUTS!I26</f>
        <v>0</v>
      </c>
      <c r="I166" s="737">
        <f>INPUTS!J26</f>
        <v>0</v>
      </c>
      <c r="J166" s="737">
        <f>INPUTS!K26</f>
        <v>0</v>
      </c>
      <c r="K166" s="737">
        <f>INPUTS!M26</f>
        <v>0</v>
      </c>
      <c r="L166" s="737">
        <f>INPUTS!N26</f>
        <v>0</v>
      </c>
      <c r="M166" s="737">
        <f>INPUTS!O26</f>
        <v>0</v>
      </c>
      <c r="N166" s="737">
        <f>INPUTS!Q26</f>
        <v>0</v>
      </c>
      <c r="O166" s="738">
        <f t="shared" si="267"/>
        <v>0</v>
      </c>
      <c r="P166" s="739">
        <f>O166*'Livestock parameters'!AD7</f>
        <v>0</v>
      </c>
      <c r="Q166" s="738">
        <f t="shared" si="268"/>
        <v>0</v>
      </c>
      <c r="R166" s="739">
        <f>Q166*'Livestock parameters'!AD7</f>
        <v>0</v>
      </c>
      <c r="S166" s="738">
        <f t="shared" si="269"/>
        <v>0</v>
      </c>
      <c r="T166" s="739"/>
      <c r="V166" s="577"/>
    </row>
    <row r="167" spans="1:28" s="145" customFormat="1">
      <c r="A167" s="13" t="str">
        <f>INPUTS!C27</f>
        <v>Pigs - lactating/pregnant sows</v>
      </c>
      <c r="B167" s="651">
        <f t="shared" si="262"/>
        <v>0</v>
      </c>
      <c r="C167" s="651">
        <f t="shared" si="263"/>
        <v>0</v>
      </c>
      <c r="D167" s="651">
        <f t="shared" si="264"/>
        <v>0</v>
      </c>
      <c r="E167" s="658">
        <f t="shared" si="265"/>
        <v>0</v>
      </c>
      <c r="F167" s="507">
        <f t="shared" si="266"/>
        <v>0</v>
      </c>
      <c r="G167" s="737">
        <f>INPUTS!H27</f>
        <v>0</v>
      </c>
      <c r="H167" s="737">
        <f>INPUTS!I27</f>
        <v>0</v>
      </c>
      <c r="I167" s="737">
        <f>INPUTS!J27</f>
        <v>0</v>
      </c>
      <c r="J167" s="737">
        <f>INPUTS!K27</f>
        <v>0</v>
      </c>
      <c r="K167" s="737">
        <f>INPUTS!M27</f>
        <v>0</v>
      </c>
      <c r="L167" s="737">
        <f>INPUTS!N27</f>
        <v>0</v>
      </c>
      <c r="M167" s="737">
        <f>INPUTS!O27</f>
        <v>0</v>
      </c>
      <c r="N167" s="737">
        <f>INPUTS!Q27</f>
        <v>0</v>
      </c>
      <c r="O167" s="738">
        <f t="shared" si="267"/>
        <v>0</v>
      </c>
      <c r="P167" s="739">
        <f>O167*'Livestock parameters'!AD8</f>
        <v>0</v>
      </c>
      <c r="Q167" s="738">
        <f t="shared" si="268"/>
        <v>0</v>
      </c>
      <c r="R167" s="739">
        <f>Q167*'Livestock parameters'!AD8</f>
        <v>0</v>
      </c>
      <c r="S167" s="738">
        <f t="shared" si="269"/>
        <v>0</v>
      </c>
      <c r="T167" s="739"/>
      <c r="V167" s="577"/>
    </row>
    <row r="168" spans="1:28" s="145" customFormat="1">
      <c r="A168" s="13" t="str">
        <f>INPUTS!C28</f>
        <v>Calves</v>
      </c>
      <c r="B168" s="651">
        <f t="shared" si="262"/>
        <v>0</v>
      </c>
      <c r="C168" s="651">
        <f t="shared" si="263"/>
        <v>0</v>
      </c>
      <c r="D168" s="651">
        <f t="shared" si="264"/>
        <v>0</v>
      </c>
      <c r="E168" s="658">
        <f t="shared" si="265"/>
        <v>0</v>
      </c>
      <c r="F168" s="507">
        <f t="shared" si="266"/>
        <v>0</v>
      </c>
      <c r="G168" s="737">
        <f>INPUTS!H28</f>
        <v>0</v>
      </c>
      <c r="H168" s="737">
        <f>INPUTS!I28</f>
        <v>0</v>
      </c>
      <c r="I168" s="737">
        <f>INPUTS!J28</f>
        <v>0</v>
      </c>
      <c r="J168" s="737">
        <f>INPUTS!K28</f>
        <v>0</v>
      </c>
      <c r="K168" s="737">
        <f>INPUTS!M28</f>
        <v>0</v>
      </c>
      <c r="L168" s="737">
        <f>INPUTS!N28</f>
        <v>0</v>
      </c>
      <c r="M168" s="737">
        <f>INPUTS!O28</f>
        <v>0</v>
      </c>
      <c r="N168" s="737">
        <f>INPUTS!Q28</f>
        <v>0</v>
      </c>
      <c r="O168" s="738">
        <f t="shared" si="267"/>
        <v>0</v>
      </c>
      <c r="P168" s="739">
        <f>O168*'Livestock parameters'!AD9</f>
        <v>0</v>
      </c>
      <c r="Q168" s="738">
        <f t="shared" si="268"/>
        <v>0</v>
      </c>
      <c r="R168" s="739">
        <f>Q168*'Livestock parameters'!AD9</f>
        <v>0</v>
      </c>
      <c r="S168" s="738">
        <f t="shared" si="269"/>
        <v>0</v>
      </c>
      <c r="T168" s="739"/>
      <c r="V168" s="577"/>
    </row>
    <row r="169" spans="1:28" s="145" customFormat="1">
      <c r="A169" s="13">
        <f>INPUTS!C29</f>
        <v>0</v>
      </c>
      <c r="B169" s="651">
        <f t="shared" si="262"/>
        <v>0</v>
      </c>
      <c r="C169" s="651">
        <f t="shared" si="263"/>
        <v>0</v>
      </c>
      <c r="D169" s="651">
        <f t="shared" si="264"/>
        <v>0</v>
      </c>
      <c r="E169" s="658">
        <f t="shared" si="265"/>
        <v>0</v>
      </c>
      <c r="F169" s="507">
        <f t="shared" si="266"/>
        <v>0</v>
      </c>
      <c r="G169" s="737">
        <f>INPUTS!H29</f>
        <v>0</v>
      </c>
      <c r="H169" s="737">
        <f>INPUTS!I29</f>
        <v>0</v>
      </c>
      <c r="I169" s="737">
        <f>INPUTS!J29</f>
        <v>0</v>
      </c>
      <c r="J169" s="737">
        <f>INPUTS!K29</f>
        <v>0</v>
      </c>
      <c r="K169" s="737">
        <f>INPUTS!M29</f>
        <v>0</v>
      </c>
      <c r="L169" s="737">
        <f>INPUTS!N29</f>
        <v>0</v>
      </c>
      <c r="M169" s="737">
        <f>INPUTS!O29</f>
        <v>0</v>
      </c>
      <c r="N169" s="737">
        <f>INPUTS!Q29</f>
        <v>0</v>
      </c>
      <c r="O169" s="738">
        <f t="shared" si="267"/>
        <v>0</v>
      </c>
      <c r="P169" s="739">
        <f>O169*'Livestock parameters'!AD10</f>
        <v>0</v>
      </c>
      <c r="Q169" s="738">
        <f t="shared" si="268"/>
        <v>0</v>
      </c>
      <c r="R169" s="739">
        <f>Q169*'Livestock parameters'!AD10</f>
        <v>0</v>
      </c>
      <c r="S169" s="738">
        <f t="shared" si="269"/>
        <v>0</v>
      </c>
      <c r="T169" s="739"/>
      <c r="V169" s="577"/>
    </row>
    <row r="170" spans="1:28" s="145" customFormat="1">
      <c r="A170" s="13">
        <f>INPUTS!C30</f>
        <v>0</v>
      </c>
      <c r="B170" s="651">
        <f t="shared" si="262"/>
        <v>0</v>
      </c>
      <c r="C170" s="651">
        <f t="shared" si="263"/>
        <v>0</v>
      </c>
      <c r="D170" s="651">
        <f t="shared" si="264"/>
        <v>0</v>
      </c>
      <c r="E170" s="658">
        <f t="shared" si="265"/>
        <v>0</v>
      </c>
      <c r="F170" s="507">
        <f t="shared" si="266"/>
        <v>0</v>
      </c>
      <c r="G170" s="737">
        <f>INPUTS!H30</f>
        <v>0</v>
      </c>
      <c r="H170" s="737">
        <f>INPUTS!I30</f>
        <v>0</v>
      </c>
      <c r="I170" s="737">
        <f>INPUTS!J30</f>
        <v>0</v>
      </c>
      <c r="J170" s="737">
        <f>INPUTS!K30</f>
        <v>0</v>
      </c>
      <c r="K170" s="737">
        <f>INPUTS!M30</f>
        <v>0</v>
      </c>
      <c r="L170" s="737">
        <f>INPUTS!N30</f>
        <v>0</v>
      </c>
      <c r="M170" s="737">
        <f>INPUTS!O30</f>
        <v>0</v>
      </c>
      <c r="N170" s="737">
        <f>INPUTS!Q30</f>
        <v>0</v>
      </c>
      <c r="O170" s="738">
        <f t="shared" ref="O170:O174" si="270">F170*I170 - F170*I170*M170</f>
        <v>0</v>
      </c>
      <c r="P170" s="739">
        <f>O170*'Livestock parameters'!AD11</f>
        <v>0</v>
      </c>
      <c r="Q170" s="738">
        <f t="shared" ref="Q170:Q174" si="271">F170*(G170*K170+H170*L170+I170*M170)*N170</f>
        <v>0</v>
      </c>
      <c r="R170" s="739">
        <f>Q170*'Livestock parameters'!AD11</f>
        <v>0</v>
      </c>
      <c r="S170" s="738">
        <f t="shared" ref="S170:S174" si="272">P170+R170</f>
        <v>0</v>
      </c>
      <c r="T170" s="739"/>
      <c r="V170" s="577"/>
    </row>
    <row r="171" spans="1:28" s="145" customFormat="1">
      <c r="A171" s="13">
        <f>INPUTS!C31</f>
        <v>0</v>
      </c>
      <c r="B171" s="651">
        <f t="shared" si="262"/>
        <v>0</v>
      </c>
      <c r="C171" s="651">
        <f t="shared" si="263"/>
        <v>0</v>
      </c>
      <c r="D171" s="651">
        <f t="shared" si="264"/>
        <v>0</v>
      </c>
      <c r="E171" s="658">
        <f t="shared" si="265"/>
        <v>0</v>
      </c>
      <c r="F171" s="507">
        <f t="shared" si="266"/>
        <v>0</v>
      </c>
      <c r="G171" s="737">
        <f>INPUTS!H31</f>
        <v>0</v>
      </c>
      <c r="H171" s="737">
        <f>INPUTS!I31</f>
        <v>0</v>
      </c>
      <c r="I171" s="737">
        <f>INPUTS!J31</f>
        <v>0</v>
      </c>
      <c r="J171" s="737">
        <f>INPUTS!K31</f>
        <v>0</v>
      </c>
      <c r="K171" s="737">
        <f>INPUTS!M31</f>
        <v>0</v>
      </c>
      <c r="L171" s="737">
        <f>INPUTS!N31</f>
        <v>0</v>
      </c>
      <c r="M171" s="737">
        <f>INPUTS!O31</f>
        <v>0</v>
      </c>
      <c r="N171" s="737">
        <f>INPUTS!Q31</f>
        <v>0</v>
      </c>
      <c r="O171" s="738">
        <f t="shared" si="270"/>
        <v>0</v>
      </c>
      <c r="P171" s="739">
        <f>O171*'Livestock parameters'!AD12</f>
        <v>0</v>
      </c>
      <c r="Q171" s="738">
        <f t="shared" si="271"/>
        <v>0</v>
      </c>
      <c r="R171" s="739">
        <f>Q171*'Livestock parameters'!AD12</f>
        <v>0</v>
      </c>
      <c r="S171" s="738">
        <f t="shared" si="272"/>
        <v>0</v>
      </c>
      <c r="T171" s="739"/>
      <c r="V171" s="577"/>
    </row>
    <row r="172" spans="1:28" s="145" customFormat="1">
      <c r="A172" s="13">
        <f>INPUTS!C32</f>
        <v>0</v>
      </c>
      <c r="B172" s="651">
        <f t="shared" si="262"/>
        <v>0</v>
      </c>
      <c r="C172" s="651">
        <f t="shared" si="263"/>
        <v>0</v>
      </c>
      <c r="D172" s="651">
        <f t="shared" si="264"/>
        <v>0</v>
      </c>
      <c r="E172" s="658">
        <f t="shared" si="265"/>
        <v>0</v>
      </c>
      <c r="F172" s="507">
        <f t="shared" si="266"/>
        <v>0</v>
      </c>
      <c r="G172" s="737">
        <f>INPUTS!H32</f>
        <v>0</v>
      </c>
      <c r="H172" s="737">
        <f>INPUTS!I32</f>
        <v>0</v>
      </c>
      <c r="I172" s="737">
        <f>INPUTS!J32</f>
        <v>0</v>
      </c>
      <c r="J172" s="737">
        <f>INPUTS!K32</f>
        <v>0</v>
      </c>
      <c r="K172" s="737">
        <f>INPUTS!M32</f>
        <v>0</v>
      </c>
      <c r="L172" s="737">
        <f>INPUTS!N32</f>
        <v>0</v>
      </c>
      <c r="M172" s="737">
        <f>INPUTS!O32</f>
        <v>0</v>
      </c>
      <c r="N172" s="737">
        <f>INPUTS!Q32</f>
        <v>0</v>
      </c>
      <c r="O172" s="738">
        <f t="shared" si="270"/>
        <v>0</v>
      </c>
      <c r="P172" s="739">
        <f>O172*'Livestock parameters'!AD13</f>
        <v>0</v>
      </c>
      <c r="Q172" s="738">
        <f t="shared" si="271"/>
        <v>0</v>
      </c>
      <c r="R172" s="739">
        <f>Q172*'Livestock parameters'!AD13</f>
        <v>0</v>
      </c>
      <c r="S172" s="738">
        <f t="shared" si="272"/>
        <v>0</v>
      </c>
      <c r="T172" s="739"/>
      <c r="V172" s="577"/>
    </row>
    <row r="173" spans="1:28" s="145" customFormat="1">
      <c r="A173" s="13">
        <f>INPUTS!C33</f>
        <v>0</v>
      </c>
      <c r="B173" s="651">
        <f t="shared" si="262"/>
        <v>0</v>
      </c>
      <c r="C173" s="651">
        <f t="shared" si="263"/>
        <v>0</v>
      </c>
      <c r="D173" s="651">
        <f t="shared" si="264"/>
        <v>0</v>
      </c>
      <c r="E173" s="658">
        <f t="shared" si="265"/>
        <v>0</v>
      </c>
      <c r="F173" s="507">
        <f t="shared" si="266"/>
        <v>0</v>
      </c>
      <c r="G173" s="737">
        <f>INPUTS!H33</f>
        <v>0</v>
      </c>
      <c r="H173" s="737">
        <f>INPUTS!I33</f>
        <v>0</v>
      </c>
      <c r="I173" s="737">
        <f>INPUTS!J33</f>
        <v>0</v>
      </c>
      <c r="J173" s="737">
        <f>INPUTS!K33</f>
        <v>0</v>
      </c>
      <c r="K173" s="737">
        <f>INPUTS!M33</f>
        <v>0</v>
      </c>
      <c r="L173" s="737">
        <f>INPUTS!N33</f>
        <v>0</v>
      </c>
      <c r="M173" s="737">
        <f>INPUTS!O33</f>
        <v>0</v>
      </c>
      <c r="N173" s="737">
        <f>INPUTS!Q33</f>
        <v>0</v>
      </c>
      <c r="O173" s="738">
        <f t="shared" si="270"/>
        <v>0</v>
      </c>
      <c r="P173" s="739">
        <f>O173*'Livestock parameters'!AD14</f>
        <v>0</v>
      </c>
      <c r="Q173" s="738">
        <f t="shared" si="271"/>
        <v>0</v>
      </c>
      <c r="R173" s="739">
        <f>Q173*'Livestock parameters'!AD14</f>
        <v>0</v>
      </c>
      <c r="S173" s="738">
        <f t="shared" si="272"/>
        <v>0</v>
      </c>
      <c r="T173" s="739"/>
      <c r="V173" s="577"/>
    </row>
    <row r="174" spans="1:28" s="145" customFormat="1">
      <c r="A174" s="13">
        <f>INPUTS!C34</f>
        <v>0</v>
      </c>
      <c r="B174" s="651">
        <f t="shared" si="262"/>
        <v>0</v>
      </c>
      <c r="C174" s="651">
        <f t="shared" si="263"/>
        <v>0</v>
      </c>
      <c r="D174" s="651">
        <f t="shared" si="264"/>
        <v>0</v>
      </c>
      <c r="E174" s="658">
        <f t="shared" si="265"/>
        <v>0</v>
      </c>
      <c r="F174" s="507">
        <f t="shared" si="266"/>
        <v>0</v>
      </c>
      <c r="G174" s="737">
        <f>INPUTS!H34</f>
        <v>0</v>
      </c>
      <c r="H174" s="737">
        <f>INPUTS!I34</f>
        <v>0</v>
      </c>
      <c r="I174" s="737">
        <f>INPUTS!J34</f>
        <v>0</v>
      </c>
      <c r="J174" s="737">
        <f>INPUTS!K34</f>
        <v>0</v>
      </c>
      <c r="K174" s="737">
        <f>INPUTS!M34</f>
        <v>0</v>
      </c>
      <c r="L174" s="737">
        <f>INPUTS!N34</f>
        <v>0</v>
      </c>
      <c r="M174" s="737">
        <f>INPUTS!O34</f>
        <v>0</v>
      </c>
      <c r="N174" s="737">
        <f>INPUTS!Q34</f>
        <v>0</v>
      </c>
      <c r="O174" s="738">
        <f t="shared" si="270"/>
        <v>0</v>
      </c>
      <c r="P174" s="739">
        <f>O174*'Livestock parameters'!AD15</f>
        <v>0</v>
      </c>
      <c r="Q174" s="738">
        <f t="shared" si="271"/>
        <v>0</v>
      </c>
      <c r="R174" s="739">
        <f>Q174*'Livestock parameters'!AD15</f>
        <v>0</v>
      </c>
      <c r="S174" s="738">
        <f t="shared" si="272"/>
        <v>0</v>
      </c>
      <c r="T174" s="739"/>
      <c r="V174" s="577"/>
    </row>
    <row r="175" spans="1:28" s="145" customFormat="1">
      <c r="F175" s="617">
        <f>SUM(F161:F174)</f>
        <v>5668.9624998061408</v>
      </c>
      <c r="O175" s="617">
        <f t="shared" ref="O175:T175" si="273">SUM(O161:O174)</f>
        <v>0</v>
      </c>
      <c r="P175" s="617">
        <f t="shared" si="273"/>
        <v>0</v>
      </c>
      <c r="Q175" s="617">
        <f t="shared" si="273"/>
        <v>5102.0662498255278</v>
      </c>
      <c r="R175" s="617">
        <f t="shared" si="273"/>
        <v>147.95992124494029</v>
      </c>
      <c r="S175" s="617">
        <f t="shared" si="273"/>
        <v>147.95992124494029</v>
      </c>
      <c r="T175" s="617">
        <f t="shared" si="273"/>
        <v>0</v>
      </c>
      <c r="V175" s="577"/>
      <c r="X175" s="229"/>
    </row>
    <row r="176" spans="1:28" s="145" customFormat="1">
      <c r="O176" s="230"/>
      <c r="S176" s="231"/>
      <c r="V176" s="577"/>
      <c r="AB176" s="229"/>
    </row>
    <row r="177" spans="15:28" s="145" customFormat="1">
      <c r="O177" s="230"/>
      <c r="S177" s="231"/>
      <c r="V177" s="577"/>
      <c r="AB177" s="229"/>
    </row>
    <row r="178" spans="15:28" s="145" customFormat="1">
      <c r="O178" s="230"/>
      <c r="S178" s="231"/>
      <c r="V178" s="577"/>
      <c r="AB178" s="229"/>
    </row>
    <row r="179" spans="15:28" s="145" customFormat="1">
      <c r="O179" s="230"/>
      <c r="S179" s="231"/>
      <c r="V179" s="577"/>
      <c r="AB179" s="229"/>
    </row>
    <row r="180" spans="15:28" s="145" customFormat="1">
      <c r="O180" s="230"/>
      <c r="S180" s="231"/>
      <c r="V180" s="577"/>
      <c r="AB180" s="229"/>
    </row>
    <row r="181" spans="15:28" s="145" customFormat="1">
      <c r="O181" s="230"/>
      <c r="S181" s="231"/>
      <c r="V181" s="577"/>
      <c r="AB181" s="229"/>
    </row>
    <row r="182" spans="15:28" s="145" customFormat="1">
      <c r="O182" s="230"/>
      <c r="S182" s="231"/>
      <c r="V182" s="577"/>
      <c r="AB182" s="229"/>
    </row>
    <row r="183" spans="15:28" s="145" customFormat="1">
      <c r="O183" s="230"/>
      <c r="S183" s="231"/>
      <c r="V183" s="577"/>
      <c r="AB183" s="229"/>
    </row>
    <row r="184" spans="15:28" s="145" customFormat="1">
      <c r="O184" s="230"/>
      <c r="S184" s="231"/>
      <c r="V184" s="577"/>
      <c r="AB184" s="229"/>
    </row>
    <row r="185" spans="15:28" s="145" customFormat="1">
      <c r="O185" s="230"/>
      <c r="S185" s="231"/>
      <c r="V185" s="577"/>
      <c r="AB185" s="229"/>
    </row>
    <row r="186" spans="15:28" s="145" customFormat="1">
      <c r="O186" s="230"/>
      <c r="S186" s="231"/>
      <c r="V186" s="577"/>
      <c r="AB186" s="229"/>
    </row>
    <row r="187" spans="15:28" s="145" customFormat="1">
      <c r="O187" s="230"/>
      <c r="S187" s="231"/>
      <c r="V187" s="577"/>
      <c r="AB187" s="229"/>
    </row>
    <row r="188" spans="15:28" s="145" customFormat="1">
      <c r="O188" s="230"/>
      <c r="S188" s="231"/>
      <c r="V188" s="577"/>
      <c r="AB188" s="229"/>
    </row>
    <row r="189" spans="15:28" s="145" customFormat="1">
      <c r="O189" s="230"/>
      <c r="S189" s="231"/>
      <c r="V189" s="577"/>
      <c r="AB189" s="229"/>
    </row>
    <row r="190" spans="15:28" s="145" customFormat="1">
      <c r="O190" s="230"/>
      <c r="S190" s="231"/>
      <c r="V190" s="577"/>
      <c r="AB190" s="229"/>
    </row>
    <row r="191" spans="15:28" s="145" customFormat="1">
      <c r="O191" s="230"/>
      <c r="S191" s="231"/>
      <c r="V191" s="577"/>
      <c r="AB191" s="229"/>
    </row>
    <row r="192" spans="15:28" s="145" customFormat="1">
      <c r="O192" s="230"/>
      <c r="S192" s="231"/>
      <c r="V192" s="577"/>
      <c r="AB192" s="229"/>
    </row>
    <row r="193" spans="15:28" s="145" customFormat="1">
      <c r="O193" s="230"/>
      <c r="S193" s="231"/>
      <c r="V193" s="577"/>
      <c r="AB193" s="229"/>
    </row>
    <row r="194" spans="15:28" s="145" customFormat="1">
      <c r="O194" s="230"/>
      <c r="S194" s="231"/>
      <c r="V194" s="577"/>
      <c r="AB194" s="229"/>
    </row>
    <row r="195" spans="15:28" s="145" customFormat="1">
      <c r="O195" s="230"/>
      <c r="S195" s="231"/>
      <c r="V195" s="577"/>
      <c r="AB195" s="229"/>
    </row>
    <row r="196" spans="15:28" s="145" customFormat="1">
      <c r="O196" s="230"/>
      <c r="S196" s="231"/>
      <c r="V196" s="577"/>
      <c r="AB196" s="229"/>
    </row>
    <row r="197" spans="15:28" s="145" customFormat="1">
      <c r="O197" s="230"/>
      <c r="S197" s="231"/>
      <c r="V197" s="577"/>
      <c r="AB197" s="229"/>
    </row>
    <row r="198" spans="15:28" s="145" customFormat="1">
      <c r="O198" s="230"/>
      <c r="S198" s="231"/>
      <c r="V198" s="577"/>
      <c r="AB198" s="229"/>
    </row>
    <row r="199" spans="15:28" s="145" customFormat="1">
      <c r="O199" s="230"/>
      <c r="S199" s="231"/>
      <c r="V199" s="577"/>
      <c r="AB199" s="229"/>
    </row>
    <row r="200" spans="15:28" s="145" customFormat="1">
      <c r="O200" s="230"/>
      <c r="S200" s="231"/>
      <c r="V200" s="577"/>
      <c r="AB200" s="229"/>
    </row>
    <row r="201" spans="15:28" s="145" customFormat="1">
      <c r="O201" s="230"/>
      <c r="S201" s="231"/>
      <c r="V201" s="577"/>
      <c r="AB201" s="229"/>
    </row>
    <row r="202" spans="15:28" s="145" customFormat="1">
      <c r="O202" s="230"/>
      <c r="S202" s="231"/>
      <c r="V202" s="577"/>
      <c r="AB202" s="229"/>
    </row>
    <row r="203" spans="15:28" s="145" customFormat="1">
      <c r="O203" s="230"/>
      <c r="S203" s="231"/>
      <c r="V203" s="577"/>
      <c r="AB203" s="229"/>
    </row>
    <row r="204" spans="15:28" s="145" customFormat="1">
      <c r="O204" s="230"/>
      <c r="S204" s="231"/>
      <c r="V204" s="577"/>
      <c r="AB204" s="229"/>
    </row>
    <row r="205" spans="15:28" s="145" customFormat="1">
      <c r="O205" s="230"/>
      <c r="S205" s="231"/>
      <c r="V205" s="577"/>
      <c r="AB205" s="229"/>
    </row>
    <row r="206" spans="15:28" s="145" customFormat="1">
      <c r="O206" s="230"/>
      <c r="S206" s="231"/>
      <c r="V206" s="577"/>
      <c r="AB206" s="229"/>
    </row>
    <row r="207" spans="15:28" s="145" customFormat="1">
      <c r="O207" s="230"/>
      <c r="S207" s="231"/>
      <c r="V207" s="577"/>
      <c r="AB207" s="229"/>
    </row>
    <row r="208" spans="15:28" s="145" customFormat="1">
      <c r="O208" s="230"/>
      <c r="S208" s="231"/>
      <c r="V208" s="577"/>
      <c r="AB208" s="229"/>
    </row>
    <row r="209" spans="15:28" s="145" customFormat="1">
      <c r="O209" s="230"/>
      <c r="S209" s="231"/>
      <c r="V209" s="577"/>
      <c r="AB209" s="229"/>
    </row>
    <row r="210" spans="15:28" s="145" customFormat="1">
      <c r="O210" s="230"/>
      <c r="S210" s="231"/>
      <c r="V210" s="577"/>
      <c r="AB210" s="229"/>
    </row>
    <row r="211" spans="15:28" s="145" customFormat="1">
      <c r="O211" s="230"/>
      <c r="S211" s="231"/>
      <c r="V211" s="577"/>
      <c r="AB211" s="229"/>
    </row>
    <row r="212" spans="15:28" s="145" customFormat="1">
      <c r="O212" s="230"/>
      <c r="S212" s="231"/>
      <c r="V212" s="577"/>
      <c r="AB212" s="229"/>
    </row>
    <row r="213" spans="15:28" s="145" customFormat="1">
      <c r="O213" s="230"/>
      <c r="S213" s="231"/>
      <c r="V213" s="577"/>
      <c r="AB213" s="229"/>
    </row>
    <row r="214" spans="15:28" s="145" customFormat="1">
      <c r="O214" s="230"/>
      <c r="S214" s="231"/>
      <c r="V214" s="577"/>
      <c r="AB214" s="229"/>
    </row>
    <row r="215" spans="15:28" s="145" customFormat="1">
      <c r="O215" s="230"/>
      <c r="S215" s="231"/>
      <c r="V215" s="577"/>
      <c r="AB215" s="229"/>
    </row>
    <row r="216" spans="15:28" s="145" customFormat="1">
      <c r="O216" s="230"/>
      <c r="S216" s="231"/>
      <c r="V216" s="577"/>
      <c r="AB216" s="229"/>
    </row>
    <row r="217" spans="15:28" s="145" customFormat="1">
      <c r="O217" s="230"/>
      <c r="S217" s="231"/>
      <c r="V217" s="577"/>
      <c r="AB217" s="229"/>
    </row>
    <row r="218" spans="15:28" s="145" customFormat="1">
      <c r="O218" s="230"/>
      <c r="S218" s="231"/>
      <c r="V218" s="577"/>
      <c r="AB218" s="229"/>
    </row>
    <row r="219" spans="15:28" s="145" customFormat="1">
      <c r="O219" s="230"/>
      <c r="S219" s="231"/>
      <c r="V219" s="577"/>
      <c r="AB219" s="229"/>
    </row>
    <row r="220" spans="15:28" s="145" customFormat="1">
      <c r="O220" s="230"/>
      <c r="S220" s="231"/>
      <c r="V220" s="577"/>
      <c r="AB220" s="229"/>
    </row>
    <row r="221" spans="15:28" s="145" customFormat="1">
      <c r="O221" s="230"/>
      <c r="S221" s="231"/>
      <c r="V221" s="577"/>
      <c r="AB221" s="229"/>
    </row>
    <row r="222" spans="15:28" s="145" customFormat="1">
      <c r="O222" s="230"/>
      <c r="S222" s="231"/>
      <c r="V222" s="577"/>
      <c r="AB222" s="229"/>
    </row>
    <row r="223" spans="15:28" s="145" customFormat="1">
      <c r="O223" s="230"/>
      <c r="S223" s="231"/>
      <c r="V223" s="577"/>
      <c r="AB223" s="229"/>
    </row>
    <row r="224" spans="15:28" s="145" customFormat="1">
      <c r="O224" s="230"/>
      <c r="S224" s="231"/>
      <c r="V224" s="577"/>
      <c r="AB224" s="229"/>
    </row>
    <row r="225" spans="15:28" s="145" customFormat="1">
      <c r="O225" s="230"/>
      <c r="S225" s="231"/>
      <c r="V225" s="577"/>
      <c r="AB225" s="229"/>
    </row>
    <row r="226" spans="15:28" s="145" customFormat="1">
      <c r="O226" s="230"/>
      <c r="S226" s="231"/>
      <c r="V226" s="577"/>
      <c r="AB226" s="229"/>
    </row>
    <row r="227" spans="15:28" s="145" customFormat="1">
      <c r="O227" s="230"/>
      <c r="S227" s="231"/>
      <c r="V227" s="577"/>
      <c r="AB227" s="229"/>
    </row>
    <row r="228" spans="15:28" s="145" customFormat="1">
      <c r="O228" s="230"/>
      <c r="S228" s="231"/>
      <c r="V228" s="577"/>
      <c r="AB228" s="229"/>
    </row>
    <row r="229" spans="15:28" s="145" customFormat="1">
      <c r="O229" s="230"/>
      <c r="S229" s="231"/>
      <c r="V229" s="577"/>
      <c r="AB229" s="229"/>
    </row>
    <row r="230" spans="15:28" s="145" customFormat="1">
      <c r="O230" s="230"/>
      <c r="S230" s="231"/>
      <c r="V230" s="577"/>
      <c r="AB230" s="229"/>
    </row>
    <row r="231" spans="15:28" s="145" customFormat="1">
      <c r="O231" s="230"/>
      <c r="S231" s="231"/>
      <c r="V231" s="577"/>
      <c r="AB231" s="229"/>
    </row>
    <row r="232" spans="15:28" s="145" customFormat="1">
      <c r="O232" s="230"/>
      <c r="S232" s="231"/>
      <c r="V232" s="577"/>
      <c r="AB232" s="229"/>
    </row>
    <row r="233" spans="15:28" s="145" customFormat="1">
      <c r="O233" s="230"/>
      <c r="S233" s="231"/>
      <c r="V233" s="577"/>
      <c r="AB233" s="229"/>
    </row>
    <row r="234" spans="15:28" s="145" customFormat="1">
      <c r="O234" s="230"/>
      <c r="S234" s="231"/>
      <c r="V234" s="577"/>
      <c r="AB234" s="229"/>
    </row>
    <row r="235" spans="15:28" s="145" customFormat="1">
      <c r="O235" s="230"/>
      <c r="S235" s="231"/>
      <c r="V235" s="577"/>
      <c r="AB235" s="229"/>
    </row>
    <row r="236" spans="15:28" s="145" customFormat="1">
      <c r="O236" s="230"/>
      <c r="S236" s="231"/>
      <c r="V236" s="577"/>
      <c r="AB236" s="229"/>
    </row>
    <row r="237" spans="15:28" s="145" customFormat="1">
      <c r="O237" s="230"/>
      <c r="S237" s="231"/>
      <c r="V237" s="577"/>
      <c r="AB237" s="229"/>
    </row>
    <row r="238" spans="15:28" s="145" customFormat="1">
      <c r="O238" s="230"/>
      <c r="S238" s="231"/>
      <c r="V238" s="577"/>
      <c r="AB238" s="229"/>
    </row>
    <row r="239" spans="15:28" s="145" customFormat="1">
      <c r="O239" s="230"/>
      <c r="S239" s="231"/>
      <c r="V239" s="577"/>
      <c r="AB239" s="229"/>
    </row>
    <row r="240" spans="15:28" s="145" customFormat="1">
      <c r="O240" s="230"/>
      <c r="S240" s="231"/>
      <c r="V240" s="577"/>
      <c r="AB240" s="229"/>
    </row>
    <row r="241" spans="15:28" s="145" customFormat="1">
      <c r="O241" s="230"/>
      <c r="S241" s="231"/>
      <c r="V241" s="577"/>
      <c r="AB241" s="229"/>
    </row>
    <row r="242" spans="15:28" s="145" customFormat="1">
      <c r="O242" s="230"/>
      <c r="S242" s="231"/>
      <c r="V242" s="577"/>
      <c r="AB242" s="229"/>
    </row>
    <row r="243" spans="15:28" s="145" customFormat="1">
      <c r="O243" s="230"/>
      <c r="S243" s="231"/>
      <c r="V243" s="577"/>
      <c r="AB243" s="229"/>
    </row>
    <row r="244" spans="15:28" s="145" customFormat="1">
      <c r="O244" s="230"/>
      <c r="S244" s="231"/>
      <c r="V244" s="577"/>
      <c r="AB244" s="229"/>
    </row>
    <row r="245" spans="15:28" s="145" customFormat="1">
      <c r="O245" s="230"/>
      <c r="S245" s="231"/>
      <c r="V245" s="577"/>
      <c r="AB245" s="229"/>
    </row>
    <row r="246" spans="15:28" s="145" customFormat="1">
      <c r="O246" s="230"/>
      <c r="S246" s="231"/>
      <c r="V246" s="577"/>
      <c r="AB246" s="229"/>
    </row>
    <row r="247" spans="15:28" s="145" customFormat="1">
      <c r="O247" s="230"/>
      <c r="S247" s="231"/>
      <c r="V247" s="577"/>
      <c r="AB247" s="229"/>
    </row>
    <row r="248" spans="15:28" s="145" customFormat="1">
      <c r="O248" s="230"/>
      <c r="S248" s="231"/>
      <c r="V248" s="577"/>
      <c r="AB248" s="229"/>
    </row>
    <row r="249" spans="15:28" s="145" customFormat="1">
      <c r="O249" s="230"/>
      <c r="S249" s="231"/>
      <c r="V249" s="577"/>
      <c r="AB249" s="229"/>
    </row>
    <row r="250" spans="15:28" s="145" customFormat="1">
      <c r="O250" s="230"/>
      <c r="S250" s="231"/>
      <c r="V250" s="577"/>
      <c r="AB250" s="229"/>
    </row>
    <row r="251" spans="15:28" s="145" customFormat="1">
      <c r="O251" s="230"/>
      <c r="S251" s="231"/>
      <c r="V251" s="577"/>
      <c r="AB251" s="229"/>
    </row>
    <row r="252" spans="15:28" s="145" customFormat="1">
      <c r="O252" s="230"/>
      <c r="S252" s="231"/>
      <c r="V252" s="577"/>
      <c r="AB252" s="229"/>
    </row>
    <row r="253" spans="15:28" s="145" customFormat="1">
      <c r="O253" s="230"/>
      <c r="S253" s="231"/>
      <c r="V253" s="577"/>
      <c r="AB253" s="229"/>
    </row>
    <row r="254" spans="15:28" s="145" customFormat="1">
      <c r="O254" s="230"/>
      <c r="S254" s="231"/>
      <c r="V254" s="577"/>
      <c r="AB254" s="229"/>
    </row>
    <row r="255" spans="15:28" s="145" customFormat="1">
      <c r="O255" s="230"/>
      <c r="S255" s="231"/>
      <c r="V255" s="577"/>
      <c r="AB255" s="229"/>
    </row>
    <row r="256" spans="15:28" s="145" customFormat="1">
      <c r="O256" s="230"/>
      <c r="S256" s="231"/>
      <c r="V256" s="577"/>
      <c r="AB256" s="229"/>
    </row>
    <row r="257" spans="15:28" s="145" customFormat="1">
      <c r="O257" s="230"/>
      <c r="S257" s="231"/>
      <c r="V257" s="577"/>
      <c r="AB257" s="229"/>
    </row>
    <row r="258" spans="15:28" s="145" customFormat="1">
      <c r="O258" s="230"/>
      <c r="S258" s="231"/>
      <c r="V258" s="577"/>
      <c r="AB258" s="229"/>
    </row>
    <row r="259" spans="15:28" s="145" customFormat="1">
      <c r="O259" s="230"/>
      <c r="S259" s="231"/>
      <c r="V259" s="577"/>
      <c r="AB259" s="229"/>
    </row>
    <row r="260" spans="15:28" s="145" customFormat="1">
      <c r="O260" s="230"/>
      <c r="S260" s="231"/>
      <c r="V260" s="577"/>
      <c r="AB260" s="229"/>
    </row>
    <row r="261" spans="15:28" s="145" customFormat="1">
      <c r="O261" s="230"/>
      <c r="S261" s="231"/>
      <c r="V261" s="577"/>
      <c r="AB261" s="229"/>
    </row>
    <row r="262" spans="15:28" s="145" customFormat="1">
      <c r="O262" s="230"/>
      <c r="S262" s="231"/>
      <c r="V262" s="577"/>
      <c r="AB262" s="229"/>
    </row>
    <row r="263" spans="15:28" s="145" customFormat="1">
      <c r="O263" s="230"/>
      <c r="S263" s="231"/>
      <c r="V263" s="577"/>
      <c r="AB263" s="229"/>
    </row>
    <row r="264" spans="15:28" s="145" customFormat="1">
      <c r="O264" s="230"/>
      <c r="S264" s="231"/>
      <c r="V264" s="577"/>
      <c r="AB264" s="229"/>
    </row>
    <row r="265" spans="15:28" s="145" customFormat="1">
      <c r="O265" s="230"/>
      <c r="S265" s="231"/>
      <c r="V265" s="577"/>
      <c r="AB265" s="229"/>
    </row>
    <row r="266" spans="15:28" s="145" customFormat="1">
      <c r="O266" s="230"/>
      <c r="S266" s="231"/>
      <c r="V266" s="577"/>
      <c r="AB266" s="229"/>
    </row>
    <row r="267" spans="15:28" s="145" customFormat="1">
      <c r="O267" s="230"/>
      <c r="S267" s="231"/>
      <c r="V267" s="577"/>
      <c r="AB267" s="229"/>
    </row>
    <row r="268" spans="15:28" s="145" customFormat="1">
      <c r="O268" s="230"/>
      <c r="S268" s="231"/>
      <c r="V268" s="577"/>
      <c r="AB268" s="229"/>
    </row>
    <row r="269" spans="15:28" s="145" customFormat="1">
      <c r="O269" s="230"/>
      <c r="S269" s="231"/>
      <c r="V269" s="577"/>
      <c r="AB269" s="229"/>
    </row>
    <row r="270" spans="15:28" s="145" customFormat="1">
      <c r="O270" s="230"/>
      <c r="S270" s="231"/>
      <c r="V270" s="577"/>
      <c r="AB270" s="229"/>
    </row>
    <row r="271" spans="15:28" s="145" customFormat="1">
      <c r="O271" s="230"/>
      <c r="S271" s="231"/>
      <c r="V271" s="577"/>
      <c r="AB271" s="229"/>
    </row>
    <row r="272" spans="15:28" s="145" customFormat="1">
      <c r="O272" s="230"/>
      <c r="S272" s="231"/>
      <c r="V272" s="577"/>
      <c r="AB272" s="229"/>
    </row>
    <row r="273" spans="15:28" s="145" customFormat="1">
      <c r="O273" s="230"/>
      <c r="S273" s="231"/>
      <c r="V273" s="577"/>
      <c r="AB273" s="229"/>
    </row>
    <row r="274" spans="15:28" s="145" customFormat="1">
      <c r="O274" s="230"/>
      <c r="S274" s="231"/>
      <c r="V274" s="577"/>
      <c r="AB274" s="229"/>
    </row>
    <row r="275" spans="15:28" s="145" customFormat="1">
      <c r="O275" s="230"/>
      <c r="S275" s="231"/>
      <c r="V275" s="577"/>
      <c r="AB275" s="229"/>
    </row>
    <row r="276" spans="15:28" s="145" customFormat="1">
      <c r="O276" s="230"/>
      <c r="S276" s="231"/>
      <c r="V276" s="577"/>
      <c r="AB276" s="229"/>
    </row>
    <row r="277" spans="15:28" s="145" customFormat="1">
      <c r="O277" s="230"/>
      <c r="S277" s="231"/>
      <c r="V277" s="577"/>
      <c r="AB277" s="229"/>
    </row>
    <row r="278" spans="15:28" s="145" customFormat="1">
      <c r="O278" s="230"/>
      <c r="S278" s="231"/>
      <c r="V278" s="577"/>
      <c r="AB278" s="229"/>
    </row>
    <row r="279" spans="15:28" s="145" customFormat="1">
      <c r="O279" s="230"/>
      <c r="S279" s="231"/>
      <c r="V279" s="577"/>
      <c r="AB279" s="229"/>
    </row>
    <row r="280" spans="15:28" s="145" customFormat="1">
      <c r="O280" s="230"/>
      <c r="S280" s="231"/>
      <c r="V280" s="577"/>
      <c r="AB280" s="229"/>
    </row>
    <row r="281" spans="15:28" s="145" customFormat="1">
      <c r="O281" s="230"/>
      <c r="S281" s="231"/>
      <c r="V281" s="577"/>
      <c r="AB281" s="229"/>
    </row>
    <row r="282" spans="15:28" s="145" customFormat="1">
      <c r="O282" s="230"/>
      <c r="S282" s="231"/>
      <c r="V282" s="577"/>
      <c r="AB282" s="229"/>
    </row>
    <row r="283" spans="15:28" s="145" customFormat="1">
      <c r="O283" s="230"/>
      <c r="S283" s="231"/>
      <c r="V283" s="577"/>
      <c r="AB283" s="229"/>
    </row>
    <row r="284" spans="15:28" s="145" customFormat="1">
      <c r="O284" s="230"/>
      <c r="S284" s="231"/>
      <c r="V284" s="577"/>
      <c r="AB284" s="229"/>
    </row>
    <row r="285" spans="15:28" s="145" customFormat="1">
      <c r="O285" s="230"/>
      <c r="S285" s="231"/>
      <c r="V285" s="577"/>
      <c r="AB285" s="229"/>
    </row>
    <row r="286" spans="15:28" s="145" customFormat="1">
      <c r="O286" s="230"/>
      <c r="S286" s="231"/>
      <c r="V286" s="577"/>
      <c r="AB286" s="229"/>
    </row>
    <row r="287" spans="15:28" s="145" customFormat="1">
      <c r="O287" s="230"/>
      <c r="S287" s="231"/>
      <c r="V287" s="577"/>
      <c r="AB287" s="229"/>
    </row>
    <row r="288" spans="15:28" s="145" customFormat="1">
      <c r="O288" s="230"/>
      <c r="S288" s="231"/>
      <c r="V288" s="577"/>
      <c r="AB288" s="229"/>
    </row>
    <row r="289" spans="15:28" s="145" customFormat="1">
      <c r="O289" s="230"/>
      <c r="S289" s="231"/>
      <c r="V289" s="577"/>
      <c r="AB289" s="229"/>
    </row>
    <row r="290" spans="15:28" s="145" customFormat="1">
      <c r="O290" s="230"/>
      <c r="S290" s="231"/>
      <c r="V290" s="577"/>
      <c r="AB290" s="229"/>
    </row>
    <row r="291" spans="15:28" s="145" customFormat="1">
      <c r="O291" s="230"/>
      <c r="S291" s="231"/>
      <c r="V291" s="577"/>
      <c r="AB291" s="229"/>
    </row>
  </sheetData>
  <pageMargins left="0.75" right="0.75" top="1" bottom="1" header="0.5" footer="0.5"/>
  <pageSetup paperSize="9" orientation="portrait" horizontalDpi="4294967292" verticalDpi="4294967292" r:id="rId1"/>
  <ignoredErrors>
    <ignoredError sqref="G99:G102 G92:G95 G85:G88 G71:G81 G57:G66 G43:G53 G29:G39 G15:G25 G8:G11 P8:P11 J127 J130 K127:K13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DO28"/>
  <sheetViews>
    <sheetView topLeftCell="A4" workbookViewId="0">
      <selection activeCell="B7" sqref="B7"/>
    </sheetView>
  </sheetViews>
  <sheetFormatPr defaultRowHeight="15.75"/>
  <cols>
    <col min="1" max="1" width="26.25" customWidth="1"/>
    <col min="2" max="2" width="11.25" customWidth="1"/>
    <col min="3" max="3" width="12.375" customWidth="1"/>
    <col min="4" max="4" width="12.375" style="1378" customWidth="1"/>
    <col min="5" max="7" width="10.25" customWidth="1"/>
    <col min="8" max="10" width="11.75" customWidth="1"/>
    <col min="11" max="11" width="11.75" style="1378" customWidth="1"/>
    <col min="12" max="13" width="11.75" customWidth="1"/>
    <col min="14" max="14" width="11.75" style="1378" customWidth="1"/>
    <col min="15" max="15" width="11.75" customWidth="1"/>
    <col min="16" max="16" width="11.75" style="1378" customWidth="1"/>
    <col min="17" max="17" width="10.875" customWidth="1"/>
    <col min="18" max="18" width="13" bestFit="1" customWidth="1"/>
    <col min="19" max="19" width="10.25" customWidth="1"/>
    <col min="20" max="20" width="10.25" style="1378" customWidth="1"/>
    <col min="21" max="22" width="10.25" customWidth="1"/>
    <col min="23" max="23" width="12.25" bestFit="1" customWidth="1"/>
    <col min="25" max="25" width="9" customWidth="1"/>
    <col min="27" max="27" width="8.625" style="1378"/>
    <col min="30" max="30" width="8.625" style="1378"/>
    <col min="32" max="32" width="8.625" style="1378"/>
    <col min="35" max="35" width="11" customWidth="1"/>
    <col min="36" max="36" width="11" style="1378" customWidth="1"/>
    <col min="37" max="38" width="11" customWidth="1"/>
    <col min="39" max="39" width="11.125" customWidth="1"/>
    <col min="40" max="40" width="10.25" customWidth="1"/>
    <col min="43" max="43" width="8.625" style="1378"/>
    <col min="46" max="46" width="8.625" style="1378"/>
    <col min="48" max="48" width="8.625" style="1378"/>
    <col min="50" max="51" width="10.125" customWidth="1"/>
    <col min="52" max="52" width="10.125" style="1378" customWidth="1"/>
    <col min="59" max="59" width="8.625" style="1378"/>
    <col min="62" max="63" width="8.625" style="1378"/>
    <col min="66" max="66" width="10.75" customWidth="1"/>
    <col min="67" max="67" width="11.25" customWidth="1"/>
    <col min="68" max="68" width="11.25" style="1378" customWidth="1"/>
    <col min="74" max="76" width="8.625" style="1378"/>
    <col min="82" max="82" width="10.75" customWidth="1"/>
    <col min="83" max="83" width="11.375" bestFit="1" customWidth="1"/>
    <col min="84" max="84" width="11.375" style="1378" customWidth="1"/>
    <col min="85" max="87" width="11.375" customWidth="1"/>
    <col min="90" max="92" width="8.625" style="1378"/>
    <col min="98" max="98" width="9.5" customWidth="1"/>
    <col min="99" max="99" width="11.875" bestFit="1" customWidth="1"/>
    <col min="100" max="100" width="11.875" style="1378" customWidth="1"/>
    <col min="104" max="104" width="8.625"/>
    <col min="105" max="107" width="8.625" style="1378"/>
    <col min="114" max="114" width="9" customWidth="1"/>
    <col min="115" max="115" width="8.625" customWidth="1"/>
  </cols>
  <sheetData>
    <row r="2" spans="1:116">
      <c r="A2" s="372" t="s">
        <v>1416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  <c r="BJ2" s="372"/>
      <c r="BK2" s="372"/>
      <c r="BL2" s="372"/>
      <c r="BM2" s="372"/>
      <c r="BN2" s="372"/>
      <c r="BO2" s="372"/>
      <c r="BP2" s="372"/>
      <c r="BQ2" s="372"/>
      <c r="BR2" s="372"/>
      <c r="BS2" s="372"/>
      <c r="BT2" s="372"/>
      <c r="BU2" s="372"/>
      <c r="BV2" s="372"/>
      <c r="BW2" s="372"/>
      <c r="BX2" s="372"/>
      <c r="BY2" s="372"/>
      <c r="BZ2" s="372"/>
      <c r="CA2" s="372"/>
      <c r="CB2" s="372"/>
      <c r="CC2" s="372"/>
      <c r="CD2" s="372"/>
      <c r="CE2" s="372"/>
      <c r="CF2" s="372"/>
      <c r="CG2" s="372"/>
      <c r="CH2" s="372"/>
      <c r="CI2" s="372"/>
      <c r="CJ2" s="372"/>
      <c r="CK2" s="372"/>
      <c r="CL2" s="372"/>
      <c r="CM2" s="372"/>
      <c r="CN2" s="372"/>
      <c r="CO2" s="372"/>
      <c r="CP2" s="372"/>
      <c r="CQ2" s="372"/>
      <c r="CR2" s="372"/>
      <c r="CS2" s="372"/>
      <c r="CT2" s="372"/>
      <c r="CU2" s="372"/>
      <c r="CV2" s="372"/>
      <c r="CW2" s="372"/>
      <c r="CX2" s="372"/>
      <c r="CY2" s="372"/>
      <c r="CZ2" s="372"/>
      <c r="DA2" s="372"/>
      <c r="DB2" s="372"/>
      <c r="DC2" s="372"/>
      <c r="DD2" s="372"/>
      <c r="DE2" s="372"/>
      <c r="DF2" s="372"/>
      <c r="DG2" s="372"/>
      <c r="DH2" s="372"/>
      <c r="DI2" s="372"/>
      <c r="DJ2" s="372"/>
      <c r="DK2" s="372"/>
    </row>
    <row r="3" spans="1:116" ht="15.75" customHeight="1" thickBot="1">
      <c r="A3" s="122"/>
      <c r="B3" s="1563" t="s">
        <v>1131</v>
      </c>
      <c r="C3" s="1564"/>
      <c r="D3" s="1564"/>
      <c r="E3" s="1564"/>
      <c r="F3" s="1564"/>
      <c r="G3" s="1564"/>
      <c r="H3" s="1564"/>
      <c r="I3" s="1564"/>
      <c r="J3" s="1564"/>
      <c r="K3" s="1564"/>
      <c r="L3" s="1564"/>
      <c r="M3" s="1564"/>
      <c r="N3" s="1564"/>
      <c r="O3" s="1564"/>
      <c r="P3" s="1564"/>
      <c r="Q3" s="1564"/>
      <c r="R3" s="1564"/>
      <c r="S3" s="1564"/>
      <c r="T3" s="1564"/>
      <c r="U3" s="1564"/>
      <c r="V3" s="1564"/>
      <c r="W3" s="1564"/>
      <c r="X3" s="1564"/>
      <c r="Y3" s="1564"/>
      <c r="Z3" s="1564"/>
      <c r="AA3" s="1564"/>
      <c r="AB3" s="1564"/>
      <c r="AC3" s="1564"/>
      <c r="AD3" s="1564"/>
      <c r="AE3" s="1564"/>
      <c r="AF3" s="1564"/>
      <c r="AG3" s="1564"/>
      <c r="AH3" s="1564"/>
      <c r="AI3" s="1564"/>
      <c r="AJ3" s="1564"/>
      <c r="AK3" s="1564"/>
      <c r="AL3" s="1564"/>
      <c r="AM3" s="1564"/>
      <c r="AN3" s="1564"/>
      <c r="AO3" s="1564"/>
      <c r="AP3" s="1564"/>
      <c r="AQ3" s="1564"/>
      <c r="AR3" s="1564"/>
      <c r="AS3" s="1564"/>
      <c r="AT3" s="1564"/>
      <c r="AU3" s="1564"/>
      <c r="AV3" s="1564"/>
      <c r="AW3" s="1564"/>
      <c r="AX3" s="1564"/>
      <c r="AY3" s="1564"/>
      <c r="AZ3" s="1564"/>
      <c r="BA3" s="1564"/>
      <c r="BB3" s="1564"/>
      <c r="BC3" s="1564"/>
      <c r="BD3" s="1564"/>
      <c r="BE3" s="1564"/>
      <c r="BF3" s="1564"/>
      <c r="BG3" s="1564"/>
      <c r="BH3" s="1564"/>
      <c r="BI3" s="1564"/>
      <c r="BJ3" s="1564"/>
      <c r="BK3" s="1564"/>
      <c r="BL3" s="1564"/>
      <c r="BM3" s="1564"/>
      <c r="BN3" s="1564"/>
      <c r="BO3" s="1564"/>
      <c r="BP3" s="1564"/>
      <c r="BQ3" s="1564"/>
      <c r="BR3" s="1564"/>
      <c r="BS3" s="1564"/>
      <c r="BT3" s="1564"/>
      <c r="BU3" s="1564"/>
      <c r="BV3" s="1564"/>
      <c r="BW3" s="1564"/>
      <c r="BX3" s="1564"/>
      <c r="BY3" s="1564"/>
      <c r="BZ3" s="1564"/>
      <c r="CA3" s="1564"/>
      <c r="CB3" s="1564"/>
      <c r="CC3" s="1564"/>
      <c r="CD3" s="1564"/>
      <c r="CE3" s="1564"/>
      <c r="CF3" s="1564"/>
      <c r="CG3" s="1564"/>
      <c r="CH3" s="1564"/>
      <c r="CI3" s="1564"/>
      <c r="CJ3" s="1564"/>
      <c r="CK3" s="1564"/>
      <c r="CL3" s="1564"/>
      <c r="CM3" s="1564"/>
      <c r="CN3" s="1564"/>
      <c r="CO3" s="1564"/>
      <c r="CP3" s="1564"/>
      <c r="CQ3" s="1564"/>
      <c r="CR3" s="1564"/>
      <c r="CS3" s="1564"/>
      <c r="CT3" s="1564"/>
      <c r="CU3" s="1564"/>
      <c r="CV3" s="1564"/>
      <c r="CW3" s="1564"/>
      <c r="CX3" s="1564"/>
      <c r="CY3" s="1564"/>
      <c r="CZ3" s="1564"/>
      <c r="DA3" s="1564"/>
      <c r="DB3" s="1564"/>
      <c r="DC3" s="1564"/>
      <c r="DD3" s="1564"/>
      <c r="DE3" s="1564"/>
      <c r="DF3" s="1564"/>
      <c r="DG3" s="1564"/>
      <c r="DH3" s="1564"/>
      <c r="DI3" s="1564"/>
      <c r="DJ3" s="1564"/>
      <c r="DK3" s="1564"/>
    </row>
    <row r="4" spans="1:116">
      <c r="A4" s="559"/>
      <c r="B4" s="1561" t="str">
        <f>CONCATENATE("Feed Item 1 - ", INPUTS!B60)</f>
        <v>Feed Item 1 - Concentrate (commercial)</v>
      </c>
      <c r="C4" s="1562"/>
      <c r="D4" s="1562"/>
      <c r="E4" s="1562"/>
      <c r="F4" s="1562"/>
      <c r="G4" s="1562"/>
      <c r="H4" s="1562"/>
      <c r="I4" s="1562"/>
      <c r="J4" s="1562"/>
      <c r="K4" s="1562"/>
      <c r="L4" s="1562"/>
      <c r="M4" s="1562"/>
      <c r="N4" s="1562"/>
      <c r="O4" s="1562"/>
      <c r="P4" s="1562"/>
      <c r="Q4" s="1562"/>
      <c r="R4" s="1565" t="str">
        <f>CONCATENATE("Feed Item 2 - ", INPUTS!B61)</f>
        <v>Feed Item 2 - Pennisetum purpureum - forage</v>
      </c>
      <c r="S4" s="1566"/>
      <c r="T4" s="1566"/>
      <c r="U4" s="1566"/>
      <c r="V4" s="1566"/>
      <c r="W4" s="1566"/>
      <c r="X4" s="1566"/>
      <c r="Y4" s="1567"/>
      <c r="Z4" s="1567"/>
      <c r="AA4" s="1567"/>
      <c r="AB4" s="1567"/>
      <c r="AC4" s="1567"/>
      <c r="AD4" s="1567"/>
      <c r="AE4" s="1567"/>
      <c r="AF4" s="1567"/>
      <c r="AG4" s="1568"/>
      <c r="AH4" s="1565" t="str">
        <f>CONCATENATE("Feed Item 3 - ", INPUTS!B62)</f>
        <v>Feed Item 3 - Rhodes grass (Chloris gayana) - forage</v>
      </c>
      <c r="AI4" s="1566"/>
      <c r="AJ4" s="1566"/>
      <c r="AK4" s="1566"/>
      <c r="AL4" s="1566"/>
      <c r="AM4" s="1566"/>
      <c r="AN4" s="1566"/>
      <c r="AO4" s="1566"/>
      <c r="AP4" s="1567"/>
      <c r="AQ4" s="1567"/>
      <c r="AR4" s="1567"/>
      <c r="AS4" s="1567"/>
      <c r="AT4" s="1567"/>
      <c r="AU4" s="1567"/>
      <c r="AV4" s="1567"/>
      <c r="AW4" s="1568"/>
      <c r="AX4" s="1565" t="str">
        <f>CONCATENATE("Feed Item 4 - ", INPUTS!B63)</f>
        <v>Feed Item 4 - Guatemala (Tripsacum andersonii) - forage</v>
      </c>
      <c r="AY4" s="1566"/>
      <c r="AZ4" s="1566"/>
      <c r="BA4" s="1566"/>
      <c r="BB4" s="1566"/>
      <c r="BC4" s="1566"/>
      <c r="BD4" s="1566"/>
      <c r="BE4" s="1566"/>
      <c r="BF4" s="1567"/>
      <c r="BG4" s="1567"/>
      <c r="BH4" s="1567"/>
      <c r="BI4" s="1567"/>
      <c r="BJ4" s="1567"/>
      <c r="BK4" s="1567"/>
      <c r="BL4" s="1567"/>
      <c r="BM4" s="1568"/>
      <c r="BN4" s="1565" t="str">
        <f>CONCATENATE("Feed Item 5 - ", INPUTS!B64)</f>
        <v>Feed Item 5 - Maize (Zea mays) - stover</v>
      </c>
      <c r="BO4" s="1566"/>
      <c r="BP4" s="1566"/>
      <c r="BQ4" s="1566"/>
      <c r="BR4" s="1566"/>
      <c r="BS4" s="1566"/>
      <c r="BT4" s="1566"/>
      <c r="BU4" s="1566"/>
      <c r="BV4" s="1567"/>
      <c r="BW4" s="1567"/>
      <c r="BX4" s="1567"/>
      <c r="BY4" s="1567"/>
      <c r="BZ4" s="1567"/>
      <c r="CA4" s="1567"/>
      <c r="CB4" s="1567"/>
      <c r="CC4" s="1568"/>
      <c r="CD4" s="1569" t="str">
        <f>CONCATENATE("Feed Item 6 - ", INPUTS!B65)</f>
        <v xml:space="preserve">Feed Item 6 - Naturally occuring pasture - green fodder </v>
      </c>
      <c r="CE4" s="1570"/>
      <c r="CF4" s="1570"/>
      <c r="CG4" s="1570"/>
      <c r="CH4" s="1570"/>
      <c r="CI4" s="1570"/>
      <c r="CJ4" s="1570"/>
      <c r="CK4" s="1570"/>
      <c r="CL4" s="1571"/>
      <c r="CM4" s="1571"/>
      <c r="CN4" s="1571"/>
      <c r="CO4" s="1571"/>
      <c r="CP4" s="1571"/>
      <c r="CQ4" s="1571"/>
      <c r="CR4" s="1571"/>
      <c r="CS4" s="1572"/>
      <c r="CT4" s="1565" t="str">
        <f>CONCATENATE("Feed Item 7 - ", INPUTS!B66)</f>
        <v>Feed Item 7 - N/A</v>
      </c>
      <c r="CU4" s="1566"/>
      <c r="CV4" s="1566"/>
      <c r="CW4" s="1566"/>
      <c r="CX4" s="1566"/>
      <c r="CY4" s="1566"/>
      <c r="CZ4" s="1566"/>
      <c r="DA4" s="1566"/>
      <c r="DB4" s="1566"/>
      <c r="DC4" s="1566"/>
      <c r="DD4" s="1566"/>
      <c r="DE4" s="1567"/>
      <c r="DF4" s="1567"/>
      <c r="DG4" s="1567"/>
      <c r="DH4" s="1567"/>
      <c r="DI4" s="1568"/>
      <c r="DJ4" s="568"/>
      <c r="DK4" s="569"/>
      <c r="DL4" s="569"/>
    </row>
    <row r="5" spans="1:116" ht="62.25" customHeight="1">
      <c r="A5" s="560"/>
      <c r="B5" s="745" t="s">
        <v>1087</v>
      </c>
      <c r="C5" s="489" t="s">
        <v>1088</v>
      </c>
      <c r="D5" s="489" t="s">
        <v>1854</v>
      </c>
      <c r="E5" s="489" t="s">
        <v>1418</v>
      </c>
      <c r="F5" s="489" t="s">
        <v>1419</v>
      </c>
      <c r="G5" s="489" t="s">
        <v>1417</v>
      </c>
      <c r="H5" s="489" t="s">
        <v>1340</v>
      </c>
      <c r="I5" s="489" t="s">
        <v>1422</v>
      </c>
      <c r="J5" s="489" t="s">
        <v>1423</v>
      </c>
      <c r="K5" s="489" t="s">
        <v>1855</v>
      </c>
      <c r="L5" s="489" t="s">
        <v>1420</v>
      </c>
      <c r="M5" s="489" t="s">
        <v>1421</v>
      </c>
      <c r="N5" s="489" t="s">
        <v>1856</v>
      </c>
      <c r="O5" s="845" t="s">
        <v>1424</v>
      </c>
      <c r="P5" s="743" t="s">
        <v>1425</v>
      </c>
      <c r="Q5" s="743" t="s">
        <v>1857</v>
      </c>
      <c r="R5" s="745" t="s">
        <v>1087</v>
      </c>
      <c r="S5" s="489" t="s">
        <v>1088</v>
      </c>
      <c r="T5" s="489" t="s">
        <v>1854</v>
      </c>
      <c r="U5" s="489" t="s">
        <v>1418</v>
      </c>
      <c r="V5" s="489" t="s">
        <v>1419</v>
      </c>
      <c r="W5" s="489" t="s">
        <v>1417</v>
      </c>
      <c r="X5" s="489" t="s">
        <v>1340</v>
      </c>
      <c r="Y5" s="489" t="s">
        <v>1422</v>
      </c>
      <c r="Z5" s="489" t="s">
        <v>1423</v>
      </c>
      <c r="AA5" s="489" t="s">
        <v>1855</v>
      </c>
      <c r="AB5" s="489" t="s">
        <v>1420</v>
      </c>
      <c r="AC5" s="489" t="s">
        <v>1421</v>
      </c>
      <c r="AD5" s="489" t="s">
        <v>1856</v>
      </c>
      <c r="AE5" s="845" t="s">
        <v>1424</v>
      </c>
      <c r="AF5" s="743" t="s">
        <v>1425</v>
      </c>
      <c r="AG5" s="743" t="s">
        <v>1857</v>
      </c>
      <c r="AH5" s="562" t="s">
        <v>1087</v>
      </c>
      <c r="AI5" s="489" t="s">
        <v>1088</v>
      </c>
      <c r="AJ5" s="489" t="s">
        <v>1854</v>
      </c>
      <c r="AK5" s="489" t="s">
        <v>1418</v>
      </c>
      <c r="AL5" s="489" t="s">
        <v>1419</v>
      </c>
      <c r="AM5" s="489" t="s">
        <v>1417</v>
      </c>
      <c r="AN5" s="489" t="s">
        <v>1340</v>
      </c>
      <c r="AO5" s="489" t="s">
        <v>1422</v>
      </c>
      <c r="AP5" s="489" t="s">
        <v>1423</v>
      </c>
      <c r="AQ5" s="489" t="s">
        <v>1855</v>
      </c>
      <c r="AR5" s="489" t="s">
        <v>1420</v>
      </c>
      <c r="AS5" s="489" t="s">
        <v>1421</v>
      </c>
      <c r="AT5" s="489" t="s">
        <v>1856</v>
      </c>
      <c r="AU5" s="845" t="s">
        <v>1424</v>
      </c>
      <c r="AV5" s="743" t="s">
        <v>1425</v>
      </c>
      <c r="AW5" s="743" t="s">
        <v>1857</v>
      </c>
      <c r="AX5" s="562" t="s">
        <v>1087</v>
      </c>
      <c r="AY5" s="489" t="s">
        <v>1088</v>
      </c>
      <c r="AZ5" s="489" t="s">
        <v>1854</v>
      </c>
      <c r="BA5" s="489" t="s">
        <v>1418</v>
      </c>
      <c r="BB5" s="489" t="s">
        <v>1419</v>
      </c>
      <c r="BC5" s="489" t="s">
        <v>1417</v>
      </c>
      <c r="BD5" s="489" t="s">
        <v>1340</v>
      </c>
      <c r="BE5" s="489" t="s">
        <v>1422</v>
      </c>
      <c r="BF5" s="489" t="s">
        <v>1423</v>
      </c>
      <c r="BG5" s="489" t="s">
        <v>1855</v>
      </c>
      <c r="BH5" s="489" t="s">
        <v>1420</v>
      </c>
      <c r="BI5" s="489" t="s">
        <v>1421</v>
      </c>
      <c r="BJ5" s="489" t="s">
        <v>1856</v>
      </c>
      <c r="BK5" s="845" t="s">
        <v>1424</v>
      </c>
      <c r="BL5" s="743" t="s">
        <v>1425</v>
      </c>
      <c r="BM5" s="743" t="s">
        <v>1857</v>
      </c>
      <c r="BN5" s="562" t="s">
        <v>1087</v>
      </c>
      <c r="BO5" s="489" t="s">
        <v>1088</v>
      </c>
      <c r="BP5" s="489" t="s">
        <v>1854</v>
      </c>
      <c r="BQ5" s="489" t="s">
        <v>1418</v>
      </c>
      <c r="BR5" s="489" t="s">
        <v>1419</v>
      </c>
      <c r="BS5" s="489" t="s">
        <v>1417</v>
      </c>
      <c r="BT5" s="489" t="s">
        <v>1340</v>
      </c>
      <c r="BU5" s="489" t="s">
        <v>1422</v>
      </c>
      <c r="BV5" s="489" t="s">
        <v>1423</v>
      </c>
      <c r="BW5" s="489" t="s">
        <v>1855</v>
      </c>
      <c r="BX5" s="489" t="s">
        <v>1420</v>
      </c>
      <c r="BY5" s="489" t="s">
        <v>1421</v>
      </c>
      <c r="BZ5" s="489" t="s">
        <v>1856</v>
      </c>
      <c r="CA5" s="845" t="s">
        <v>1424</v>
      </c>
      <c r="CB5" s="743" t="s">
        <v>1425</v>
      </c>
      <c r="CC5" s="743" t="s">
        <v>1857</v>
      </c>
      <c r="CD5" s="562" t="s">
        <v>1087</v>
      </c>
      <c r="CE5" s="489" t="s">
        <v>1088</v>
      </c>
      <c r="CF5" s="489" t="s">
        <v>1854</v>
      </c>
      <c r="CG5" s="489" t="s">
        <v>1418</v>
      </c>
      <c r="CH5" s="489" t="s">
        <v>1419</v>
      </c>
      <c r="CI5" s="489" t="s">
        <v>1417</v>
      </c>
      <c r="CJ5" s="489" t="s">
        <v>1340</v>
      </c>
      <c r="CK5" s="489" t="s">
        <v>1422</v>
      </c>
      <c r="CL5" s="489" t="s">
        <v>1423</v>
      </c>
      <c r="CM5" s="489" t="s">
        <v>1855</v>
      </c>
      <c r="CN5" s="489" t="s">
        <v>1420</v>
      </c>
      <c r="CO5" s="489" t="s">
        <v>1421</v>
      </c>
      <c r="CP5" s="489" t="s">
        <v>1856</v>
      </c>
      <c r="CQ5" s="845" t="s">
        <v>1424</v>
      </c>
      <c r="CR5" s="743" t="s">
        <v>1425</v>
      </c>
      <c r="CS5" s="743" t="s">
        <v>1857</v>
      </c>
      <c r="CT5" s="745" t="s">
        <v>1087</v>
      </c>
      <c r="CU5" s="489" t="s">
        <v>1088</v>
      </c>
      <c r="CV5" s="489" t="s">
        <v>1088</v>
      </c>
      <c r="CW5" s="489" t="s">
        <v>1418</v>
      </c>
      <c r="CX5" s="489" t="s">
        <v>1419</v>
      </c>
      <c r="CY5" s="489" t="s">
        <v>1417</v>
      </c>
      <c r="CZ5" s="489" t="s">
        <v>1340</v>
      </c>
      <c r="DA5" s="489" t="s">
        <v>1422</v>
      </c>
      <c r="DB5" s="489" t="s">
        <v>1423</v>
      </c>
      <c r="DC5" s="489" t="s">
        <v>1855</v>
      </c>
      <c r="DD5" s="489" t="s">
        <v>1420</v>
      </c>
      <c r="DE5" s="489" t="s">
        <v>1421</v>
      </c>
      <c r="DF5" s="489" t="s">
        <v>1856</v>
      </c>
      <c r="DG5" s="845" t="s">
        <v>1424</v>
      </c>
      <c r="DH5" s="743" t="s">
        <v>1425</v>
      </c>
      <c r="DI5" s="743" t="s">
        <v>1857</v>
      </c>
      <c r="DJ5" s="563" t="s">
        <v>1308</v>
      </c>
      <c r="DK5" s="563" t="s">
        <v>1309</v>
      </c>
      <c r="DL5" s="563" t="s">
        <v>1858</v>
      </c>
    </row>
    <row r="6" spans="1:116">
      <c r="A6" s="560" t="str">
        <f>'Livestock parameters'!A2</f>
        <v>Cows (local)</v>
      </c>
      <c r="B6" s="742">
        <f>IFERROR(Feed!H143*Feed!E12,0)</f>
        <v>0</v>
      </c>
      <c r="C6" s="570">
        <f>IFERROR(Feed!I143*Feed!N12,0)</f>
        <v>0</v>
      </c>
      <c r="D6" s="570">
        <f>IFERROR(Feed!J143*Feed!W12,0)</f>
        <v>0</v>
      </c>
      <c r="E6" s="252">
        <f>VLOOKUP(INPUTS!$D$73,'Crop parameters'!$A$2:$Z$43,4,FALSE)*1000</f>
        <v>0</v>
      </c>
      <c r="F6" s="490">
        <f>INPUTS!$E$88</f>
        <v>1</v>
      </c>
      <c r="G6" s="252">
        <f>VLOOKUP(INPUTS!$D$73,'Crop parameters'!$A$2:$Z$43,8,FALSE)*1000</f>
        <v>0</v>
      </c>
      <c r="H6" s="490">
        <f>IF(INPUTS!$E$73="Residue",INPUTS!$F$88,0)</f>
        <v>0</v>
      </c>
      <c r="I6" s="490">
        <f>IFERROR(IF(INPUTS!$E$73="Main",B6/(E6*F6),B6/(G6*H6)),0)</f>
        <v>0</v>
      </c>
      <c r="J6" s="490">
        <f>IFERROR(IF(INPUTS!$E$73="Main",C6/(E6*F6),C6/(G6*H6)),0)</f>
        <v>0</v>
      </c>
      <c r="K6" s="490">
        <f>IFERROR(IF(INPUTS!$E$73="Main",D6/(E6*F6),D6/(G6*H6)),0)</f>
        <v>0</v>
      </c>
      <c r="L6" s="842">
        <f t="shared" ref="L6:L14" si="0">IF(H6&gt;0,I6*(E6*F6/(E6*F6+G6*H6)),0)</f>
        <v>0</v>
      </c>
      <c r="M6" s="858">
        <f t="shared" ref="M6:M14" si="1">IF(H6&gt;0,J6*(E6*F6/(E6*F6+G6*H6)),0)</f>
        <v>0</v>
      </c>
      <c r="N6" s="858">
        <f>IF(H6&gt;0,K6*(F6*G6/(E6*F6+G6*H6)),0)</f>
        <v>0</v>
      </c>
      <c r="O6" s="842">
        <f>IFERROR(IF(H6&gt;0,I6*(G6*H6/(E6*F6+G6*H6)),I6*(E6*F6+G6*H6)/(E6*F6+G6*H6)),0)</f>
        <v>0</v>
      </c>
      <c r="P6" s="842">
        <f>IFERROR(IF(H6&gt;0,J6*(G6*H6/(E6*F6+G6*H6)),J6*(E6*F6+G6*H6)/(E6*F6+G6*H6)),0)</f>
        <v>0</v>
      </c>
      <c r="Q6" s="842">
        <f>IFERROR(IF(H6&gt;0,K6*(G6*H6/(E6*F6+G6*H6)),K6*(E6*F6+G6*H6)/(E6*F6+G6*H6)),0)</f>
        <v>0</v>
      </c>
      <c r="R6" s="742">
        <f>IFERROR(Feed!H143*Feed!F12,0)</f>
        <v>0</v>
      </c>
      <c r="S6" s="570">
        <f>IFERROR(Feed!I143*Feed!O12,0)</f>
        <v>0</v>
      </c>
      <c r="T6" s="570">
        <f>IFERROR(Feed!J143*Feed!X12,0)</f>
        <v>0</v>
      </c>
      <c r="U6" s="252">
        <f>VLOOKUP(INPUTS!$D$74,'Crop parameters'!$A$2:$Z$43,4,FALSE)*1000</f>
        <v>22050</v>
      </c>
      <c r="V6" s="490">
        <f>INPUTS!$E$89</f>
        <v>1</v>
      </c>
      <c r="W6" s="252">
        <f>VLOOKUP(INPUTS!$D$74,'Crop parameters'!$A$2:$Z$43,8,FALSE)*1000</f>
        <v>0</v>
      </c>
      <c r="X6" s="490">
        <f>IF(INPUTS!$E$74="Residue",INPUTS!$F$89,0)</f>
        <v>0</v>
      </c>
      <c r="Y6" s="490">
        <f>IFERROR(IF(INPUTS!$E$74="Main",R6/(U6*V6),R6/(W6*X6)),0)</f>
        <v>0</v>
      </c>
      <c r="Z6" s="490">
        <f>IFERROR(IF(INPUTS!$E$74="Main",S6/(U6*V6),S6/(W6*X6)),0)</f>
        <v>0</v>
      </c>
      <c r="AA6" s="490">
        <f>IFERROR(IF(INPUTS!$E$74="Main",T6/(U6*V6),T6/(W6*X6)),0)</f>
        <v>0</v>
      </c>
      <c r="AB6" s="842">
        <f t="shared" ref="AB6:AB19" si="2">IF(X6&gt;0,Y6*(U6*V6/(U6*V6+W6*X6)),0)</f>
        <v>0</v>
      </c>
      <c r="AC6" s="858">
        <f t="shared" ref="AC6:AC19" si="3">IF(X6&gt;0,Z6*(U6*V6/(U6*V6+W6*X6)),0)</f>
        <v>0</v>
      </c>
      <c r="AD6" s="858">
        <f>IF(X6&gt;0,AA6*(V6*W6/(U6*V6+W6*X6)),0)</f>
        <v>0</v>
      </c>
      <c r="AE6" s="842">
        <f>IFERROR(IF(X6&gt;0,Y6*(W6*X6/(U6*V6+W6*X6)),Y6*(U6*V6+W6*X6)/(U6*V6+W6*X6)),0)</f>
        <v>0</v>
      </c>
      <c r="AF6" s="842">
        <f>IFERROR(IF(X6&gt;0,Z6*(W6*X6/(U6*V6+W6*X6)),Z6*(U6*V6+W6*X6)/(U6*V6+W6*X6)),0)</f>
        <v>0</v>
      </c>
      <c r="AG6" s="842">
        <f>IFERROR(IF(X6&gt;0,AA6*(W6*X6/(U6*V6+W6*X6)),AA6*(U6*V6+W6*X6)/(U6*V6+W6*X6)),0)</f>
        <v>0</v>
      </c>
      <c r="AH6" s="742">
        <f>IFERROR(Feed!H143*Feed!G12,0)</f>
        <v>0</v>
      </c>
      <c r="AI6" s="570">
        <f>IFERROR(Feed!I143*Feed!P12,0)</f>
        <v>0</v>
      </c>
      <c r="AJ6" s="570">
        <f>IFERROR(Feed!J143*Feed!Y12,0)</f>
        <v>0</v>
      </c>
      <c r="AK6" s="252">
        <f>VLOOKUP(INPUTS!$D$75,'Crop parameters'!$A$2:$Z$43,4,FALSE)*1000</f>
        <v>13500</v>
      </c>
      <c r="AL6" s="490">
        <f>INPUTS!$E$90</f>
        <v>1</v>
      </c>
      <c r="AM6" s="252">
        <f>VLOOKUP(INPUTS!$D$75,'Crop parameters'!$A$2:$Z$43,8,FALSE)*1000</f>
        <v>0</v>
      </c>
      <c r="AN6" s="490">
        <f>IF(INPUTS!$E$75="Residue",INPUTS!$F$90,0)</f>
        <v>0</v>
      </c>
      <c r="AO6" s="490">
        <f>IFERROR(IF(INPUTS!$E$75="Main",AH6/(AK6*AL6),AH6/(AM6*AN6)),0)</f>
        <v>0</v>
      </c>
      <c r="AP6" s="490">
        <f>IFERROR(IF(INPUTS!$E$75="Main",AI6/(AK6*AL6),AI6/(AM6*AN6)),0)</f>
        <v>0</v>
      </c>
      <c r="AQ6" s="490">
        <f>IFERROR(IF(INPUTS!$E$75="Main",AJ6/(AK6*AL6),AJ6/(AM6*AN6)),0)</f>
        <v>0</v>
      </c>
      <c r="AR6" s="842">
        <f t="shared" ref="AR6:AR19" si="4">IF(AN6&gt;0,AO6*(AK6*AL6/(AK6*AL6+AM6*AN6)),0)</f>
        <v>0</v>
      </c>
      <c r="AS6" s="858">
        <f t="shared" ref="AS6:AS19" si="5">IF(AN6&gt;0,AP6*(AK6*AL6/(AK6*AL6+AM6*AN6)),0)</f>
        <v>0</v>
      </c>
      <c r="AT6" s="858">
        <f>IF(AN6&gt;0,AQ6*(AL6*AM6/(AK6*AL6+AM6*AN6)),0)</f>
        <v>0</v>
      </c>
      <c r="AU6" s="842">
        <f>IFERROR(IF(AN6&gt;0,AO6*(AM6*AN6/(AK6*AL6+AM6*AN6)),AO6*(AK6*AL6+AM6*AN6)/(AK6*AL6+AM6*AN6)),0)</f>
        <v>0</v>
      </c>
      <c r="AV6" s="842">
        <f>IFERROR(IF(AN6&gt;0,AP6*(AM6*AN6/(AK6*AL6+AM6*AN6)),AP6*(AK6*AL6+AM6*AN6)/(AK6*AL6+AM6*AN6)),0)</f>
        <v>0</v>
      </c>
      <c r="AW6" s="842">
        <f>IFERROR(IF(AN6&gt;0,AQ6*(AM6*AN6/(AK6*AL6+AM6*AN6)),AQ6*(AK6*AL6+AM6*AN6)/(AK6*AL6+AM6*AN6)),0)</f>
        <v>0</v>
      </c>
      <c r="AX6" s="844">
        <f>IFERROR(Feed!H143*Feed!H12,0)</f>
        <v>0</v>
      </c>
      <c r="AY6" s="570">
        <f>IFERROR(Feed!I143*Feed!Q12,0)</f>
        <v>0</v>
      </c>
      <c r="AZ6" s="570">
        <f>IFERROR(Feed!J143*Feed!Z12,0)</f>
        <v>0</v>
      </c>
      <c r="BA6" s="252">
        <f>VLOOKUP(INPUTS!$D$76,'Crop parameters'!$A$2:$Z$43,4,FALSE)*1000</f>
        <v>19800</v>
      </c>
      <c r="BB6" s="490">
        <f>INPUTS!$E$91</f>
        <v>1</v>
      </c>
      <c r="BC6" s="252">
        <f>VLOOKUP(INPUTS!$D$76,'Crop parameters'!$A$2:$Z$43,8,FALSE)*1000</f>
        <v>0</v>
      </c>
      <c r="BD6" s="490">
        <f>IF(INPUTS!$E$76="Residue",INPUTS!$F$91,0)</f>
        <v>0</v>
      </c>
      <c r="BE6" s="490">
        <f>IFERROR(IF(INPUTS!$E$76="Main",AX6/(BA6*BB6),AX6/(BC6*BD6)),0)</f>
        <v>0</v>
      </c>
      <c r="BF6" s="490">
        <f>IFERROR(IF(INPUTS!$E$76="Main",AY6/(BA6*BB6),AY6/(BC6*BD6)),0)</f>
        <v>0</v>
      </c>
      <c r="BG6" s="490">
        <f>IFERROR(IF(INPUTS!$E$76="Main",AZ6/(BA6*BB6),AZ6/(BC6*BD6)),0)</f>
        <v>0</v>
      </c>
      <c r="BH6" s="842">
        <f t="shared" ref="BH6:BH19" si="6">IF(BD6&gt;0,BE6*(BA6*BB6/(BA6*BB6+BC6*BD6)),0)</f>
        <v>0</v>
      </c>
      <c r="BI6" s="858">
        <f t="shared" ref="BI6:BI19" si="7">IF(BD6&gt;0,BF6*(BA6*BB6/(BA6*BB6+BC6*BD6)),0)</f>
        <v>0</v>
      </c>
      <c r="BJ6" s="858">
        <f>IF(BD6&gt;0,BG6*(BB6*BC6/(BA6*BB6+BC6*BD6)),0)</f>
        <v>0</v>
      </c>
      <c r="BK6" s="842">
        <f>IFERROR(IF(BD6&gt;0,BE6*(BC6*BD6/(BA6*BB6+BC6*BD6)),BE6*(BA6*BB6+BC6*BD6)/(BA6*BB6+BC6*BD6)),0)</f>
        <v>0</v>
      </c>
      <c r="BL6" s="842">
        <f>IFERROR(IF(BD6&gt;0,BF6*(BC6*BD6/(BA6*BB6+BC6*BD6)),BF6*(BA6*BB6+BC6*BD6)/(BA6*BB6+BC6*BD6)),0)</f>
        <v>0</v>
      </c>
      <c r="BM6" s="842">
        <f>IFERROR(IF(BD6&gt;0,BG6*(BC6*BD6/(BA6*BB6+BC6*BD6)),BG6*(BA6*BB6+BC6*BD6)/(BA6*BB6+BC6*BD6)),0)</f>
        <v>0</v>
      </c>
      <c r="BN6" s="742">
        <f>IFERROR(Feed!H143*Feed!I12,0)</f>
        <v>0</v>
      </c>
      <c r="BO6" s="570">
        <f>IFERROR(Feed!I143*Feed!R12,0)</f>
        <v>0</v>
      </c>
      <c r="BP6" s="570">
        <f>IFERROR(Feed!J143*Feed!AA12,0)</f>
        <v>0</v>
      </c>
      <c r="BQ6" s="252">
        <f>VLOOKUP(INPUTS!$D$77,'Crop parameters'!$A$2:$Z$43,4,FALSE)*1000</f>
        <v>1299</v>
      </c>
      <c r="BR6" s="490">
        <f>INPUTS!$E$92</f>
        <v>0.4</v>
      </c>
      <c r="BS6" s="252">
        <f>VLOOKUP(INPUTS!$D$77,'Crop parameters'!$A$2:$Z$43,8,FALSE)*1000</f>
        <v>3582.4421538461534</v>
      </c>
      <c r="BT6" s="490">
        <f>IF(INPUTS!$E$77="Residue",INPUTS!$F$92,0)</f>
        <v>0.6</v>
      </c>
      <c r="BU6" s="490">
        <f>IFERROR(IF(INPUTS!$E$77="Main",BN6/(BQ6*BR6),BN6/(BS6*BT6)),0)</f>
        <v>0</v>
      </c>
      <c r="BV6" s="490">
        <f>IFERROR(IF(INPUTS!$E$77="Main",BO6/(BQ6*BR6),BO6/(BS6*BT6)),0)</f>
        <v>0</v>
      </c>
      <c r="BW6" s="490">
        <f>IFERROR(IF(INPUTS!$E$77="Main",BP6/(BQ6*BR6),BP6/(BS6*BT6)),0)</f>
        <v>0</v>
      </c>
      <c r="BX6" s="842">
        <f t="shared" ref="BX6:BX19" si="8">IF(BT6&gt;0,BU6*(BQ6*BR6/(BQ6*BR6+BS6*BT6)),0)</f>
        <v>0</v>
      </c>
      <c r="BY6" s="858">
        <f t="shared" ref="BY6:BY19" si="9">IF(BT6&gt;0,BV6*(BQ6*BR6/(BQ6*BR6+BS6*BT6)),0)</f>
        <v>0</v>
      </c>
      <c r="BZ6" s="858">
        <f>IF(BT6&gt;0,BW6*(BR6*BS6/(BQ6*BR6+BS6*BT6)),0)</f>
        <v>0</v>
      </c>
      <c r="CA6" s="842">
        <f>IFERROR(IF(BT6&gt;0,BU6*(BS6*BT6/(BQ6*BR6+BS6*BT6)),BU6*(BQ6*BR6+BS6*BT6)/(BQ6*BR6+BS6*BT6)),0)</f>
        <v>0</v>
      </c>
      <c r="CB6" s="842">
        <f>IFERROR(IF(BT6&gt;0,BV6*(BS6*BT6/(BQ6*BR6+BS6*BT6)),BV6*(BQ6*BR6+BS6*BT6)/(BQ6*BR6+BS6*BT6)),0)</f>
        <v>0</v>
      </c>
      <c r="CC6" s="842">
        <f>IFERROR(IF(BT6&gt;0,BW6*(BS6*BT6/(BQ6*BR6+BS6*BT6)),BW6*(BQ6*BR6+BS6*BT6)/(BQ6*BR6+BS6*BT6)),0)</f>
        <v>0</v>
      </c>
      <c r="CD6" s="742">
        <f>IFERROR(Feed!H143*Feed!J12,0)</f>
        <v>0</v>
      </c>
      <c r="CE6" s="570">
        <f>IFERROR(Feed!I143*Feed!S12,0)</f>
        <v>0</v>
      </c>
      <c r="CF6" s="570">
        <f>IFERROR(Feed!J143*Feed!AB12,0)</f>
        <v>0</v>
      </c>
      <c r="CG6" s="252">
        <f>VLOOKUP(INPUTS!$D$78,'Crop parameters'!$A$2:$Z$43,4,FALSE)*1000</f>
        <v>13049.999999999998</v>
      </c>
      <c r="CH6" s="490">
        <f>INPUTS!$E$93</f>
        <v>1</v>
      </c>
      <c r="CI6" s="252">
        <f>VLOOKUP(INPUTS!$D$78,'Crop parameters'!$A$2:$Z$43,8,FALSE)*1000</f>
        <v>0</v>
      </c>
      <c r="CJ6" s="490">
        <f>IF(INPUTS!$E$78="Residue",INPUTS!$F$93,0)</f>
        <v>0</v>
      </c>
      <c r="CK6" s="490">
        <f>IFERROR(IF(INPUTS!$E$78="Main",CD6/(CG6*CH6),CD6/(CI6*CJ6)),0)</f>
        <v>0</v>
      </c>
      <c r="CL6" s="490">
        <f>IFERROR(IF(INPUTS!$E$78="Main",CE6/(CG6*CH6),CE6/(CI6*CJ6)),0)</f>
        <v>0</v>
      </c>
      <c r="CM6" s="490">
        <f>IFERROR(IF(INPUTS!$E$78="Main",CF6/(CG6*CH6),CF6/(CI6*CJ6)),0)</f>
        <v>0</v>
      </c>
      <c r="CN6" s="842">
        <f t="shared" ref="CN6:CN19" si="10">IF(CJ6&gt;0,CK6*(CG6*CH6/(CG6*CH6+CI6*CJ6)),0)</f>
        <v>0</v>
      </c>
      <c r="CO6" s="858">
        <f t="shared" ref="CO6:CO19" si="11">IF(CJ6&gt;0,CL6*(CG6*CH6/(CG6*CH6+CI6*CJ6)),0)</f>
        <v>0</v>
      </c>
      <c r="CP6" s="858">
        <f>IF(CJ6&gt;0,CM6*(CH6*CI6/(CG6*CH6+CI6*CJ6)),0)</f>
        <v>0</v>
      </c>
      <c r="CQ6" s="842">
        <f>IFERROR(IF(CJ6&gt;0,CK6*(CI6*CJ6/(CG6*CH6+CI6*CJ6)),CK6*(CG6*CH6+CI6*CJ6)/(CG6*CH6+CI6*CJ6)),0)</f>
        <v>0</v>
      </c>
      <c r="CR6" s="842">
        <f>IFERROR(IF(CJ6&gt;0,CL6*(CI6*CJ6/(CG6*CH6+CI6*CJ6)),CL6*(CG6*CH6+CI6*CJ6)/(CG6*CH6+CI6*CJ6)),0)</f>
        <v>0</v>
      </c>
      <c r="CS6" s="842">
        <f>IFERROR(IF(CJ6&gt;0,CM6*(CI6*CJ6/(CG6*CH6+CI6*CJ6)),CM6*(CG6*CH6+CI6*CJ6)/(CG6*CH6+CI6*CJ6)),0)</f>
        <v>0</v>
      </c>
      <c r="CT6" s="742">
        <f>IFERROR(Feed!H143*Feed!K12,0)</f>
        <v>0</v>
      </c>
      <c r="CU6" s="570">
        <f>IFERROR(Feed!I143*Feed!T12,0)</f>
        <v>0</v>
      </c>
      <c r="CV6" s="570">
        <f>IFERROR(Feed!J143*Feed!AC12,0)</f>
        <v>0</v>
      </c>
      <c r="CW6" s="252">
        <f>VLOOKUP(INPUTS!$D$79,'Crop parameters'!$A$2:$Z$43,4,FALSE)*1000</f>
        <v>0</v>
      </c>
      <c r="CX6" s="490">
        <f>INPUTS!$E$94</f>
        <v>1</v>
      </c>
      <c r="CY6" s="252">
        <f>VLOOKUP(INPUTS!$D$79,'Crop parameters'!$A$2:$Z$43,8,FALSE)*1000</f>
        <v>0</v>
      </c>
      <c r="CZ6" s="490">
        <f>IF(INPUTS!$E$79="Residue",INPUTS!$F$94,0)</f>
        <v>0</v>
      </c>
      <c r="DA6" s="490">
        <f>IFERROR(IF(INPUTS!$E$79="Main",CT6/(CW6*CX6),CT6/(CY6*CZ6)),0)</f>
        <v>0</v>
      </c>
      <c r="DB6" s="490">
        <f>IFERROR(IF(INPUTS!$E$79="Main",CU6/(CW6*CX6),CU6/(CY6*CZ6)),0)</f>
        <v>0</v>
      </c>
      <c r="DC6" s="490">
        <f>IFERROR(IF(INPUTS!$E$79="Main",CV6/(CW6*CX6),CV6/(CY6*CZ6)),0)</f>
        <v>0</v>
      </c>
      <c r="DD6" s="842">
        <f t="shared" ref="DD6:DD19" si="12">IF(CZ6&gt;0,DA6*(CW6*CX6/(CW6*CX6+CY6*CZ6)),0)</f>
        <v>0</v>
      </c>
      <c r="DE6" s="858">
        <f t="shared" ref="DE6:DE19" si="13">IF(CZ6&gt;0,DB6*(CW6*CX6/(CW6*CX6+CY6*CZ6)),0)</f>
        <v>0</v>
      </c>
      <c r="DF6" s="858">
        <f>IF(CZ6&gt;0,DC6*(CX6*CY6/(CW6*CX6+CY6*CZ6)),0)</f>
        <v>0</v>
      </c>
      <c r="DG6" s="842">
        <f>IFERROR(IF(CZ6&gt;0,DA6*(CY6*CZ6/(CW6*CX6+CY6*CZ6)),DA6*(CW6*CX6+CY6*CZ6)/(CW6*CX6+CY6*CZ6)),0)</f>
        <v>0</v>
      </c>
      <c r="DH6" s="842">
        <f>IFERROR(IF(CZ6&gt;0,DB6*(CY6*CZ6/(CW6*CX6+CY6*CZ6)),DB6*(CW6*CX6+CY6*CZ6)/(CW6*CX6+CY6*CZ6)),0)</f>
        <v>0</v>
      </c>
      <c r="DI6" s="490">
        <f>IFERROR(IF(CZ6&gt;0,DC6*(CY6*CZ6/(CW6*CX6+CY6*CZ6)),DC6*(CW6*CX6+CY6*CZ6)/(CW6*CX6+CY6*CZ6)),0)</f>
        <v>0</v>
      </c>
      <c r="DJ6" s="744">
        <f>O6+AE6+AU6+BK6+CA6+CQ6+DG6</f>
        <v>0</v>
      </c>
      <c r="DK6" s="744">
        <f t="shared" ref="DK6:DL6" si="14">P6+AF6+AV6+BL6+CB6+CR6+DH6</f>
        <v>0</v>
      </c>
      <c r="DL6" s="744">
        <f t="shared" si="14"/>
        <v>0</v>
      </c>
    </row>
    <row r="7" spans="1:116">
      <c r="A7" s="560" t="str">
        <f>'Livestock parameters'!A3</f>
        <v>Cows (improved)</v>
      </c>
      <c r="B7" s="742">
        <f>IFERROR(Feed!H144*Feed!E19,0)</f>
        <v>424.07989704399046</v>
      </c>
      <c r="C7" s="570">
        <f>IFERROR(Feed!I144*Feed!N19,0)</f>
        <v>513.07737236633079</v>
      </c>
      <c r="D7" s="570">
        <f>IFERROR(Feed!J144*Feed!W19,0)</f>
        <v>0</v>
      </c>
      <c r="E7" s="252">
        <f>VLOOKUP(INPUTS!$D$73,'Crop parameters'!$A$2:$Z$43,4,FALSE)*1000</f>
        <v>0</v>
      </c>
      <c r="F7" s="490">
        <f>INPUTS!$E$88</f>
        <v>1</v>
      </c>
      <c r="G7" s="252">
        <f>VLOOKUP(INPUTS!$D$73,'Crop parameters'!$A$2:$Z$43,8,FALSE)*1000</f>
        <v>0</v>
      </c>
      <c r="H7" s="490">
        <f>IF(INPUTS!$E$73="Residue",INPUTS!$F$88,0)</f>
        <v>0</v>
      </c>
      <c r="I7" s="490">
        <f>IFERROR(IF(INPUTS!$E$73="Main",B7/(E7*F7),B7/(G7*H7)),0)</f>
        <v>0</v>
      </c>
      <c r="J7" s="490">
        <f>IFERROR(IF(INPUTS!$E$73="Main",C7/(E7*F7),C7/(G7*H7)),0)</f>
        <v>0</v>
      </c>
      <c r="K7" s="490">
        <f>IFERROR(IF(INPUTS!$E$73="Main",D7/(E7*F7),D7/(G7*H7)),0)</f>
        <v>0</v>
      </c>
      <c r="L7" s="842">
        <f t="shared" si="0"/>
        <v>0</v>
      </c>
      <c r="M7" s="858">
        <f t="shared" si="1"/>
        <v>0</v>
      </c>
      <c r="N7" s="858">
        <f t="shared" ref="N7:N19" si="15">IF(H7&gt;0,K7*(F7*G7/(E7*F7+G7*H7)),0)</f>
        <v>0</v>
      </c>
      <c r="O7" s="842">
        <f t="shared" ref="O7:O14" si="16">IFERROR(IF(H7&gt;0,I7*(G7*H7/(E7*F7+G7*H7)),I7*(E7*F7+G7*H7)/(E7*F7+G7*H7)),0)</f>
        <v>0</v>
      </c>
      <c r="P7" s="842">
        <f t="shared" ref="P7:P19" si="17">IFERROR(IF(H7&gt;0,J7*(G7*H7/(E7*F7+G7*H7)),J7*(E7*F7+G7*H7)/(E7*F7+G7*H7)),0)</f>
        <v>0</v>
      </c>
      <c r="Q7" s="842">
        <f t="shared" ref="Q7:Q19" si="18">IFERROR(IF(H7&gt;0,K7*(G7*H7/(E7*F7+G7*H7)),K7*(E7*F7+G7*H7)/(E7*F7+G7*H7)),0)</f>
        <v>0</v>
      </c>
      <c r="R7" s="742">
        <f>IFERROR(Feed!H144*Feed!F19,0)</f>
        <v>212.03994852199523</v>
      </c>
      <c r="S7" s="570">
        <f>IFERROR(Feed!I144*Feed!O19,0)</f>
        <v>85.512895394388451</v>
      </c>
      <c r="T7" s="570">
        <f>IFERROR(Feed!Z144*Feed!X19,0)</f>
        <v>0</v>
      </c>
      <c r="U7" s="252">
        <f>VLOOKUP(INPUTS!$D$74,'Crop parameters'!$A$2:$Z$43,4,FALSE)*1000</f>
        <v>22050</v>
      </c>
      <c r="V7" s="490">
        <f>INPUTS!$E$89</f>
        <v>1</v>
      </c>
      <c r="W7" s="252">
        <f>VLOOKUP(INPUTS!$D$74,'Crop parameters'!$A$2:$Z$43,8,FALSE)*1000</f>
        <v>0</v>
      </c>
      <c r="X7" s="490">
        <f>IF(INPUTS!$E$74="Residue",INPUTS!$F$89,0)</f>
        <v>0</v>
      </c>
      <c r="Y7" s="490">
        <f>IFERROR(IF(INPUTS!$E$74="Main",R7/(U7*V7),R7/(W7*X7)),0)</f>
        <v>9.616324196008854E-3</v>
      </c>
      <c r="Z7" s="490">
        <f>IFERROR(IF(INPUTS!$E$74="Main",S7/(U7*V7),S7/(W7*X7)),0)</f>
        <v>3.8781358455504968E-3</v>
      </c>
      <c r="AA7" s="490">
        <f>IFERROR(IF(INPUTS!$E$74="Main",T7/(U7*V7),T7/(W7*X7)),0)</f>
        <v>0</v>
      </c>
      <c r="AB7" s="842">
        <f t="shared" si="2"/>
        <v>0</v>
      </c>
      <c r="AC7" s="858">
        <f t="shared" si="3"/>
        <v>0</v>
      </c>
      <c r="AD7" s="858">
        <f t="shared" ref="AD7:AD19" si="19">IF(X7&gt;0,AA7*(V7*W7/(U7*V7+W7*X7)),0)</f>
        <v>0</v>
      </c>
      <c r="AE7" s="842">
        <f t="shared" ref="AE7:AE19" si="20">IFERROR(IF(X7&gt;0,Y7*(W7*X7/(U7*V7+W7*X7)),Y7*(U7*V7+W7*X7)/(U7*V7+W7*X7)),0)</f>
        <v>9.616324196008854E-3</v>
      </c>
      <c r="AF7" s="842">
        <f t="shared" ref="AF7:AF19" si="21">IFERROR(IF(X7&gt;0,Z7*(W7*X7/(U7*V7+W7*X7)),Z7*(U7*V7+W7*X7)/(U7*V7+W7*X7)),0)</f>
        <v>3.8781358455504968E-3</v>
      </c>
      <c r="AG7" s="842">
        <f t="shared" ref="AG7:AG19" si="22">IFERROR(IF(X7&gt;0,AA7*(W7*X7/(U7*V7+W7*X7)),AA7*(U7*V7+W7*X7)/(U7*V7+W7*X7)),0)</f>
        <v>0</v>
      </c>
      <c r="AH7" s="742">
        <f>IFERROR(Feed!H144*Feed!G19,0)</f>
        <v>868.23290921472972</v>
      </c>
      <c r="AI7" s="570">
        <f>IFERROR(Feed!I144*Feed!P19,0)</f>
        <v>337.13459009237647</v>
      </c>
      <c r="AJ7" s="570">
        <f>IFERROR(Feed!J144*Feed!Y19,0)</f>
        <v>0</v>
      </c>
      <c r="AK7" s="252">
        <f>VLOOKUP(INPUTS!$D$75,'Crop parameters'!$A$2:$Z$43,4,FALSE)*1000</f>
        <v>13500</v>
      </c>
      <c r="AL7" s="490">
        <f>INPUTS!$E$90</f>
        <v>1</v>
      </c>
      <c r="AM7" s="252">
        <f>VLOOKUP(INPUTS!$D$75,'Crop parameters'!$A$2:$Z$43,8,FALSE)*1000</f>
        <v>0</v>
      </c>
      <c r="AN7" s="490">
        <f>IF(INPUTS!$E$75="Residue",INPUTS!$F$90,0)</f>
        <v>0</v>
      </c>
      <c r="AO7" s="490">
        <f>IFERROR(IF(INPUTS!$E$75="Main",AH7/(AK7*AL7),AH7/(AM7*AN7)),0)</f>
        <v>6.4313548830720726E-2</v>
      </c>
      <c r="AP7" s="490">
        <f>IFERROR(IF(INPUTS!$E$75="Main",AI7/(AK7*AL7),AI7/(AM7*AN7)),0)</f>
        <v>2.4972932599435293E-2</v>
      </c>
      <c r="AQ7" s="490">
        <f>IFERROR(IF(INPUTS!$E$75="Main",AJ7/(AK7*AL7),AJ7/(AM7*AN7)),0)</f>
        <v>0</v>
      </c>
      <c r="AR7" s="842">
        <f t="shared" si="4"/>
        <v>0</v>
      </c>
      <c r="AS7" s="858">
        <f t="shared" si="5"/>
        <v>0</v>
      </c>
      <c r="AT7" s="858">
        <f t="shared" ref="AT7:AT19" si="23">IF(AN7&gt;0,AQ7*(AL7*AM7/(AK7*AL7+AM7*AN7)),0)</f>
        <v>0</v>
      </c>
      <c r="AU7" s="842">
        <f t="shared" ref="AU7:AU19" si="24">IFERROR(IF(AN7&gt;0,AO7*(AM7*AN7/(AK7*AL7+AM7*AN7)),AO7*(AK7*AL7+AM7*AN7)/(AK7*AL7+AM7*AN7)),0)</f>
        <v>6.4313548830720726E-2</v>
      </c>
      <c r="AV7" s="842">
        <f t="shared" ref="AV7:AV19" si="25">IFERROR(IF(AN7&gt;0,AP7*(AM7*AN7/(AK7*AL7+AM7*AN7)),AP7*(AK7*AL7+AM7*AN7)/(AK7*AL7+AM7*AN7)),0)</f>
        <v>2.4972932599435293E-2</v>
      </c>
      <c r="AW7" s="842">
        <f t="shared" ref="AW7:AW19" si="26">IFERROR(IF(AN7&gt;0,AQ7*(AM7*AN7/(AK7*AL7+AM7*AN7)),AQ7*(AK7*AL7+AM7*AN7)/(AK7*AL7+AM7*AN7)),0)</f>
        <v>0</v>
      </c>
      <c r="AX7" s="844">
        <f>IFERROR(Feed!H144*Feed!H19,0)</f>
        <v>103.66397483297546</v>
      </c>
      <c r="AY7" s="570">
        <f>IFERROR(Feed!I144*Feed!Q19,0)</f>
        <v>470.3209246691365</v>
      </c>
      <c r="AZ7" s="570">
        <f>IFERROR(Feed!J144*Feed!Z19,0)</f>
        <v>0</v>
      </c>
      <c r="BA7" s="252">
        <f>VLOOKUP(INPUTS!$D$76,'Crop parameters'!$A$2:$Z$43,4,FALSE)*1000</f>
        <v>19800</v>
      </c>
      <c r="BB7" s="490">
        <f>INPUTS!$E$91</f>
        <v>1</v>
      </c>
      <c r="BC7" s="252">
        <f>VLOOKUP(INPUTS!$D$76,'Crop parameters'!$A$2:$Z$43,8,FALSE)*1000</f>
        <v>0</v>
      </c>
      <c r="BD7" s="490">
        <f>IF(INPUTS!$E$76="Residue",INPUTS!$F$91,0)</f>
        <v>0</v>
      </c>
      <c r="BE7" s="490">
        <f>IFERROR(IF(INPUTS!$E$76="Main",AX7/(BA7*BB7),AX7/(BC7*BD7)),0)</f>
        <v>5.2355542844937097E-3</v>
      </c>
      <c r="BF7" s="490">
        <f>IFERROR(IF(INPUTS!$E$76="Main",AY7/(BA7*BB7),AY7/(BC7*BD7)),0)</f>
        <v>2.3753582053996792E-2</v>
      </c>
      <c r="BG7" s="490">
        <f>IFERROR(IF(INPUTS!$E$76="Main",AZ7/(BA7*BB7),AZ7/(BC7*BD7)),0)</f>
        <v>0</v>
      </c>
      <c r="BH7" s="842">
        <f t="shared" si="6"/>
        <v>0</v>
      </c>
      <c r="BI7" s="858">
        <f t="shared" si="7"/>
        <v>0</v>
      </c>
      <c r="BJ7" s="858">
        <f t="shared" ref="BJ7:BJ19" si="27">IF(BD7&gt;0,BG7*(BB7*BC7/(BA7*BB7+BC7*BD7)),0)</f>
        <v>0</v>
      </c>
      <c r="BK7" s="842">
        <f t="shared" ref="BK7:BK19" si="28">IFERROR(IF(BD7&gt;0,BE7*(BC7*BD7/(BA7*BB7+BC7*BD7)),BE7*(BA7*BB7+BC7*BD7)/(BA7*BB7+BC7*BD7)),0)</f>
        <v>5.2355542844937097E-3</v>
      </c>
      <c r="BL7" s="842">
        <f t="shared" ref="BL7:BL19" si="29">IFERROR(IF(BD7&gt;0,BF7*(BC7*BD7/(BA7*BB7+BC7*BD7)),BF7*(BA7*BB7+BC7*BD7)/(BA7*BB7+BC7*BD7)),0)</f>
        <v>2.3753582053996792E-2</v>
      </c>
      <c r="BM7" s="842">
        <f t="shared" ref="BM7:BM19" si="30">IFERROR(IF(BD7&gt;0,BG7*(BC7*BD7/(BA7*BB7+BC7*BD7)),BG7*(BA7*BB7+BC7*BD7)/(BA7*BB7+BC7*BD7)),0)</f>
        <v>0</v>
      </c>
      <c r="BN7" s="742">
        <f>IFERROR(Feed!H144*Feed!I19,0)</f>
        <v>163.97756019034298</v>
      </c>
      <c r="BO7" s="570">
        <f>IFERROR(Feed!I144*Feed!R19,0)</f>
        <v>929.95273741397432</v>
      </c>
      <c r="BP7" s="570">
        <f>IFERROR(Feed!J144*Feed!AA19,0)</f>
        <v>0</v>
      </c>
      <c r="BQ7" s="252">
        <f>VLOOKUP(INPUTS!$D$77,'Crop parameters'!$A$2:$Z$43,4,FALSE)*1000</f>
        <v>1299</v>
      </c>
      <c r="BR7" s="490">
        <f>INPUTS!$E$92</f>
        <v>0.4</v>
      </c>
      <c r="BS7" s="252">
        <f>VLOOKUP(INPUTS!$D$77,'Crop parameters'!$A$2:$Z$43,8,FALSE)*1000</f>
        <v>3582.4421538461534</v>
      </c>
      <c r="BT7" s="490">
        <f>IF(INPUTS!$E$77="Residue",INPUTS!$F$92,0)</f>
        <v>0.6</v>
      </c>
      <c r="BU7" s="490">
        <f>IFERROR(IF(INPUTS!$E$77="Main",BN7/(BQ7*BR7),BN7/(BS7*BT7)),0)</f>
        <v>7.628760546968158E-2</v>
      </c>
      <c r="BV7" s="490">
        <f>IFERROR(IF(INPUTS!$E$77="Main",BO7/(BQ7*BR7),BO7/(BS7*BT7)),0)</f>
        <v>0.43264375598061683</v>
      </c>
      <c r="BW7" s="490">
        <f>IFERROR(IF(INPUTS!$E$77="Main",BP7/(BQ7*BR7),BP7/(BS7*BT7)),0)</f>
        <v>0</v>
      </c>
      <c r="BX7" s="842">
        <f t="shared" si="8"/>
        <v>1.4851281426605481E-2</v>
      </c>
      <c r="BY7" s="858">
        <f t="shared" si="9"/>
        <v>8.4224876871844323E-2</v>
      </c>
      <c r="BZ7" s="858">
        <f t="shared" ref="BZ7:BZ19" si="31">IF(BT7&gt;0,BW7*(BR7*BS7/(BQ7*BR7+BS7*BT7)),0)</f>
        <v>0</v>
      </c>
      <c r="CA7" s="842">
        <f t="shared" ref="CA7:CA19" si="32">IFERROR(IF(BT7&gt;0,BU7*(BS7*BT7/(BQ7*BR7+BS7*BT7)),BU7*(BQ7*BR7+BS7*BT7)/(BQ7*BR7+BS7*BT7)),0)</f>
        <v>6.1436324043076099E-2</v>
      </c>
      <c r="CB7" s="842">
        <f t="shared" ref="CB7:CB19" si="33">IFERROR(IF(BT7&gt;0,BV7*(BS7*BT7/(BQ7*BR7+BS7*BT7)),BV7*(BQ7*BR7+BS7*BT7)/(BQ7*BR7+BS7*BT7)),0)</f>
        <v>0.34841887910877251</v>
      </c>
      <c r="CC7" s="842">
        <f t="shared" ref="CC7:CC19" si="34">IFERROR(IF(BT7&gt;0,BW7*(BS7*BT7/(BQ7*BR7+BS7*BT7)),BW7*(BQ7*BR7+BS7*BT7)/(BQ7*BR7+BS7*BT7)),0)</f>
        <v>0</v>
      </c>
      <c r="CD7" s="742">
        <f>IFERROR(Feed!H144*Feed!J19,0)</f>
        <v>2035.5835058111541</v>
      </c>
      <c r="CE7" s="570">
        <f>IFERROR(Feed!I144*Feed!S19,0)</f>
        <v>855.12895394388465</v>
      </c>
      <c r="CF7" s="570">
        <f>IFERROR(Feed!J144*Feed!AB19,0)</f>
        <v>0</v>
      </c>
      <c r="CG7" s="252">
        <f>VLOOKUP(INPUTS!$D$78,'Crop parameters'!$A$2:$Z$43,4,FALSE)*1000</f>
        <v>13049.999999999998</v>
      </c>
      <c r="CH7" s="490">
        <f>INPUTS!$E$93</f>
        <v>1</v>
      </c>
      <c r="CI7" s="252">
        <f>VLOOKUP(INPUTS!$D$78,'Crop parameters'!$A$2:$Z$43,8,FALSE)*1000</f>
        <v>0</v>
      </c>
      <c r="CJ7" s="490">
        <f>IF(INPUTS!$E$78="Residue",INPUTS!$F$93,0)</f>
        <v>0</v>
      </c>
      <c r="CK7" s="490">
        <f>IFERROR(IF(INPUTS!$E$78="Main",CD7/(CG7*CH7),CD7/(CI7*CJ7)),0)</f>
        <v>0.15598341040698502</v>
      </c>
      <c r="CL7" s="490">
        <f>IFERROR(IF(INPUTS!$E$78="Main",CE7/(CG7*CH7),CE7/(CI7*CJ7)),0)</f>
        <v>6.5527122907577381E-2</v>
      </c>
      <c r="CM7" s="490">
        <f>IFERROR(IF(INPUTS!$E$78="Main",CF7/(CG7*CH7),CF7/(CI7*CJ7)),0)</f>
        <v>0</v>
      </c>
      <c r="CN7" s="842">
        <f t="shared" si="10"/>
        <v>0</v>
      </c>
      <c r="CO7" s="858">
        <f t="shared" si="11"/>
        <v>0</v>
      </c>
      <c r="CP7" s="858">
        <f t="shared" ref="CP7:CP19" si="35">IF(CJ7&gt;0,CM7*(CH7*CI7/(CG7*CH7+CI7*CJ7)),0)</f>
        <v>0</v>
      </c>
      <c r="CQ7" s="842">
        <f t="shared" ref="CQ7:CQ19" si="36">IFERROR(IF(CJ7&gt;0,CK7*(CI7*CJ7/(CG7*CH7+CI7*CJ7)),CK7*(CG7*CH7+CI7*CJ7)/(CG7*CH7+CI7*CJ7)),0)</f>
        <v>0.15598341040698502</v>
      </c>
      <c r="CR7" s="842">
        <f t="shared" ref="CR7:CR19" si="37">IFERROR(IF(CJ7&gt;0,CL7*(CI7*CJ7/(CG7*CH7+CI7*CJ7)),CL7*(CG7*CH7+CI7*CJ7)/(CG7*CH7+CI7*CJ7)),0)</f>
        <v>6.5527122907577381E-2</v>
      </c>
      <c r="CS7" s="842">
        <f t="shared" ref="CS7:CS19" si="38">IFERROR(IF(CJ7&gt;0,CM7*(CI7*CJ7/(CG7*CH7+CI7*CJ7)),CM7*(CG7*CH7+CI7*CJ7)/(CG7*CH7+CI7*CJ7)),0)</f>
        <v>0</v>
      </c>
      <c r="CT7" s="742">
        <f>IFERROR(Feed!H144*Feed!K19,0)</f>
        <v>0</v>
      </c>
      <c r="CU7" s="570">
        <f>IFERROR(Feed!I144*Feed!T19,0)</f>
        <v>0</v>
      </c>
      <c r="CV7" s="570">
        <f>IFERROR(Feed!J144*Feed!AC19,0)</f>
        <v>0</v>
      </c>
      <c r="CW7" s="252">
        <f>VLOOKUP(INPUTS!$D$79,'Crop parameters'!$A$2:$Z$43,4,FALSE)*1000</f>
        <v>0</v>
      </c>
      <c r="CX7" s="490">
        <f>INPUTS!$E$94</f>
        <v>1</v>
      </c>
      <c r="CY7" s="252">
        <f>VLOOKUP(INPUTS!$D$79,'Crop parameters'!$A$2:$Z$43,8,FALSE)*1000</f>
        <v>0</v>
      </c>
      <c r="CZ7" s="490">
        <f>IF(INPUTS!$E$79="Residue",INPUTS!$F$94,0)</f>
        <v>0</v>
      </c>
      <c r="DA7" s="490">
        <f>IFERROR(IF(INPUTS!$E$79="Main",CT7/(CW7*CX7),CT7/(CY7*CZ7)),0)</f>
        <v>0</v>
      </c>
      <c r="DB7" s="490">
        <f>IFERROR(IF(INPUTS!$E$79="Main",CU7/(CW7*CX7),CU7/(CY7*CZ7)),0)</f>
        <v>0</v>
      </c>
      <c r="DC7" s="490">
        <f>IFERROR(IF(INPUTS!$E$79="Main",CV7/(CW7*CX7),CV7/(CY7*CZ7)),0)</f>
        <v>0</v>
      </c>
      <c r="DD7" s="842">
        <f t="shared" si="12"/>
        <v>0</v>
      </c>
      <c r="DE7" s="858">
        <f t="shared" si="13"/>
        <v>0</v>
      </c>
      <c r="DF7" s="858">
        <f t="shared" ref="DF7:DF19" si="39">IF(CZ7&gt;0,DC7*(CX7*CY7/(CW7*CX7+CY7*CZ7)),0)</f>
        <v>0</v>
      </c>
      <c r="DG7" s="842">
        <f t="shared" ref="DG7:DG19" si="40">IFERROR(IF(CZ7&gt;0,DA7*(CY7*CZ7/(CW7*CX7+CY7*CZ7)),DA7*(CW7*CX7+CY7*CZ7)/(CW7*CX7+CY7*CZ7)),0)</f>
        <v>0</v>
      </c>
      <c r="DH7" s="842">
        <f t="shared" ref="DH7:DH19" si="41">IFERROR(IF(CZ7&gt;0,DB7*(CY7*CZ7/(CW7*CX7+CY7*CZ7)),DB7*(CW7*CX7+CY7*CZ7)/(CW7*CX7+CY7*CZ7)),0)</f>
        <v>0</v>
      </c>
      <c r="DI7" s="490">
        <f t="shared" ref="DI7:DI19" si="42">IFERROR(IF(CZ7&gt;0,DC7*(CY7*CZ7/(CW7*CX7+CY7*CZ7)),DC7*(CW7*CX7+CY7*CZ7)/(CW7*CX7+CY7*CZ7)),0)</f>
        <v>0</v>
      </c>
      <c r="DJ7" s="744">
        <f t="shared" ref="DJ7:DJ19" si="43">O7+AE7+AU7+BK7+CA7+CQ7+DG7</f>
        <v>0.29658516176128441</v>
      </c>
      <c r="DK7" s="744">
        <f t="shared" ref="DK7:DK19" si="44">P7+AF7+AV7+BL7+CB7+CR7+DH7</f>
        <v>0.46655065251533251</v>
      </c>
      <c r="DL7" s="744">
        <f t="shared" ref="DL7:DL19" si="45">Q7+AG7+AW7+BM7+CC7+CS7+DI7</f>
        <v>0</v>
      </c>
    </row>
    <row r="8" spans="1:116">
      <c r="A8" s="560" t="str">
        <f>'Livestock parameters'!A4</f>
        <v>Adult cattle - male</v>
      </c>
      <c r="B8" s="742">
        <f>IFERROR(Feed!H145*Feed!E26,0)</f>
        <v>0</v>
      </c>
      <c r="C8" s="570">
        <f>IFERROR(Feed!I145*Feed!N26,0)</f>
        <v>0</v>
      </c>
      <c r="D8" s="570">
        <f>IFERROR(Feed!J145*Feed!W26,0)</f>
        <v>0</v>
      </c>
      <c r="E8" s="252">
        <f>VLOOKUP(INPUTS!$D$73,'Crop parameters'!$A$2:$Z$43,4,FALSE)*1000</f>
        <v>0</v>
      </c>
      <c r="F8" s="490">
        <f>INPUTS!$E$88</f>
        <v>1</v>
      </c>
      <c r="G8" s="252">
        <f>VLOOKUP(INPUTS!$D$73,'Crop parameters'!$A$2:$Z$43,8,FALSE)*1000</f>
        <v>0</v>
      </c>
      <c r="H8" s="490">
        <f>IF(INPUTS!$E$73="Residue",INPUTS!$F$88,0)</f>
        <v>0</v>
      </c>
      <c r="I8" s="490">
        <f>IFERROR(IF(INPUTS!$E$73="Main",B8/(E8*F8),B8/(G8*H8)),0)</f>
        <v>0</v>
      </c>
      <c r="J8" s="490">
        <f>IFERROR(IF(INPUTS!$E$73="Main",C8/(E8*F8),C8/(G8*H8)),0)</f>
        <v>0</v>
      </c>
      <c r="K8" s="490">
        <f>IFERROR(IF(INPUTS!$E$73="Main",D8/(E8*F8),D8/(G8*H8)),0)</f>
        <v>0</v>
      </c>
      <c r="L8" s="842">
        <f t="shared" si="0"/>
        <v>0</v>
      </c>
      <c r="M8" s="858">
        <f t="shared" si="1"/>
        <v>0</v>
      </c>
      <c r="N8" s="858">
        <f t="shared" si="15"/>
        <v>0</v>
      </c>
      <c r="O8" s="842">
        <f t="shared" si="16"/>
        <v>0</v>
      </c>
      <c r="P8" s="842">
        <f t="shared" si="17"/>
        <v>0</v>
      </c>
      <c r="Q8" s="842">
        <f t="shared" si="18"/>
        <v>0</v>
      </c>
      <c r="R8" s="742">
        <f>IFERROR(Feed!H145*Feed!F26,0)</f>
        <v>0</v>
      </c>
      <c r="S8" s="570">
        <f>IFERROR(Feed!I145*Feed!O26,0)</f>
        <v>0</v>
      </c>
      <c r="T8" s="570">
        <f>IFERROR(Feed!Z145*Feed!X26,0)</f>
        <v>0</v>
      </c>
      <c r="U8" s="252">
        <f>VLOOKUP(INPUTS!$D$74,'Crop parameters'!$A$2:$Z$43,4,FALSE)*1000</f>
        <v>22050</v>
      </c>
      <c r="V8" s="490">
        <f>INPUTS!$E$89</f>
        <v>1</v>
      </c>
      <c r="W8" s="252">
        <f>VLOOKUP(INPUTS!$D$74,'Crop parameters'!$A$2:$Z$43,8,FALSE)*1000</f>
        <v>0</v>
      </c>
      <c r="X8" s="490">
        <f>IF(INPUTS!$E$74="Residue",INPUTS!$F$89,0)</f>
        <v>0</v>
      </c>
      <c r="Y8" s="490">
        <f>IFERROR(IF(INPUTS!$E$74="Main",R8/(U8*V8),R8/(W8*X8)),0)</f>
        <v>0</v>
      </c>
      <c r="Z8" s="490">
        <f>IFERROR(IF(INPUTS!$E$74="Main",S8/(U8*V8),S8/(W8*X8)),0)</f>
        <v>0</v>
      </c>
      <c r="AA8" s="490">
        <f>IFERROR(IF(INPUTS!$E$74="Main",T8/(U8*V8),T8/(W8*X8)),0)</f>
        <v>0</v>
      </c>
      <c r="AB8" s="842">
        <f t="shared" si="2"/>
        <v>0</v>
      </c>
      <c r="AC8" s="858">
        <f t="shared" si="3"/>
        <v>0</v>
      </c>
      <c r="AD8" s="858">
        <f t="shared" si="19"/>
        <v>0</v>
      </c>
      <c r="AE8" s="842">
        <f t="shared" si="20"/>
        <v>0</v>
      </c>
      <c r="AF8" s="842">
        <f t="shared" si="21"/>
        <v>0</v>
      </c>
      <c r="AG8" s="842">
        <f t="shared" si="22"/>
        <v>0</v>
      </c>
      <c r="AH8" s="742">
        <f>IFERROR(Feed!H145*Feed!G26,0)</f>
        <v>0</v>
      </c>
      <c r="AI8" s="570">
        <f>IFERROR(Feed!I145*Feed!P26,0)</f>
        <v>0</v>
      </c>
      <c r="AJ8" s="570">
        <f>IFERROR(Feed!J145*Feed!Y26,0)</f>
        <v>0</v>
      </c>
      <c r="AK8" s="252">
        <f>VLOOKUP(INPUTS!$D$75,'Crop parameters'!$A$2:$Z$43,4,FALSE)*1000</f>
        <v>13500</v>
      </c>
      <c r="AL8" s="490">
        <f>INPUTS!$E$90</f>
        <v>1</v>
      </c>
      <c r="AM8" s="252">
        <f>VLOOKUP(INPUTS!$D$75,'Crop parameters'!$A$2:$Z$43,8,FALSE)*1000</f>
        <v>0</v>
      </c>
      <c r="AN8" s="490">
        <f>IF(INPUTS!$E$75="Residue",INPUTS!$F$90,0)</f>
        <v>0</v>
      </c>
      <c r="AO8" s="490">
        <f>IFERROR(IF(INPUTS!$E$75="Main",AH8/(AK8*AL8),AH8/(AM8*AN8)),0)</f>
        <v>0</v>
      </c>
      <c r="AP8" s="490">
        <f>IFERROR(IF(INPUTS!$E$75="Main",AI8/(AK8*AL8),AI8/(AM8*AN8)),0)</f>
        <v>0</v>
      </c>
      <c r="AQ8" s="490">
        <f>IFERROR(IF(INPUTS!$E$75="Main",AJ8/(AK8*AL8),AJ8/(AM8*AN8)),0)</f>
        <v>0</v>
      </c>
      <c r="AR8" s="842">
        <f t="shared" si="4"/>
        <v>0</v>
      </c>
      <c r="AS8" s="858">
        <f t="shared" si="5"/>
        <v>0</v>
      </c>
      <c r="AT8" s="858">
        <f t="shared" si="23"/>
        <v>0</v>
      </c>
      <c r="AU8" s="842">
        <f t="shared" si="24"/>
        <v>0</v>
      </c>
      <c r="AV8" s="842">
        <f t="shared" si="25"/>
        <v>0</v>
      </c>
      <c r="AW8" s="842">
        <f t="shared" si="26"/>
        <v>0</v>
      </c>
      <c r="AX8" s="844">
        <f>IFERROR(Feed!H145*Feed!H26,0)</f>
        <v>0</v>
      </c>
      <c r="AY8" s="570">
        <f>IFERROR(Feed!I145*Feed!Q26,0)</f>
        <v>0</v>
      </c>
      <c r="AZ8" s="570">
        <f>IFERROR(Feed!J145*Feed!Z26,0)</f>
        <v>0</v>
      </c>
      <c r="BA8" s="252">
        <f>VLOOKUP(INPUTS!$D$76,'Crop parameters'!$A$2:$Z$43,4,FALSE)*1000</f>
        <v>19800</v>
      </c>
      <c r="BB8" s="490">
        <f>INPUTS!$E$91</f>
        <v>1</v>
      </c>
      <c r="BC8" s="252">
        <f>VLOOKUP(INPUTS!$D$76,'Crop parameters'!$A$2:$Z$43,8,FALSE)*1000</f>
        <v>0</v>
      </c>
      <c r="BD8" s="490">
        <f>IF(INPUTS!$E$76="Residue",INPUTS!$F$91,0)</f>
        <v>0</v>
      </c>
      <c r="BE8" s="490">
        <f>IFERROR(IF(INPUTS!$E$76="Main",AX8/(BA8*BB8),AX8/(BC8*BD8)),0)</f>
        <v>0</v>
      </c>
      <c r="BF8" s="490">
        <f>IFERROR(IF(INPUTS!$E$76="Main",AY8/(BA8*BB8),AY8/(BC8*BD8)),0)</f>
        <v>0</v>
      </c>
      <c r="BG8" s="490">
        <f>IFERROR(IF(INPUTS!$E$76="Main",AZ8/(BA8*BB8),AZ8/(BC8*BD8)),0)</f>
        <v>0</v>
      </c>
      <c r="BH8" s="842">
        <f t="shared" si="6"/>
        <v>0</v>
      </c>
      <c r="BI8" s="858">
        <f t="shared" si="7"/>
        <v>0</v>
      </c>
      <c r="BJ8" s="858">
        <f t="shared" si="27"/>
        <v>0</v>
      </c>
      <c r="BK8" s="842">
        <f t="shared" si="28"/>
        <v>0</v>
      </c>
      <c r="BL8" s="842">
        <f t="shared" si="29"/>
        <v>0</v>
      </c>
      <c r="BM8" s="842">
        <f t="shared" si="30"/>
        <v>0</v>
      </c>
      <c r="BN8" s="742">
        <f>IFERROR(Feed!H145*Feed!I26,0)</f>
        <v>0</v>
      </c>
      <c r="BO8" s="570">
        <f>IFERROR(Feed!I145*Feed!R26,0)</f>
        <v>0</v>
      </c>
      <c r="BP8" s="570">
        <f>IFERROR(Feed!J145*Feed!AA26,0)</f>
        <v>0</v>
      </c>
      <c r="BQ8" s="252">
        <f>VLOOKUP(INPUTS!$D$77,'Crop parameters'!$A$2:$Z$43,4,FALSE)*1000</f>
        <v>1299</v>
      </c>
      <c r="BR8" s="490">
        <f>INPUTS!$E$92</f>
        <v>0.4</v>
      </c>
      <c r="BS8" s="252">
        <f>VLOOKUP(INPUTS!$D$77,'Crop parameters'!$A$2:$Z$43,8,FALSE)*1000</f>
        <v>3582.4421538461534</v>
      </c>
      <c r="BT8" s="490">
        <f>IF(INPUTS!$E$77="Residue",INPUTS!$F$92,0)</f>
        <v>0.6</v>
      </c>
      <c r="BU8" s="490">
        <f>IFERROR(IF(INPUTS!$E$77="Main",BN8/(BQ8*BR8),BN8/(BS8*BT8)),0)</f>
        <v>0</v>
      </c>
      <c r="BV8" s="490">
        <f>IFERROR(IF(INPUTS!$E$77="Main",BO8/(BQ8*BR8),BO8/(BS8*BT8)),0)</f>
        <v>0</v>
      </c>
      <c r="BW8" s="490">
        <f>IFERROR(IF(INPUTS!$E$77="Main",BP8/(BQ8*BR8),BP8/(BS8*BT8)),0)</f>
        <v>0</v>
      </c>
      <c r="BX8" s="842">
        <f t="shared" si="8"/>
        <v>0</v>
      </c>
      <c r="BY8" s="858">
        <f t="shared" si="9"/>
        <v>0</v>
      </c>
      <c r="BZ8" s="858">
        <f t="shared" si="31"/>
        <v>0</v>
      </c>
      <c r="CA8" s="842">
        <f t="shared" si="32"/>
        <v>0</v>
      </c>
      <c r="CB8" s="842">
        <f t="shared" si="33"/>
        <v>0</v>
      </c>
      <c r="CC8" s="842">
        <f t="shared" si="34"/>
        <v>0</v>
      </c>
      <c r="CD8" s="742">
        <f>IFERROR(Feed!H145*Feed!J26,0)</f>
        <v>0</v>
      </c>
      <c r="CE8" s="570">
        <f>IFERROR(Feed!I145*Feed!S26,0)</f>
        <v>0</v>
      </c>
      <c r="CF8" s="570">
        <f>IFERROR(Feed!J145*Feed!AB26,0)</f>
        <v>0</v>
      </c>
      <c r="CG8" s="252">
        <f>VLOOKUP(INPUTS!$D$78,'Crop parameters'!$A$2:$Z$43,4,FALSE)*1000</f>
        <v>13049.999999999998</v>
      </c>
      <c r="CH8" s="490">
        <f>INPUTS!$E$93</f>
        <v>1</v>
      </c>
      <c r="CI8" s="252">
        <f>VLOOKUP(INPUTS!$D$78,'Crop parameters'!$A$2:$Z$43,8,FALSE)*1000</f>
        <v>0</v>
      </c>
      <c r="CJ8" s="490">
        <f>IF(INPUTS!$E$78="Residue",INPUTS!$F$93,0)</f>
        <v>0</v>
      </c>
      <c r="CK8" s="490">
        <f>IFERROR(IF(INPUTS!$E$78="Main",CD8/(CG8*CH8),CD8/(CI8*CJ8)),0)</f>
        <v>0</v>
      </c>
      <c r="CL8" s="490">
        <f>IFERROR(IF(INPUTS!$E$78="Main",CE8/(CG8*CH8),CE8/(CI8*CJ8)),0)</f>
        <v>0</v>
      </c>
      <c r="CM8" s="490">
        <f>IFERROR(IF(INPUTS!$E$78="Main",CF8/(CG8*CH8),CF8/(CI8*CJ8)),0)</f>
        <v>0</v>
      </c>
      <c r="CN8" s="842">
        <f t="shared" si="10"/>
        <v>0</v>
      </c>
      <c r="CO8" s="858">
        <f t="shared" si="11"/>
        <v>0</v>
      </c>
      <c r="CP8" s="858">
        <f t="shared" si="35"/>
        <v>0</v>
      </c>
      <c r="CQ8" s="842">
        <f t="shared" si="36"/>
        <v>0</v>
      </c>
      <c r="CR8" s="842">
        <f t="shared" si="37"/>
        <v>0</v>
      </c>
      <c r="CS8" s="842">
        <f t="shared" si="38"/>
        <v>0</v>
      </c>
      <c r="CT8" s="742">
        <f>IFERROR(Feed!H145*Feed!K26,0)</f>
        <v>0</v>
      </c>
      <c r="CU8" s="570">
        <f>IFERROR(Feed!I145*Feed!T26,0)</f>
        <v>0</v>
      </c>
      <c r="CV8" s="570">
        <f>IFERROR(Feed!J145*Feed!AC26,0)</f>
        <v>0</v>
      </c>
      <c r="CW8" s="252">
        <f>VLOOKUP(INPUTS!$D$79,'Crop parameters'!$A$2:$Z$43,4,FALSE)*1000</f>
        <v>0</v>
      </c>
      <c r="CX8" s="490">
        <f>INPUTS!$E$94</f>
        <v>1</v>
      </c>
      <c r="CY8" s="252">
        <f>VLOOKUP(INPUTS!$D$79,'Crop parameters'!$A$2:$Z$43,8,FALSE)*1000</f>
        <v>0</v>
      </c>
      <c r="CZ8" s="490">
        <f>IF(INPUTS!$E$79="Residue",INPUTS!$F$94,0)</f>
        <v>0</v>
      </c>
      <c r="DA8" s="490">
        <f>IFERROR(IF(INPUTS!$E$79="Main",CT8/(CW8*CX8),CT8/(CY8*CZ8)),0)</f>
        <v>0</v>
      </c>
      <c r="DB8" s="490">
        <f>IFERROR(IF(INPUTS!$E$79="Main",CU8/(CW8*CX8),CU8/(CY8*CZ8)),0)</f>
        <v>0</v>
      </c>
      <c r="DC8" s="490">
        <f>IFERROR(IF(INPUTS!$E$79="Main",CV8/(CW8*CX8),CV8/(CY8*CZ8)),0)</f>
        <v>0</v>
      </c>
      <c r="DD8" s="842">
        <f t="shared" si="12"/>
        <v>0</v>
      </c>
      <c r="DE8" s="858">
        <f t="shared" si="13"/>
        <v>0</v>
      </c>
      <c r="DF8" s="858">
        <f t="shared" si="39"/>
        <v>0</v>
      </c>
      <c r="DG8" s="842">
        <f t="shared" si="40"/>
        <v>0</v>
      </c>
      <c r="DH8" s="842">
        <f t="shared" si="41"/>
        <v>0</v>
      </c>
      <c r="DI8" s="490">
        <f t="shared" si="42"/>
        <v>0</v>
      </c>
      <c r="DJ8" s="744">
        <f t="shared" si="43"/>
        <v>0</v>
      </c>
      <c r="DK8" s="744">
        <f t="shared" si="44"/>
        <v>0</v>
      </c>
      <c r="DL8" s="744">
        <f t="shared" si="45"/>
        <v>0</v>
      </c>
    </row>
    <row r="9" spans="1:116">
      <c r="A9" s="560" t="str">
        <f>'Livestock parameters'!A5</f>
        <v>Calves</v>
      </c>
      <c r="B9" s="742">
        <f>IFERROR(Feed!H146*Feed!E33,0)</f>
        <v>0</v>
      </c>
      <c r="C9" s="570">
        <f>IFERROR(Feed!I146*Feed!N33,0)</f>
        <v>0</v>
      </c>
      <c r="D9" s="570">
        <f>IFERROR(Feed!J146*Feed!W33,0)</f>
        <v>0</v>
      </c>
      <c r="E9" s="252">
        <f>VLOOKUP(INPUTS!$D$73,'Crop parameters'!$A$2:$Z$43,4,FALSE)*1000</f>
        <v>0</v>
      </c>
      <c r="F9" s="490">
        <f>INPUTS!$E$88</f>
        <v>1</v>
      </c>
      <c r="G9" s="252">
        <f>VLOOKUP(INPUTS!$D$73,'Crop parameters'!$A$2:$Z$43,8,FALSE)*1000</f>
        <v>0</v>
      </c>
      <c r="H9" s="490">
        <f>IF(INPUTS!$E$73="Residue",INPUTS!$F$88,0)</f>
        <v>0</v>
      </c>
      <c r="I9" s="490">
        <f>IFERROR(IF(INPUTS!$E$73="Main",B9/(E9*F9),B9/(G9*H9)),0)</f>
        <v>0</v>
      </c>
      <c r="J9" s="490">
        <f>IFERROR(IF(INPUTS!$E$73="Main",C9/(E9*F9),C9/(G9*H9)),0)</f>
        <v>0</v>
      </c>
      <c r="K9" s="490">
        <f>IFERROR(IF(INPUTS!$E$73="Main",D9/(E9*F9),D9/(G9*H9)),0)</f>
        <v>0</v>
      </c>
      <c r="L9" s="842">
        <f t="shared" si="0"/>
        <v>0</v>
      </c>
      <c r="M9" s="858">
        <f t="shared" si="1"/>
        <v>0</v>
      </c>
      <c r="N9" s="858">
        <f t="shared" si="15"/>
        <v>0</v>
      </c>
      <c r="O9" s="842">
        <f t="shared" si="16"/>
        <v>0</v>
      </c>
      <c r="P9" s="842">
        <f t="shared" si="17"/>
        <v>0</v>
      </c>
      <c r="Q9" s="842">
        <f t="shared" si="18"/>
        <v>0</v>
      </c>
      <c r="R9" s="742">
        <f>IFERROR(Feed!H146*Feed!F33,0)</f>
        <v>0</v>
      </c>
      <c r="S9" s="570">
        <f>IFERROR(Feed!I146*Feed!O33,0)</f>
        <v>0</v>
      </c>
      <c r="T9" s="570">
        <f>IFERROR(Feed!Z146*Feed!X33,0)</f>
        <v>0</v>
      </c>
      <c r="U9" s="252">
        <f>VLOOKUP(INPUTS!$D$74,'Crop parameters'!$A$2:$Z$43,4,FALSE)*1000</f>
        <v>22050</v>
      </c>
      <c r="V9" s="490">
        <f>INPUTS!$E$89</f>
        <v>1</v>
      </c>
      <c r="W9" s="252">
        <f>VLOOKUP(INPUTS!$D$74,'Crop parameters'!$A$2:$Z$43,8,FALSE)*1000</f>
        <v>0</v>
      </c>
      <c r="X9" s="490">
        <f>IF(INPUTS!$E$74="Residue",INPUTS!$F$89,0)</f>
        <v>0</v>
      </c>
      <c r="Y9" s="490">
        <f>IFERROR(IF(INPUTS!$E$74="Main",R9/(U9*V9),R9/(W9*X9)),0)</f>
        <v>0</v>
      </c>
      <c r="Z9" s="490">
        <f>IFERROR(IF(INPUTS!$E$74="Main",S9/(U9*V9),S9/(W9*X9)),0)</f>
        <v>0</v>
      </c>
      <c r="AA9" s="490">
        <f>IFERROR(IF(INPUTS!$E$74="Main",T9/(U9*V9),T9/(W9*X9)),0)</f>
        <v>0</v>
      </c>
      <c r="AB9" s="842">
        <f t="shared" si="2"/>
        <v>0</v>
      </c>
      <c r="AC9" s="858">
        <f t="shared" si="3"/>
        <v>0</v>
      </c>
      <c r="AD9" s="858">
        <f t="shared" si="19"/>
        <v>0</v>
      </c>
      <c r="AE9" s="842">
        <f t="shared" si="20"/>
        <v>0</v>
      </c>
      <c r="AF9" s="842">
        <f t="shared" si="21"/>
        <v>0</v>
      </c>
      <c r="AG9" s="842">
        <f t="shared" si="22"/>
        <v>0</v>
      </c>
      <c r="AH9" s="742">
        <f>IFERROR(Feed!H146*Feed!G33,0)</f>
        <v>0</v>
      </c>
      <c r="AI9" s="570">
        <f>IFERROR(Feed!I146*Feed!P33,0)</f>
        <v>0</v>
      </c>
      <c r="AJ9" s="570">
        <f>IFERROR(Feed!J146*Feed!Y33,0)</f>
        <v>0</v>
      </c>
      <c r="AK9" s="252">
        <f>VLOOKUP(INPUTS!$D$75,'Crop parameters'!$A$2:$Z$43,4,FALSE)*1000</f>
        <v>13500</v>
      </c>
      <c r="AL9" s="490">
        <f>INPUTS!$E$90</f>
        <v>1</v>
      </c>
      <c r="AM9" s="252">
        <f>VLOOKUP(INPUTS!$D$75,'Crop parameters'!$A$2:$Z$43,8,FALSE)*1000</f>
        <v>0</v>
      </c>
      <c r="AN9" s="490">
        <f>IF(INPUTS!$E$75="Residue",INPUTS!$F$90,0)</f>
        <v>0</v>
      </c>
      <c r="AO9" s="490">
        <f>IFERROR(IF(INPUTS!$E$75="Main",AH9/(AK9*AL9),AH9/(AM9*AN9)),0)</f>
        <v>0</v>
      </c>
      <c r="AP9" s="490">
        <f>IFERROR(IF(INPUTS!$E$75="Main",AI9/(AK9*AL9),AI9/(AM9*AN9)),0)</f>
        <v>0</v>
      </c>
      <c r="AQ9" s="490">
        <f>IFERROR(IF(INPUTS!$E$75="Main",AJ9/(AK9*AL9),AJ9/(AM9*AN9)),0)</f>
        <v>0</v>
      </c>
      <c r="AR9" s="842">
        <f t="shared" si="4"/>
        <v>0</v>
      </c>
      <c r="AS9" s="858">
        <f t="shared" si="5"/>
        <v>0</v>
      </c>
      <c r="AT9" s="858">
        <f t="shared" si="23"/>
        <v>0</v>
      </c>
      <c r="AU9" s="842">
        <f t="shared" si="24"/>
        <v>0</v>
      </c>
      <c r="AV9" s="842">
        <f t="shared" si="25"/>
        <v>0</v>
      </c>
      <c r="AW9" s="842">
        <f t="shared" si="26"/>
        <v>0</v>
      </c>
      <c r="AX9" s="844">
        <f>IFERROR(Feed!H146*Feed!H33,0)</f>
        <v>0</v>
      </c>
      <c r="AY9" s="570">
        <f>IFERROR(Feed!I146*Feed!Q33,0)</f>
        <v>0</v>
      </c>
      <c r="AZ9" s="570">
        <f>IFERROR(Feed!J146*Feed!Z33,0)</f>
        <v>0</v>
      </c>
      <c r="BA9" s="252">
        <f>VLOOKUP(INPUTS!$D$76,'Crop parameters'!$A$2:$Z$43,4,FALSE)*1000</f>
        <v>19800</v>
      </c>
      <c r="BB9" s="490">
        <f>INPUTS!$E$91</f>
        <v>1</v>
      </c>
      <c r="BC9" s="252">
        <f>VLOOKUP(INPUTS!$D$76,'Crop parameters'!$A$2:$Z$43,8,FALSE)*1000</f>
        <v>0</v>
      </c>
      <c r="BD9" s="490">
        <f>IF(INPUTS!$E$76="Residue",INPUTS!$F$91,0)</f>
        <v>0</v>
      </c>
      <c r="BE9" s="490">
        <f>IFERROR(IF(INPUTS!$E$76="Main",AX9/(BA9*BB9),AX9/(BC9*BD9)),0)</f>
        <v>0</v>
      </c>
      <c r="BF9" s="490">
        <f>IFERROR(IF(INPUTS!$E$76="Main",AY9/(BA9*BB9),AY9/(BC9*BD9)),0)</f>
        <v>0</v>
      </c>
      <c r="BG9" s="490">
        <f>IFERROR(IF(INPUTS!$E$76="Main",AZ9/(BA9*BB9),AZ9/(BC9*BD9)),0)</f>
        <v>0</v>
      </c>
      <c r="BH9" s="842">
        <f t="shared" si="6"/>
        <v>0</v>
      </c>
      <c r="BI9" s="858">
        <f t="shared" si="7"/>
        <v>0</v>
      </c>
      <c r="BJ9" s="858">
        <f t="shared" si="27"/>
        <v>0</v>
      </c>
      <c r="BK9" s="842">
        <f t="shared" si="28"/>
        <v>0</v>
      </c>
      <c r="BL9" s="842">
        <f t="shared" si="29"/>
        <v>0</v>
      </c>
      <c r="BM9" s="842">
        <f t="shared" si="30"/>
        <v>0</v>
      </c>
      <c r="BN9" s="742">
        <f>IFERROR(Feed!H146*Feed!I33,0)</f>
        <v>0</v>
      </c>
      <c r="BO9" s="570">
        <f>IFERROR(Feed!I146*Feed!R33,0)</f>
        <v>0</v>
      </c>
      <c r="BP9" s="570">
        <f>IFERROR(Feed!J146*Feed!AA33,0)</f>
        <v>0</v>
      </c>
      <c r="BQ9" s="252">
        <f>VLOOKUP(INPUTS!$D$77,'Crop parameters'!$A$2:$Z$43,4,FALSE)*1000</f>
        <v>1299</v>
      </c>
      <c r="BR9" s="490">
        <f>INPUTS!$E$92</f>
        <v>0.4</v>
      </c>
      <c r="BS9" s="252">
        <f>VLOOKUP(INPUTS!$D$77,'Crop parameters'!$A$2:$Z$43,8,FALSE)*1000</f>
        <v>3582.4421538461534</v>
      </c>
      <c r="BT9" s="490">
        <f>IF(INPUTS!$E$77="Residue",INPUTS!$F$92,0)</f>
        <v>0.6</v>
      </c>
      <c r="BU9" s="490">
        <f>IFERROR(IF(INPUTS!$E$77="Main",BN9/(BQ9*BR9),BN9/(BS9*BT9)),0)</f>
        <v>0</v>
      </c>
      <c r="BV9" s="490">
        <f>IFERROR(IF(INPUTS!$E$77="Main",BO9/(BQ9*BR9),BO9/(BS9*BT9)),0)</f>
        <v>0</v>
      </c>
      <c r="BW9" s="490">
        <f>IFERROR(IF(INPUTS!$E$77="Main",BP9/(BQ9*BR9),BP9/(BS9*BT9)),0)</f>
        <v>0</v>
      </c>
      <c r="BX9" s="842">
        <f t="shared" si="8"/>
        <v>0</v>
      </c>
      <c r="BY9" s="858">
        <f t="shared" si="9"/>
        <v>0</v>
      </c>
      <c r="BZ9" s="858">
        <f t="shared" si="31"/>
        <v>0</v>
      </c>
      <c r="CA9" s="842">
        <f t="shared" si="32"/>
        <v>0</v>
      </c>
      <c r="CB9" s="842">
        <f t="shared" si="33"/>
        <v>0</v>
      </c>
      <c r="CC9" s="842">
        <f t="shared" si="34"/>
        <v>0</v>
      </c>
      <c r="CD9" s="742">
        <f>IFERROR(Feed!H146*Feed!J33,0)</f>
        <v>0</v>
      </c>
      <c r="CE9" s="570">
        <f>IFERROR(Feed!I146*Feed!S33,0)</f>
        <v>0</v>
      </c>
      <c r="CF9" s="570">
        <f>IFERROR(Feed!J146*Feed!AB33,0)</f>
        <v>0</v>
      </c>
      <c r="CG9" s="252">
        <f>VLOOKUP(INPUTS!$D$78,'Crop parameters'!$A$2:$Z$43,4,FALSE)*1000</f>
        <v>13049.999999999998</v>
      </c>
      <c r="CH9" s="490">
        <f>INPUTS!$E$93</f>
        <v>1</v>
      </c>
      <c r="CI9" s="252">
        <f>VLOOKUP(INPUTS!$D$78,'Crop parameters'!$A$2:$Z$43,8,FALSE)*1000</f>
        <v>0</v>
      </c>
      <c r="CJ9" s="490">
        <f>IF(INPUTS!$E$78="Residue",INPUTS!$F$93,0)</f>
        <v>0</v>
      </c>
      <c r="CK9" s="490">
        <f>IFERROR(IF(INPUTS!$E$78="Main",CD9/(CG9*CH9),CD9/(CI9*CJ9)),0)</f>
        <v>0</v>
      </c>
      <c r="CL9" s="490">
        <f>IFERROR(IF(INPUTS!$E$78="Main",CE9/(CG9*CH9),CE9/(CI9*CJ9)),0)</f>
        <v>0</v>
      </c>
      <c r="CM9" s="490">
        <f>IFERROR(IF(INPUTS!$E$78="Main",CF9/(CG9*CH9),CF9/(CI9*CJ9)),0)</f>
        <v>0</v>
      </c>
      <c r="CN9" s="842">
        <f t="shared" si="10"/>
        <v>0</v>
      </c>
      <c r="CO9" s="858">
        <f t="shared" si="11"/>
        <v>0</v>
      </c>
      <c r="CP9" s="858">
        <f t="shared" si="35"/>
        <v>0</v>
      </c>
      <c r="CQ9" s="842">
        <f t="shared" si="36"/>
        <v>0</v>
      </c>
      <c r="CR9" s="842">
        <f t="shared" si="37"/>
        <v>0</v>
      </c>
      <c r="CS9" s="842">
        <f t="shared" si="38"/>
        <v>0</v>
      </c>
      <c r="CT9" s="742">
        <f>IFERROR(Feed!H146*Feed!K33,0)</f>
        <v>0</v>
      </c>
      <c r="CU9" s="570">
        <f>IFERROR(Feed!I146*Feed!T33,0)</f>
        <v>0</v>
      </c>
      <c r="CV9" s="570">
        <f>IFERROR(Feed!J146*Feed!AC33,0)</f>
        <v>0</v>
      </c>
      <c r="CW9" s="252">
        <f>VLOOKUP(INPUTS!$D$79,'Crop parameters'!$A$2:$Z$43,4,FALSE)*1000</f>
        <v>0</v>
      </c>
      <c r="CX9" s="490">
        <f>INPUTS!$E$94</f>
        <v>1</v>
      </c>
      <c r="CY9" s="252">
        <f>VLOOKUP(INPUTS!$D$79,'Crop parameters'!$A$2:$Z$43,8,FALSE)*1000</f>
        <v>0</v>
      </c>
      <c r="CZ9" s="490">
        <f>IF(INPUTS!$E$79="Residue",INPUTS!$F$94,0)</f>
        <v>0</v>
      </c>
      <c r="DA9" s="490">
        <f>IFERROR(IF(INPUTS!$E$79="Main",CT9/(CW9*CX9),CT9/(CY9*CZ9)),0)</f>
        <v>0</v>
      </c>
      <c r="DB9" s="490">
        <f>IFERROR(IF(INPUTS!$E$79="Main",CU9/(CW9*CX9),CU9/(CY9*CZ9)),0)</f>
        <v>0</v>
      </c>
      <c r="DC9" s="490">
        <f>IFERROR(IF(INPUTS!$E$79="Main",CV9/(CW9*CX9),CV9/(CY9*CZ9)),0)</f>
        <v>0</v>
      </c>
      <c r="DD9" s="842">
        <f t="shared" si="12"/>
        <v>0</v>
      </c>
      <c r="DE9" s="858">
        <f t="shared" si="13"/>
        <v>0</v>
      </c>
      <c r="DF9" s="858">
        <f t="shared" si="39"/>
        <v>0</v>
      </c>
      <c r="DG9" s="842">
        <f t="shared" si="40"/>
        <v>0</v>
      </c>
      <c r="DH9" s="842">
        <f t="shared" si="41"/>
        <v>0</v>
      </c>
      <c r="DI9" s="490">
        <f t="shared" si="42"/>
        <v>0</v>
      </c>
      <c r="DJ9" s="744">
        <f t="shared" si="43"/>
        <v>0</v>
      </c>
      <c r="DK9" s="744">
        <f t="shared" si="44"/>
        <v>0</v>
      </c>
      <c r="DL9" s="744">
        <f t="shared" si="45"/>
        <v>0</v>
      </c>
    </row>
    <row r="10" spans="1:116">
      <c r="A10" s="560" t="str">
        <f>'Livestock parameters'!A6</f>
        <v>Steers/heifers</v>
      </c>
      <c r="B10" s="742">
        <f>IFERROR(Feed!H147*Feed!E40,0)</f>
        <v>517.03078013028824</v>
      </c>
      <c r="C10" s="570">
        <f>IFERROR(Feed!I147*Feed!N40,0)</f>
        <v>625.53494270973363</v>
      </c>
      <c r="D10" s="570">
        <f>IFERROR(Feed!J147*Feed!W40,0)</f>
        <v>0</v>
      </c>
      <c r="E10" s="252">
        <f>VLOOKUP(INPUTS!$D$73,'Crop parameters'!$A$2:$Z$43,4,FALSE)*1000</f>
        <v>0</v>
      </c>
      <c r="F10" s="490">
        <f>INPUTS!$E$88</f>
        <v>1</v>
      </c>
      <c r="G10" s="252">
        <f>VLOOKUP(INPUTS!$D$73,'Crop parameters'!$A$2:$Z$43,8,FALSE)*1000</f>
        <v>0</v>
      </c>
      <c r="H10" s="490">
        <f>IF(INPUTS!$E$73="Residue",INPUTS!$F$88,0)</f>
        <v>0</v>
      </c>
      <c r="I10" s="490">
        <f>IFERROR(IF(INPUTS!$E$73="Main",B10/(E10*F10),B10/(G10*H10)),0)</f>
        <v>0</v>
      </c>
      <c r="J10" s="490">
        <f>IFERROR(IF(INPUTS!$E$73="Main",C10/(E10*F10),C10/(G10*H10)),0)</f>
        <v>0</v>
      </c>
      <c r="K10" s="490">
        <f>IFERROR(IF(INPUTS!$E$73="Main",D10/(E10*F10),D10/(G10*H10)),0)</f>
        <v>0</v>
      </c>
      <c r="L10" s="842">
        <f t="shared" si="0"/>
        <v>0</v>
      </c>
      <c r="M10" s="858">
        <f t="shared" si="1"/>
        <v>0</v>
      </c>
      <c r="N10" s="858">
        <f t="shared" si="15"/>
        <v>0</v>
      </c>
      <c r="O10" s="842">
        <f t="shared" si="16"/>
        <v>0</v>
      </c>
      <c r="P10" s="842">
        <f t="shared" si="17"/>
        <v>0</v>
      </c>
      <c r="Q10" s="842">
        <f t="shared" si="18"/>
        <v>0</v>
      </c>
      <c r="R10" s="742">
        <f>IFERROR(Feed!H147*Feed!F40,0)</f>
        <v>258.51539006514412</v>
      </c>
      <c r="S10" s="570">
        <f>IFERROR(Feed!I147*Feed!O40,0)</f>
        <v>104.2558237849556</v>
      </c>
      <c r="T10" s="570">
        <f>IFERROR(Feed!Z147*Feed!X40,0)</f>
        <v>0</v>
      </c>
      <c r="U10" s="252">
        <f>VLOOKUP(INPUTS!$D$74,'Crop parameters'!$A$2:$Z$43,4,FALSE)*1000</f>
        <v>22050</v>
      </c>
      <c r="V10" s="490">
        <f>INPUTS!$E$89</f>
        <v>1</v>
      </c>
      <c r="W10" s="252">
        <f>VLOOKUP(INPUTS!$D$74,'Crop parameters'!$A$2:$Z$43,8,FALSE)*1000</f>
        <v>0</v>
      </c>
      <c r="X10" s="490">
        <f>IF(INPUTS!$E$74="Residue",INPUTS!$F$89,0)</f>
        <v>0</v>
      </c>
      <c r="Y10" s="490">
        <f>IFERROR(IF(INPUTS!$E$74="Main",R10/(U10*V10),R10/(W10*X10)),0)</f>
        <v>1.172405397120835E-2</v>
      </c>
      <c r="Z10" s="490">
        <f>IFERROR(IF(INPUTS!$E$74="Main",S10/(U10*V10),S10/(W10*X10)),0)</f>
        <v>4.7281552736941311E-3</v>
      </c>
      <c r="AA10" s="490">
        <f>IFERROR(IF(INPUTS!$E$74="Main",T10/(U10*V10),T10/(W10*X10)),0)</f>
        <v>0</v>
      </c>
      <c r="AB10" s="842">
        <f t="shared" si="2"/>
        <v>0</v>
      </c>
      <c r="AC10" s="858">
        <f t="shared" si="3"/>
        <v>0</v>
      </c>
      <c r="AD10" s="858">
        <f t="shared" si="19"/>
        <v>0</v>
      </c>
      <c r="AE10" s="842">
        <f t="shared" si="20"/>
        <v>1.172405397120835E-2</v>
      </c>
      <c r="AF10" s="842">
        <f t="shared" si="21"/>
        <v>4.7281552736941311E-3</v>
      </c>
      <c r="AG10" s="842">
        <f t="shared" si="22"/>
        <v>0</v>
      </c>
      <c r="AH10" s="742">
        <f>IFERROR(Feed!H147*Feed!G40,0)</f>
        <v>1058.5343505200767</v>
      </c>
      <c r="AI10" s="570">
        <f>IFERROR(Feed!I147*Feed!P40,0)</f>
        <v>411.02858527218746</v>
      </c>
      <c r="AJ10" s="570">
        <f>IFERROR(Feed!J147*Feed!Y40,0)</f>
        <v>0</v>
      </c>
      <c r="AK10" s="252">
        <f>VLOOKUP(INPUTS!$D$75,'Crop parameters'!$A$2:$Z$43,4,FALSE)*1000</f>
        <v>13500</v>
      </c>
      <c r="AL10" s="490">
        <f>INPUTS!$E$90</f>
        <v>1</v>
      </c>
      <c r="AM10" s="252">
        <f>VLOOKUP(INPUTS!$D$75,'Crop parameters'!$A$2:$Z$43,8,FALSE)*1000</f>
        <v>0</v>
      </c>
      <c r="AN10" s="490">
        <f>IF(INPUTS!$E$75="Residue",INPUTS!$F$90,0)</f>
        <v>0</v>
      </c>
      <c r="AO10" s="490">
        <f>IFERROR(IF(INPUTS!$E$75="Main",AH10/(AK10*AL10),AH10/(AM10*AN10)),0)</f>
        <v>7.8409951890376056E-2</v>
      </c>
      <c r="AP10" s="490">
        <f>IFERROR(IF(INPUTS!$E$75="Main",AI10/(AK10*AL10),AI10/(AM10*AN10)),0)</f>
        <v>3.0446561872013885E-2</v>
      </c>
      <c r="AQ10" s="490">
        <f>IFERROR(IF(INPUTS!$E$75="Main",AJ10/(AK10*AL10),AJ10/(AM10*AN10)),0)</f>
        <v>0</v>
      </c>
      <c r="AR10" s="842">
        <f t="shared" si="4"/>
        <v>0</v>
      </c>
      <c r="AS10" s="858">
        <f t="shared" si="5"/>
        <v>0</v>
      </c>
      <c r="AT10" s="858">
        <f t="shared" si="23"/>
        <v>0</v>
      </c>
      <c r="AU10" s="842">
        <f t="shared" si="24"/>
        <v>7.8409951890376056E-2</v>
      </c>
      <c r="AV10" s="842">
        <f t="shared" si="25"/>
        <v>3.0446561872013885E-2</v>
      </c>
      <c r="AW10" s="842">
        <f t="shared" si="26"/>
        <v>0</v>
      </c>
      <c r="AX10" s="844">
        <f>IFERROR(Feed!H147*Feed!H40,0)</f>
        <v>126.38530180962603</v>
      </c>
      <c r="AY10" s="570">
        <f>IFERROR(Feed!I147*Feed!Q40,0)</f>
        <v>573.40703081725587</v>
      </c>
      <c r="AZ10" s="570">
        <f>IFERROR(Feed!J147*Feed!Z40,0)</f>
        <v>0</v>
      </c>
      <c r="BA10" s="252">
        <f>VLOOKUP(INPUTS!$D$76,'Crop parameters'!$A$2:$Z$43,4,FALSE)*1000</f>
        <v>19800</v>
      </c>
      <c r="BB10" s="490">
        <f>INPUTS!$E$91</f>
        <v>1</v>
      </c>
      <c r="BC10" s="252">
        <f>VLOOKUP(INPUTS!$D$76,'Crop parameters'!$A$2:$Z$43,8,FALSE)*1000</f>
        <v>0</v>
      </c>
      <c r="BD10" s="490">
        <f>IF(INPUTS!$E$76="Residue",INPUTS!$F$91,0)</f>
        <v>0</v>
      </c>
      <c r="BE10" s="490">
        <f>IFERROR(IF(INPUTS!$E$76="Main",AX10/(BA10*BB10),AX10/(BC10*BD10)),0)</f>
        <v>6.3830960509912134E-3</v>
      </c>
      <c r="BF10" s="490">
        <f>IFERROR(IF(INPUTS!$E$76="Main",AY10/(BA10*BB10),AY10/(BC10*BD10)),0)</f>
        <v>2.895995105137656E-2</v>
      </c>
      <c r="BG10" s="490">
        <f>IFERROR(IF(INPUTS!$E$76="Main",AZ10/(BA10*BB10),AZ10/(BC10*BD10)),0)</f>
        <v>0</v>
      </c>
      <c r="BH10" s="842">
        <f t="shared" si="6"/>
        <v>0</v>
      </c>
      <c r="BI10" s="858">
        <f t="shared" si="7"/>
        <v>0</v>
      </c>
      <c r="BJ10" s="858">
        <f t="shared" si="27"/>
        <v>0</v>
      </c>
      <c r="BK10" s="842">
        <f t="shared" si="28"/>
        <v>6.3830960509912134E-3</v>
      </c>
      <c r="BL10" s="842">
        <f t="shared" si="29"/>
        <v>2.895995105137656E-2</v>
      </c>
      <c r="BM10" s="842">
        <f t="shared" si="30"/>
        <v>0</v>
      </c>
      <c r="BN10" s="742">
        <f>IFERROR(Feed!H147*Feed!I40,0)</f>
        <v>199.91856831704482</v>
      </c>
      <c r="BO10" s="570">
        <f>IFERROR(Feed!I147*Feed!R40,0)</f>
        <v>1133.7820836613921</v>
      </c>
      <c r="BP10" s="570">
        <f>IFERROR(Feed!J147*Feed!AA40,0)</f>
        <v>0</v>
      </c>
      <c r="BQ10" s="252">
        <f>VLOOKUP(INPUTS!$D$77,'Crop parameters'!$A$2:$Z$43,4,FALSE)*1000</f>
        <v>1299</v>
      </c>
      <c r="BR10" s="490">
        <f>INPUTS!$E$92</f>
        <v>0.4</v>
      </c>
      <c r="BS10" s="252">
        <f>VLOOKUP(INPUTS!$D$77,'Crop parameters'!$A$2:$Z$43,8,FALSE)*1000</f>
        <v>3582.4421538461534</v>
      </c>
      <c r="BT10" s="490">
        <f>IF(INPUTS!$E$77="Residue",INPUTS!$F$92,0)</f>
        <v>0.6</v>
      </c>
      <c r="BU10" s="490">
        <f>IFERROR(IF(INPUTS!$E$77="Main",BN10/(BQ10*BR10),BN10/(BS10*BT10)),0)</f>
        <v>9.3008511945968583E-2</v>
      </c>
      <c r="BV10" s="490">
        <f>IFERROR(IF(INPUTS!$E$77="Main",BO10/(BQ10*BR10),BO10/(BS10*BT10)),0)</f>
        <v>0.52747168689760515</v>
      </c>
      <c r="BW10" s="490">
        <f>IFERROR(IF(INPUTS!$E$77="Main",BP10/(BQ10*BR10),BP10/(BS10*BT10)),0)</f>
        <v>0</v>
      </c>
      <c r="BX10" s="842">
        <f t="shared" si="8"/>
        <v>1.8106422104549279E-2</v>
      </c>
      <c r="BY10" s="858">
        <f t="shared" si="9"/>
        <v>0.10268549416976952</v>
      </c>
      <c r="BZ10" s="858">
        <f t="shared" si="31"/>
        <v>0</v>
      </c>
      <c r="CA10" s="842">
        <f t="shared" si="32"/>
        <v>7.49020898414193E-2</v>
      </c>
      <c r="CB10" s="842">
        <f t="shared" si="33"/>
        <v>0.42478619272783563</v>
      </c>
      <c r="CC10" s="842">
        <f t="shared" si="34"/>
        <v>0</v>
      </c>
      <c r="CD10" s="742">
        <f>IFERROR(Feed!H147*Feed!J40,0)</f>
        <v>2481.7477446253838</v>
      </c>
      <c r="CE10" s="570">
        <f>IFERROR(Feed!I147*Feed!S40,0)</f>
        <v>1042.558237849556</v>
      </c>
      <c r="CF10" s="570">
        <f>IFERROR(Feed!J147*Feed!AB40,0)</f>
        <v>0</v>
      </c>
      <c r="CG10" s="252">
        <f>VLOOKUP(INPUTS!$D$78,'Crop parameters'!$A$2:$Z$43,4,FALSE)*1000</f>
        <v>13049.999999999998</v>
      </c>
      <c r="CH10" s="490">
        <f>INPUTS!$E$93</f>
        <v>1</v>
      </c>
      <c r="CI10" s="252">
        <f>VLOOKUP(INPUTS!$D$78,'Crop parameters'!$A$2:$Z$43,8,FALSE)*1000</f>
        <v>0</v>
      </c>
      <c r="CJ10" s="490">
        <f>IF(INPUTS!$E$78="Residue",INPUTS!$F$93,0)</f>
        <v>0</v>
      </c>
      <c r="CK10" s="490">
        <f>IFERROR(IF(INPUTS!$E$78="Main",CD10/(CG10*CH10),CD10/(CI10*CJ10)),0)</f>
        <v>0.19017224096746238</v>
      </c>
      <c r="CL10" s="490">
        <f>IFERROR(IF(INPUTS!$E$78="Main",CE10/(CG10*CH10),CE10/(CI10*CJ10)),0)</f>
        <v>7.988952014172844E-2</v>
      </c>
      <c r="CM10" s="490">
        <f>IFERROR(IF(INPUTS!$E$78="Main",CF10/(CG10*CH10),CF10/(CI10*CJ10)),0)</f>
        <v>0</v>
      </c>
      <c r="CN10" s="842">
        <f t="shared" si="10"/>
        <v>0</v>
      </c>
      <c r="CO10" s="858">
        <f t="shared" si="11"/>
        <v>0</v>
      </c>
      <c r="CP10" s="858">
        <f t="shared" si="35"/>
        <v>0</v>
      </c>
      <c r="CQ10" s="842">
        <f t="shared" si="36"/>
        <v>0.19017224096746238</v>
      </c>
      <c r="CR10" s="842">
        <f t="shared" si="37"/>
        <v>7.988952014172844E-2</v>
      </c>
      <c r="CS10" s="842">
        <f t="shared" si="38"/>
        <v>0</v>
      </c>
      <c r="CT10" s="742">
        <f>IFERROR(Feed!H147*Feed!K40,0)</f>
        <v>0</v>
      </c>
      <c r="CU10" s="570">
        <f>IFERROR(Feed!I147*Feed!T40,0)</f>
        <v>0</v>
      </c>
      <c r="CV10" s="570">
        <f>IFERROR(Feed!J147*Feed!AC40,0)</f>
        <v>0</v>
      </c>
      <c r="CW10" s="252">
        <f>VLOOKUP(INPUTS!$D$79,'Crop parameters'!$A$2:$Z$43,4,FALSE)*1000</f>
        <v>0</v>
      </c>
      <c r="CX10" s="490">
        <f>INPUTS!$E$94</f>
        <v>1</v>
      </c>
      <c r="CY10" s="252">
        <f>VLOOKUP(INPUTS!$D$79,'Crop parameters'!$A$2:$Z$43,8,FALSE)*1000</f>
        <v>0</v>
      </c>
      <c r="CZ10" s="490">
        <f>IF(INPUTS!$E$79="Residue",INPUTS!$F$94,0)</f>
        <v>0</v>
      </c>
      <c r="DA10" s="490">
        <f>IFERROR(IF(INPUTS!$E$79="Main",CT10/(CW10*CX10),CT10/(CY10*CZ10)),0)</f>
        <v>0</v>
      </c>
      <c r="DB10" s="490">
        <f>IFERROR(IF(INPUTS!$E$79="Main",CU10/(CW10*CX10),CU10/(CY10*CZ10)),0)</f>
        <v>0</v>
      </c>
      <c r="DC10" s="490">
        <f>IFERROR(IF(INPUTS!$E$79="Main",CV10/(CW10*CX10),CV10/(CY10*CZ10)),0)</f>
        <v>0</v>
      </c>
      <c r="DD10" s="842">
        <f t="shared" si="12"/>
        <v>0</v>
      </c>
      <c r="DE10" s="858">
        <f t="shared" si="13"/>
        <v>0</v>
      </c>
      <c r="DF10" s="858">
        <f t="shared" si="39"/>
        <v>0</v>
      </c>
      <c r="DG10" s="842">
        <f t="shared" si="40"/>
        <v>0</v>
      </c>
      <c r="DH10" s="842">
        <f t="shared" si="41"/>
        <v>0</v>
      </c>
      <c r="DI10" s="490">
        <f t="shared" si="42"/>
        <v>0</v>
      </c>
      <c r="DJ10" s="744">
        <f t="shared" si="43"/>
        <v>0.36159143272145733</v>
      </c>
      <c r="DK10" s="744">
        <f t="shared" si="44"/>
        <v>0.56881038106664861</v>
      </c>
      <c r="DL10" s="744">
        <f t="shared" si="45"/>
        <v>0</v>
      </c>
    </row>
    <row r="11" spans="1:116">
      <c r="A11" s="560" t="str">
        <f>'Livestock parameters'!A7</f>
        <v>Sheep/Goats - Ewes/Does</v>
      </c>
      <c r="B11" s="742">
        <f>IFERROR(Feed!H148*Feed!E47,0)</f>
        <v>0</v>
      </c>
      <c r="C11" s="570">
        <f>IFERROR(Feed!I148*Feed!N47,0)</f>
        <v>0</v>
      </c>
      <c r="D11" s="570">
        <f>IFERROR(Feed!J148*Feed!W47,0)</f>
        <v>0</v>
      </c>
      <c r="E11" s="252">
        <f>VLOOKUP(INPUTS!$D$73,'Crop parameters'!$A$2:$Z$43,4,FALSE)*1000</f>
        <v>0</v>
      </c>
      <c r="F11" s="490">
        <f>INPUTS!$E$88</f>
        <v>1</v>
      </c>
      <c r="G11" s="252">
        <f>VLOOKUP(INPUTS!$D$73,'Crop parameters'!$A$2:$Z$43,8,FALSE)*1000</f>
        <v>0</v>
      </c>
      <c r="H11" s="490">
        <f>IF(INPUTS!$E$73="Residue",INPUTS!$F$88,0)</f>
        <v>0</v>
      </c>
      <c r="I11" s="490">
        <f>IFERROR(IF(INPUTS!$E$73="Main",B11/(E11*F11),B11/(G11*H11)),0)</f>
        <v>0</v>
      </c>
      <c r="J11" s="490">
        <f>IFERROR(IF(INPUTS!$E$73="Main",C11/(E11*F11),C11/(G11*H11)),0)</f>
        <v>0</v>
      </c>
      <c r="K11" s="490">
        <f>IFERROR(IF(INPUTS!$E$73="Main",D11/(E11*F11),D11/(G11*H11)),0)</f>
        <v>0</v>
      </c>
      <c r="L11" s="842">
        <f t="shared" si="0"/>
        <v>0</v>
      </c>
      <c r="M11" s="858">
        <f t="shared" si="1"/>
        <v>0</v>
      </c>
      <c r="N11" s="858">
        <f t="shared" si="15"/>
        <v>0</v>
      </c>
      <c r="O11" s="842">
        <f t="shared" si="16"/>
        <v>0</v>
      </c>
      <c r="P11" s="842">
        <f t="shared" si="17"/>
        <v>0</v>
      </c>
      <c r="Q11" s="842">
        <f t="shared" si="18"/>
        <v>0</v>
      </c>
      <c r="R11" s="742">
        <f>IFERROR(Feed!H148*Feed!F47,0)</f>
        <v>0</v>
      </c>
      <c r="S11" s="570">
        <f>IFERROR(Feed!I148*Feed!O47,0)</f>
        <v>0</v>
      </c>
      <c r="T11" s="570">
        <f>IFERROR(Feed!Z148*Feed!X47,0)</f>
        <v>0</v>
      </c>
      <c r="U11" s="252">
        <f>VLOOKUP(INPUTS!$D$74,'Crop parameters'!$A$2:$Z$43,4,FALSE)*1000</f>
        <v>22050</v>
      </c>
      <c r="V11" s="490">
        <f>INPUTS!$E$89</f>
        <v>1</v>
      </c>
      <c r="W11" s="252">
        <f>VLOOKUP(INPUTS!$D$74,'Crop parameters'!$A$2:$Z$43,8,FALSE)*1000</f>
        <v>0</v>
      </c>
      <c r="X11" s="490">
        <f>IF(INPUTS!$E$74="Residue",INPUTS!$F$89,0)</f>
        <v>0</v>
      </c>
      <c r="Y11" s="490">
        <f>IFERROR(IF(INPUTS!$E$74="Main",R11/(U11*V11),R11/(W11*X11)),0)</f>
        <v>0</v>
      </c>
      <c r="Z11" s="490">
        <f>IFERROR(IF(INPUTS!$E$74="Main",S11/(U11*V11),S11/(W11*X11)),0)</f>
        <v>0</v>
      </c>
      <c r="AA11" s="490">
        <f>IFERROR(IF(INPUTS!$E$74="Main",T11/(U11*V11),T11/(W11*X11)),0)</f>
        <v>0</v>
      </c>
      <c r="AB11" s="842">
        <f t="shared" si="2"/>
        <v>0</v>
      </c>
      <c r="AC11" s="858">
        <f t="shared" si="3"/>
        <v>0</v>
      </c>
      <c r="AD11" s="858">
        <f t="shared" si="19"/>
        <v>0</v>
      </c>
      <c r="AE11" s="842">
        <f t="shared" si="20"/>
        <v>0</v>
      </c>
      <c r="AF11" s="842">
        <f t="shared" si="21"/>
        <v>0</v>
      </c>
      <c r="AG11" s="842">
        <f t="shared" si="22"/>
        <v>0</v>
      </c>
      <c r="AH11" s="742">
        <f>IFERROR(Feed!H148*Feed!G47,0)</f>
        <v>0</v>
      </c>
      <c r="AI11" s="570">
        <f>IFERROR(Feed!I148*Feed!P47,0)</f>
        <v>0</v>
      </c>
      <c r="AJ11" s="570">
        <f>IFERROR(Feed!J148*Feed!Y47,0)</f>
        <v>0</v>
      </c>
      <c r="AK11" s="252">
        <f>VLOOKUP(INPUTS!$D$75,'Crop parameters'!$A$2:$Z$43,4,FALSE)*1000</f>
        <v>13500</v>
      </c>
      <c r="AL11" s="490">
        <f>INPUTS!$E$90</f>
        <v>1</v>
      </c>
      <c r="AM11" s="252">
        <f>VLOOKUP(INPUTS!$D$75,'Crop parameters'!$A$2:$Z$43,8,FALSE)*1000</f>
        <v>0</v>
      </c>
      <c r="AN11" s="490">
        <f>IF(INPUTS!$E$75="Residue",INPUTS!$F$90,0)</f>
        <v>0</v>
      </c>
      <c r="AO11" s="490">
        <f>IFERROR(IF(INPUTS!$E$75="Main",AH11/(AK11*AL11),AH11/(AM11*AN11)),0)</f>
        <v>0</v>
      </c>
      <c r="AP11" s="490">
        <f>IFERROR(IF(INPUTS!$E$75="Main",AI11/(AK11*AL11),AI11/(AM11*AN11)),0)</f>
        <v>0</v>
      </c>
      <c r="AQ11" s="490">
        <f>IFERROR(IF(INPUTS!$E$75="Main",AJ11/(AK11*AL11),AJ11/(AM11*AN11)),0)</f>
        <v>0</v>
      </c>
      <c r="AR11" s="842">
        <f t="shared" si="4"/>
        <v>0</v>
      </c>
      <c r="AS11" s="858">
        <f t="shared" si="5"/>
        <v>0</v>
      </c>
      <c r="AT11" s="858">
        <f t="shared" si="23"/>
        <v>0</v>
      </c>
      <c r="AU11" s="842">
        <f t="shared" si="24"/>
        <v>0</v>
      </c>
      <c r="AV11" s="842">
        <f t="shared" si="25"/>
        <v>0</v>
      </c>
      <c r="AW11" s="842">
        <f t="shared" si="26"/>
        <v>0</v>
      </c>
      <c r="AX11" s="844">
        <f>IFERROR(Feed!H148*Feed!H47,0)</f>
        <v>0</v>
      </c>
      <c r="AY11" s="570">
        <f>IFERROR(Feed!I148*Feed!Q47,0)</f>
        <v>0</v>
      </c>
      <c r="AZ11" s="570">
        <f>IFERROR(Feed!J148*Feed!Z47,0)</f>
        <v>0</v>
      </c>
      <c r="BA11" s="252">
        <f>VLOOKUP(INPUTS!$D$76,'Crop parameters'!$A$2:$Z$43,4,FALSE)*1000</f>
        <v>19800</v>
      </c>
      <c r="BB11" s="490">
        <f>INPUTS!$E$91</f>
        <v>1</v>
      </c>
      <c r="BC11" s="252">
        <f>VLOOKUP(INPUTS!$D$76,'Crop parameters'!$A$2:$Z$43,8,FALSE)*1000</f>
        <v>0</v>
      </c>
      <c r="BD11" s="490">
        <f>IF(INPUTS!$E$76="Residue",INPUTS!$F$91,0)</f>
        <v>0</v>
      </c>
      <c r="BE11" s="490">
        <f>IFERROR(IF(INPUTS!$E$76="Main",AX11/(BA11*BB11),AX11/(BC11*BD11)),0)</f>
        <v>0</v>
      </c>
      <c r="BF11" s="490">
        <f>IFERROR(IF(INPUTS!$E$76="Main",AY11/(BA11*BB11),AY11/(BC11*BD11)),0)</f>
        <v>0</v>
      </c>
      <c r="BG11" s="490">
        <f>IFERROR(IF(INPUTS!$E$76="Main",AZ11/(BA11*BB11),AZ11/(BC11*BD11)),0)</f>
        <v>0</v>
      </c>
      <c r="BH11" s="842">
        <f t="shared" si="6"/>
        <v>0</v>
      </c>
      <c r="BI11" s="858">
        <f t="shared" si="7"/>
        <v>0</v>
      </c>
      <c r="BJ11" s="858">
        <f t="shared" si="27"/>
        <v>0</v>
      </c>
      <c r="BK11" s="842">
        <f t="shared" si="28"/>
        <v>0</v>
      </c>
      <c r="BL11" s="842">
        <f t="shared" si="29"/>
        <v>0</v>
      </c>
      <c r="BM11" s="842">
        <f t="shared" si="30"/>
        <v>0</v>
      </c>
      <c r="BN11" s="742">
        <f>IFERROR(Feed!H148*Feed!I47,0)</f>
        <v>0</v>
      </c>
      <c r="BO11" s="570">
        <f>IFERROR(Feed!I148*Feed!R47,0)</f>
        <v>0</v>
      </c>
      <c r="BP11" s="570">
        <f>IFERROR(Feed!J148*Feed!AA47,0)</f>
        <v>0</v>
      </c>
      <c r="BQ11" s="252">
        <f>VLOOKUP(INPUTS!$D$77,'Crop parameters'!$A$2:$Z$43,4,FALSE)*1000</f>
        <v>1299</v>
      </c>
      <c r="BR11" s="490">
        <f>INPUTS!$E$92</f>
        <v>0.4</v>
      </c>
      <c r="BS11" s="252">
        <f>VLOOKUP(INPUTS!$D$77,'Crop parameters'!$A$2:$Z$43,8,FALSE)*1000</f>
        <v>3582.4421538461534</v>
      </c>
      <c r="BT11" s="490">
        <f>IF(INPUTS!$E$77="Residue",INPUTS!$F$92,0)</f>
        <v>0.6</v>
      </c>
      <c r="BU11" s="490">
        <f>IFERROR(IF(INPUTS!$E$77="Main",BN11/(BQ11*BR11),BN11/(BS11*BT11)),0)</f>
        <v>0</v>
      </c>
      <c r="BV11" s="490">
        <f>IFERROR(IF(INPUTS!$E$77="Main",BO11/(BQ11*BR11),BO11/(BS11*BT11)),0)</f>
        <v>0</v>
      </c>
      <c r="BW11" s="490">
        <f>IFERROR(IF(INPUTS!$E$77="Main",BP11/(BQ11*BR11),BP11/(BS11*BT11)),0)</f>
        <v>0</v>
      </c>
      <c r="BX11" s="842">
        <f t="shared" si="8"/>
        <v>0</v>
      </c>
      <c r="BY11" s="858">
        <f t="shared" si="9"/>
        <v>0</v>
      </c>
      <c r="BZ11" s="858">
        <f t="shared" si="31"/>
        <v>0</v>
      </c>
      <c r="CA11" s="842">
        <f t="shared" si="32"/>
        <v>0</v>
      </c>
      <c r="CB11" s="842">
        <f t="shared" si="33"/>
        <v>0</v>
      </c>
      <c r="CC11" s="842">
        <f t="shared" si="34"/>
        <v>0</v>
      </c>
      <c r="CD11" s="742">
        <f>IFERROR(Feed!H148*Feed!J47,0)</f>
        <v>0</v>
      </c>
      <c r="CE11" s="570">
        <f>IFERROR(Feed!I148*Feed!S47,0)</f>
        <v>0</v>
      </c>
      <c r="CF11" s="570">
        <f>IFERROR(Feed!J148*Feed!AB47,0)</f>
        <v>0</v>
      </c>
      <c r="CG11" s="252">
        <f>VLOOKUP(INPUTS!$D$78,'Crop parameters'!$A$2:$Z$43,4,FALSE)*1000</f>
        <v>13049.999999999998</v>
      </c>
      <c r="CH11" s="490">
        <f>INPUTS!$E$93</f>
        <v>1</v>
      </c>
      <c r="CI11" s="252">
        <f>VLOOKUP(INPUTS!$D$78,'Crop parameters'!$A$2:$Z$43,8,FALSE)*1000</f>
        <v>0</v>
      </c>
      <c r="CJ11" s="490">
        <f>IF(INPUTS!$E$78="Residue",INPUTS!$F$93,0)</f>
        <v>0</v>
      </c>
      <c r="CK11" s="490">
        <f>IFERROR(IF(INPUTS!$E$78="Main",CD11/(CG11*CH11),CD11/(CI11*CJ11)),0)</f>
        <v>0</v>
      </c>
      <c r="CL11" s="490">
        <f>IFERROR(IF(INPUTS!$E$78="Main",CE11/(CG11*CH11),CE11/(CI11*CJ11)),0)</f>
        <v>0</v>
      </c>
      <c r="CM11" s="490">
        <f>IFERROR(IF(INPUTS!$E$78="Main",CF11/(CG11*CH11),CF11/(CI11*CJ11)),0)</f>
        <v>0</v>
      </c>
      <c r="CN11" s="842">
        <f t="shared" si="10"/>
        <v>0</v>
      </c>
      <c r="CO11" s="858">
        <f t="shared" si="11"/>
        <v>0</v>
      </c>
      <c r="CP11" s="858">
        <f t="shared" si="35"/>
        <v>0</v>
      </c>
      <c r="CQ11" s="842">
        <f t="shared" si="36"/>
        <v>0</v>
      </c>
      <c r="CR11" s="842">
        <f t="shared" si="37"/>
        <v>0</v>
      </c>
      <c r="CS11" s="842">
        <f t="shared" si="38"/>
        <v>0</v>
      </c>
      <c r="CT11" s="742">
        <f>IFERROR(Feed!H148*Feed!K47,0)</f>
        <v>0</v>
      </c>
      <c r="CU11" s="570">
        <f>IFERROR(Feed!I148*Feed!T47,0)</f>
        <v>0</v>
      </c>
      <c r="CV11" s="570">
        <f>IFERROR(Feed!J148*Feed!AC47,0)</f>
        <v>0</v>
      </c>
      <c r="CW11" s="252">
        <f>VLOOKUP(INPUTS!$D$79,'Crop parameters'!$A$2:$Z$43,4,FALSE)*1000</f>
        <v>0</v>
      </c>
      <c r="CX11" s="490">
        <f>INPUTS!$E$94</f>
        <v>1</v>
      </c>
      <c r="CY11" s="252">
        <f>VLOOKUP(INPUTS!$D$79,'Crop parameters'!$A$2:$Z$43,8,FALSE)*1000</f>
        <v>0</v>
      </c>
      <c r="CZ11" s="490">
        <f>IF(INPUTS!$E$79="Residue",INPUTS!$F$94,0)</f>
        <v>0</v>
      </c>
      <c r="DA11" s="490">
        <f>IFERROR(IF(INPUTS!$E$79="Main",CT11/(CW11*CX11),CT11/(CY11*CZ11)),0)</f>
        <v>0</v>
      </c>
      <c r="DB11" s="490">
        <f>IFERROR(IF(INPUTS!$E$79="Main",CU11/(CW11*CX11),CU11/(CY11*CZ11)),0)</f>
        <v>0</v>
      </c>
      <c r="DC11" s="490">
        <f>IFERROR(IF(INPUTS!$E$79="Main",CV11/(CW11*CX11),CV11/(CY11*CZ11)),0)</f>
        <v>0</v>
      </c>
      <c r="DD11" s="842">
        <f t="shared" si="12"/>
        <v>0</v>
      </c>
      <c r="DE11" s="858">
        <f t="shared" si="13"/>
        <v>0</v>
      </c>
      <c r="DF11" s="858">
        <f t="shared" si="39"/>
        <v>0</v>
      </c>
      <c r="DG11" s="842">
        <f t="shared" si="40"/>
        <v>0</v>
      </c>
      <c r="DH11" s="842">
        <f t="shared" si="41"/>
        <v>0</v>
      </c>
      <c r="DI11" s="490">
        <f t="shared" si="42"/>
        <v>0</v>
      </c>
      <c r="DJ11" s="744">
        <f t="shared" si="43"/>
        <v>0</v>
      </c>
      <c r="DK11" s="744">
        <f t="shared" si="44"/>
        <v>0</v>
      </c>
      <c r="DL11" s="744">
        <f t="shared" si="45"/>
        <v>0</v>
      </c>
    </row>
    <row r="12" spans="1:116">
      <c r="A12" s="560" t="str">
        <f>'Livestock parameters'!A8</f>
        <v>Pigs - lactating/pregnant sows</v>
      </c>
      <c r="B12" s="742">
        <f>IFERROR(Feed!H149*Feed!E54,0)</f>
        <v>0</v>
      </c>
      <c r="C12" s="570">
        <f>IFERROR(Feed!I149*Feed!N54,0)</f>
        <v>0</v>
      </c>
      <c r="D12" s="570">
        <f>IFERROR(Feed!J149*Feed!W54,0)</f>
        <v>0</v>
      </c>
      <c r="E12" s="252">
        <f>VLOOKUP(INPUTS!$D$73,'Crop parameters'!$A$2:$Z$43,4,FALSE)*1000</f>
        <v>0</v>
      </c>
      <c r="F12" s="490">
        <f>INPUTS!$E$88</f>
        <v>1</v>
      </c>
      <c r="G12" s="252">
        <f>VLOOKUP(INPUTS!$D$73,'Crop parameters'!$A$2:$Z$43,8,FALSE)*1000</f>
        <v>0</v>
      </c>
      <c r="H12" s="490">
        <f>IF(INPUTS!$E$73="Residue",INPUTS!$F$88,0)</f>
        <v>0</v>
      </c>
      <c r="I12" s="490">
        <f>IFERROR(IF(INPUTS!$E$73="Main",B12/(E12*F12),B12/(G12*H12)),0)</f>
        <v>0</v>
      </c>
      <c r="J12" s="490">
        <f>IFERROR(IF(INPUTS!$E$73="Main",C12/(E12*F12),C12/(G12*H12)),0)</f>
        <v>0</v>
      </c>
      <c r="K12" s="490">
        <f>IFERROR(IF(INPUTS!$E$73="Main",D12/(E12*F12),D12/(G12*H12)),0)</f>
        <v>0</v>
      </c>
      <c r="L12" s="842">
        <f t="shared" si="0"/>
        <v>0</v>
      </c>
      <c r="M12" s="858">
        <f t="shared" si="1"/>
        <v>0</v>
      </c>
      <c r="N12" s="858">
        <f t="shared" si="15"/>
        <v>0</v>
      </c>
      <c r="O12" s="842">
        <f t="shared" si="16"/>
        <v>0</v>
      </c>
      <c r="P12" s="842">
        <f t="shared" si="17"/>
        <v>0</v>
      </c>
      <c r="Q12" s="842">
        <f t="shared" si="18"/>
        <v>0</v>
      </c>
      <c r="R12" s="742">
        <f>IFERROR(Feed!H149*Feed!F54,0)</f>
        <v>0</v>
      </c>
      <c r="S12" s="570">
        <f>IFERROR(Feed!I149*Feed!O54,0)</f>
        <v>0</v>
      </c>
      <c r="T12" s="570">
        <f>IFERROR(Feed!Z149*Feed!X54,0)</f>
        <v>0</v>
      </c>
      <c r="U12" s="252">
        <f>VLOOKUP(INPUTS!$D$74,'Crop parameters'!$A$2:$Z$43,4,FALSE)*1000</f>
        <v>22050</v>
      </c>
      <c r="V12" s="490">
        <f>INPUTS!$E$89</f>
        <v>1</v>
      </c>
      <c r="W12" s="252">
        <f>VLOOKUP(INPUTS!$D$74,'Crop parameters'!$A$2:$Z$43,8,FALSE)*1000</f>
        <v>0</v>
      </c>
      <c r="X12" s="490">
        <f>IF(INPUTS!$E$74="Residue",INPUTS!$F$89,0)</f>
        <v>0</v>
      </c>
      <c r="Y12" s="490">
        <f>IFERROR(IF(INPUTS!$E$74="Main",R12/(U12*V12),R12/(W12*X12)),0)</f>
        <v>0</v>
      </c>
      <c r="Z12" s="490">
        <f>IFERROR(IF(INPUTS!$E$74="Main",S12/(U12*V12),S12/(W12*X12)),0)</f>
        <v>0</v>
      </c>
      <c r="AA12" s="490">
        <f>IFERROR(IF(INPUTS!$E$74="Main",T12/(U12*V12),T12/(W12*X12)),0)</f>
        <v>0</v>
      </c>
      <c r="AB12" s="842">
        <f t="shared" si="2"/>
        <v>0</v>
      </c>
      <c r="AC12" s="858">
        <f t="shared" si="3"/>
        <v>0</v>
      </c>
      <c r="AD12" s="858">
        <f t="shared" si="19"/>
        <v>0</v>
      </c>
      <c r="AE12" s="842">
        <f t="shared" si="20"/>
        <v>0</v>
      </c>
      <c r="AF12" s="842">
        <f t="shared" si="21"/>
        <v>0</v>
      </c>
      <c r="AG12" s="842">
        <f t="shared" si="22"/>
        <v>0</v>
      </c>
      <c r="AH12" s="742">
        <f>IFERROR(Feed!H149*Feed!G54,0)</f>
        <v>0</v>
      </c>
      <c r="AI12" s="570">
        <f>IFERROR(Feed!I149*Feed!P54,0)</f>
        <v>0</v>
      </c>
      <c r="AJ12" s="570">
        <f>IFERROR(Feed!J149*Feed!Y54,0)</f>
        <v>0</v>
      </c>
      <c r="AK12" s="252">
        <f>VLOOKUP(INPUTS!$D$75,'Crop parameters'!$A$2:$Z$43,4,FALSE)*1000</f>
        <v>13500</v>
      </c>
      <c r="AL12" s="490">
        <f>INPUTS!$E$90</f>
        <v>1</v>
      </c>
      <c r="AM12" s="252">
        <f>VLOOKUP(INPUTS!$D$75,'Crop parameters'!$A$2:$Z$43,8,FALSE)*1000</f>
        <v>0</v>
      </c>
      <c r="AN12" s="490">
        <f>IF(INPUTS!$E$75="Residue",INPUTS!$F$90,0)</f>
        <v>0</v>
      </c>
      <c r="AO12" s="490">
        <f>IFERROR(IF(INPUTS!$E$75="Main",AH12/(AK12*AL12),AH12/(AM12*AN12)),0)</f>
        <v>0</v>
      </c>
      <c r="AP12" s="490">
        <f>IFERROR(IF(INPUTS!$E$75="Main",AI12/(AK12*AL12),AI12/(AM12*AN12)),0)</f>
        <v>0</v>
      </c>
      <c r="AQ12" s="490">
        <f>IFERROR(IF(INPUTS!$E$75="Main",AJ12/(AK12*AL12),AJ12/(AM12*AN12)),0)</f>
        <v>0</v>
      </c>
      <c r="AR12" s="842">
        <f t="shared" si="4"/>
        <v>0</v>
      </c>
      <c r="AS12" s="858">
        <f t="shared" si="5"/>
        <v>0</v>
      </c>
      <c r="AT12" s="858">
        <f t="shared" si="23"/>
        <v>0</v>
      </c>
      <c r="AU12" s="842">
        <f t="shared" si="24"/>
        <v>0</v>
      </c>
      <c r="AV12" s="842">
        <f t="shared" si="25"/>
        <v>0</v>
      </c>
      <c r="AW12" s="842">
        <f t="shared" si="26"/>
        <v>0</v>
      </c>
      <c r="AX12" s="844">
        <f>IFERROR(Feed!H149*Feed!H54,0)</f>
        <v>0</v>
      </c>
      <c r="AY12" s="570">
        <f>IFERROR(Feed!I149*Feed!Q54,0)</f>
        <v>0</v>
      </c>
      <c r="AZ12" s="570">
        <f>IFERROR(Feed!J149*Feed!Z54,0)</f>
        <v>0</v>
      </c>
      <c r="BA12" s="252">
        <f>VLOOKUP(INPUTS!$D$76,'Crop parameters'!$A$2:$Z$43,4,FALSE)*1000</f>
        <v>19800</v>
      </c>
      <c r="BB12" s="490">
        <f>INPUTS!$E$91</f>
        <v>1</v>
      </c>
      <c r="BC12" s="252">
        <f>VLOOKUP(INPUTS!$D$76,'Crop parameters'!$A$2:$Z$43,8,FALSE)*1000</f>
        <v>0</v>
      </c>
      <c r="BD12" s="490">
        <f>IF(INPUTS!$E$76="Residue",INPUTS!$F$91,0)</f>
        <v>0</v>
      </c>
      <c r="BE12" s="490">
        <f>IFERROR(IF(INPUTS!$E$76="Main",AX12/(BA12*BB12),AX12/(BC12*BD12)),0)</f>
        <v>0</v>
      </c>
      <c r="BF12" s="490">
        <f>IFERROR(IF(INPUTS!$E$76="Main",AY12/(BA12*BB12),AY12/(BC12*BD12)),0)</f>
        <v>0</v>
      </c>
      <c r="BG12" s="490">
        <f>IFERROR(IF(INPUTS!$E$76="Main",AZ12/(BA12*BB12),AZ12/(BC12*BD12)),0)</f>
        <v>0</v>
      </c>
      <c r="BH12" s="842">
        <f t="shared" si="6"/>
        <v>0</v>
      </c>
      <c r="BI12" s="858">
        <f t="shared" si="7"/>
        <v>0</v>
      </c>
      <c r="BJ12" s="858">
        <f t="shared" si="27"/>
        <v>0</v>
      </c>
      <c r="BK12" s="842">
        <f t="shared" si="28"/>
        <v>0</v>
      </c>
      <c r="BL12" s="842">
        <f t="shared" si="29"/>
        <v>0</v>
      </c>
      <c r="BM12" s="842">
        <f t="shared" si="30"/>
        <v>0</v>
      </c>
      <c r="BN12" s="742">
        <f>IFERROR(Feed!H149*Feed!I54,0)</f>
        <v>0</v>
      </c>
      <c r="BO12" s="570">
        <f>IFERROR(Feed!I149*Feed!R54,0)</f>
        <v>0</v>
      </c>
      <c r="BP12" s="570">
        <f>IFERROR(Feed!J149*Feed!AA54,0)</f>
        <v>0</v>
      </c>
      <c r="BQ12" s="252">
        <f>VLOOKUP(INPUTS!$D$77,'Crop parameters'!$A$2:$Z$43,4,FALSE)*1000</f>
        <v>1299</v>
      </c>
      <c r="BR12" s="490">
        <f>INPUTS!$E$92</f>
        <v>0.4</v>
      </c>
      <c r="BS12" s="252">
        <f>VLOOKUP(INPUTS!$D$77,'Crop parameters'!$A$2:$Z$43,8,FALSE)*1000</f>
        <v>3582.4421538461534</v>
      </c>
      <c r="BT12" s="490">
        <f>IF(INPUTS!$E$77="Residue",INPUTS!$F$92,0)</f>
        <v>0.6</v>
      </c>
      <c r="BU12" s="490">
        <f>IFERROR(IF(INPUTS!$E$77="Main",BN12/(BQ12*BR12),BN12/(BS12*BT12)),0)</f>
        <v>0</v>
      </c>
      <c r="BV12" s="490">
        <f>IFERROR(IF(INPUTS!$E$77="Main",BO12/(BQ12*BR12),BO12/(BS12*BT12)),0)</f>
        <v>0</v>
      </c>
      <c r="BW12" s="490">
        <f>IFERROR(IF(INPUTS!$E$77="Main",BP12/(BQ12*BR12),BP12/(BS12*BT12)),0)</f>
        <v>0</v>
      </c>
      <c r="BX12" s="842">
        <f t="shared" si="8"/>
        <v>0</v>
      </c>
      <c r="BY12" s="858">
        <f t="shared" si="9"/>
        <v>0</v>
      </c>
      <c r="BZ12" s="858">
        <f t="shared" si="31"/>
        <v>0</v>
      </c>
      <c r="CA12" s="842">
        <f t="shared" si="32"/>
        <v>0</v>
      </c>
      <c r="CB12" s="842">
        <f t="shared" si="33"/>
        <v>0</v>
      </c>
      <c r="CC12" s="842">
        <f t="shared" si="34"/>
        <v>0</v>
      </c>
      <c r="CD12" s="742">
        <f>IFERROR(Feed!H149*Feed!J54,0)</f>
        <v>0</v>
      </c>
      <c r="CE12" s="570">
        <f>IFERROR(Feed!I149*Feed!S54,0)</f>
        <v>0</v>
      </c>
      <c r="CF12" s="570">
        <f>IFERROR(Feed!J149*Feed!AB54,0)</f>
        <v>0</v>
      </c>
      <c r="CG12" s="252">
        <f>VLOOKUP(INPUTS!$D$78,'Crop parameters'!$A$2:$Z$43,4,FALSE)*1000</f>
        <v>13049.999999999998</v>
      </c>
      <c r="CH12" s="490">
        <f>INPUTS!$E$93</f>
        <v>1</v>
      </c>
      <c r="CI12" s="252">
        <f>VLOOKUP(INPUTS!$D$78,'Crop parameters'!$A$2:$Z$43,8,FALSE)*1000</f>
        <v>0</v>
      </c>
      <c r="CJ12" s="490">
        <f>IF(INPUTS!$E$78="Residue",INPUTS!$F$93,0)</f>
        <v>0</v>
      </c>
      <c r="CK12" s="490">
        <f>IFERROR(IF(INPUTS!$E$78="Main",CD12/(CG12*CH12),CD12/(CI12*CJ12)),0)</f>
        <v>0</v>
      </c>
      <c r="CL12" s="490">
        <f>IFERROR(IF(INPUTS!$E$78="Main",CE12/(CG12*CH12),CE12/(CI12*CJ12)),0)</f>
        <v>0</v>
      </c>
      <c r="CM12" s="490">
        <f>IFERROR(IF(INPUTS!$E$78="Main",CF12/(CG12*CH12),CF12/(CI12*CJ12)),0)</f>
        <v>0</v>
      </c>
      <c r="CN12" s="842">
        <f t="shared" si="10"/>
        <v>0</v>
      </c>
      <c r="CO12" s="858">
        <f t="shared" si="11"/>
        <v>0</v>
      </c>
      <c r="CP12" s="858">
        <f t="shared" si="35"/>
        <v>0</v>
      </c>
      <c r="CQ12" s="842">
        <f t="shared" si="36"/>
        <v>0</v>
      </c>
      <c r="CR12" s="842">
        <f t="shared" si="37"/>
        <v>0</v>
      </c>
      <c r="CS12" s="842">
        <f t="shared" si="38"/>
        <v>0</v>
      </c>
      <c r="CT12" s="742">
        <f>IFERROR(Feed!H149*Feed!K54,0)</f>
        <v>0</v>
      </c>
      <c r="CU12" s="570">
        <f>IFERROR(Feed!I149*Feed!T54,0)</f>
        <v>0</v>
      </c>
      <c r="CV12" s="570">
        <f>IFERROR(Feed!J149*Feed!AC54,0)</f>
        <v>0</v>
      </c>
      <c r="CW12" s="252">
        <f>VLOOKUP(INPUTS!$D$79,'Crop parameters'!$A$2:$Z$43,4,FALSE)*1000</f>
        <v>0</v>
      </c>
      <c r="CX12" s="490">
        <f>INPUTS!$E$94</f>
        <v>1</v>
      </c>
      <c r="CY12" s="252">
        <f>VLOOKUP(INPUTS!$D$79,'Crop parameters'!$A$2:$Z$43,8,FALSE)*1000</f>
        <v>0</v>
      </c>
      <c r="CZ12" s="490">
        <f>IF(INPUTS!$E$79="Residue",INPUTS!$F$94,0)</f>
        <v>0</v>
      </c>
      <c r="DA12" s="490">
        <f>IFERROR(IF(INPUTS!$E$79="Main",CT12/(CW12*CX12),CT12/(CY12*CZ12)),0)</f>
        <v>0</v>
      </c>
      <c r="DB12" s="490">
        <f>IFERROR(IF(INPUTS!$E$79="Main",CU12/(CW12*CX12),CU12/(CY12*CZ12)),0)</f>
        <v>0</v>
      </c>
      <c r="DC12" s="490">
        <f>IFERROR(IF(INPUTS!$E$79="Main",CV12/(CW12*CX12),CV12/(CY12*CZ12)),0)</f>
        <v>0</v>
      </c>
      <c r="DD12" s="842">
        <f t="shared" si="12"/>
        <v>0</v>
      </c>
      <c r="DE12" s="858">
        <f t="shared" si="13"/>
        <v>0</v>
      </c>
      <c r="DF12" s="858">
        <f t="shared" si="39"/>
        <v>0</v>
      </c>
      <c r="DG12" s="842">
        <f t="shared" si="40"/>
        <v>0</v>
      </c>
      <c r="DH12" s="842">
        <f t="shared" si="41"/>
        <v>0</v>
      </c>
      <c r="DI12" s="490">
        <f t="shared" si="42"/>
        <v>0</v>
      </c>
      <c r="DJ12" s="744">
        <f t="shared" si="43"/>
        <v>0</v>
      </c>
      <c r="DK12" s="744">
        <f t="shared" si="44"/>
        <v>0</v>
      </c>
      <c r="DL12" s="744">
        <f t="shared" si="45"/>
        <v>0</v>
      </c>
    </row>
    <row r="13" spans="1:116">
      <c r="A13" s="560" t="str">
        <f>'Livestock parameters'!A9</f>
        <v>Calves</v>
      </c>
      <c r="B13" s="742">
        <f>IFERROR(Feed!H150*Feed!E61,0)</f>
        <v>0</v>
      </c>
      <c r="C13" s="570">
        <f>IFERROR(Feed!I150*Feed!N61,0)</f>
        <v>0</v>
      </c>
      <c r="D13" s="570">
        <f>IFERROR(Feed!J150*Feed!W61,0)</f>
        <v>0</v>
      </c>
      <c r="E13" s="252">
        <f>VLOOKUP(INPUTS!$D$73,'Crop parameters'!$A$2:$Z$43,4,FALSE)*1000</f>
        <v>0</v>
      </c>
      <c r="F13" s="490">
        <f>INPUTS!$E$88</f>
        <v>1</v>
      </c>
      <c r="G13" s="252">
        <f>VLOOKUP(INPUTS!$D$73,'Crop parameters'!$A$2:$Z$43,8,FALSE)*1000</f>
        <v>0</v>
      </c>
      <c r="H13" s="490">
        <f>IF(INPUTS!$E$73="Residue",INPUTS!$F$88,0)</f>
        <v>0</v>
      </c>
      <c r="I13" s="490">
        <f>IFERROR(IF(INPUTS!$E$73="Main",B13/(E13*F13),B13/(G13*H13)),0)</f>
        <v>0</v>
      </c>
      <c r="J13" s="490">
        <f>IFERROR(IF(INPUTS!$E$73="Main",C13/(E13*F13),C13/(G13*H13)),0)</f>
        <v>0</v>
      </c>
      <c r="K13" s="490">
        <f>IFERROR(IF(INPUTS!$E$73="Main",D13/(E13*F13),D13/(G13*H13)),0)</f>
        <v>0</v>
      </c>
      <c r="L13" s="842">
        <f t="shared" si="0"/>
        <v>0</v>
      </c>
      <c r="M13" s="858">
        <f t="shared" si="1"/>
        <v>0</v>
      </c>
      <c r="N13" s="858">
        <f t="shared" si="15"/>
        <v>0</v>
      </c>
      <c r="O13" s="842">
        <f t="shared" si="16"/>
        <v>0</v>
      </c>
      <c r="P13" s="842">
        <f t="shared" si="17"/>
        <v>0</v>
      </c>
      <c r="Q13" s="842">
        <f t="shared" si="18"/>
        <v>0</v>
      </c>
      <c r="R13" s="742">
        <f>IFERROR(Feed!H150*Feed!F61,0)</f>
        <v>0</v>
      </c>
      <c r="S13" s="570">
        <f>IFERROR(Feed!I150*Feed!O61,0)</f>
        <v>0</v>
      </c>
      <c r="T13" s="570">
        <f>IFERROR(Feed!Z150*Feed!X61,0)</f>
        <v>0</v>
      </c>
      <c r="U13" s="252">
        <f>VLOOKUP(INPUTS!$D$74,'Crop parameters'!$A$2:$Z$43,4,FALSE)*1000</f>
        <v>22050</v>
      </c>
      <c r="V13" s="490">
        <f>INPUTS!$E$89</f>
        <v>1</v>
      </c>
      <c r="W13" s="252">
        <f>VLOOKUP(INPUTS!$D$74,'Crop parameters'!$A$2:$Z$43,8,FALSE)*1000</f>
        <v>0</v>
      </c>
      <c r="X13" s="490">
        <f>IF(INPUTS!$E$74="Residue",INPUTS!$F$89,0)</f>
        <v>0</v>
      </c>
      <c r="Y13" s="490">
        <f>IFERROR(IF(INPUTS!$E$74="Main",R13/(U13*V13),R13/(W13*X13)),0)</f>
        <v>0</v>
      </c>
      <c r="Z13" s="490">
        <f>IFERROR(IF(INPUTS!$E$74="Main",S13/(U13*V13),S13/(W13*X13)),0)</f>
        <v>0</v>
      </c>
      <c r="AA13" s="490">
        <f>IFERROR(IF(INPUTS!$E$74="Main",T13/(U13*V13),T13/(W13*X13)),0)</f>
        <v>0</v>
      </c>
      <c r="AB13" s="842">
        <f t="shared" si="2"/>
        <v>0</v>
      </c>
      <c r="AC13" s="858">
        <f t="shared" si="3"/>
        <v>0</v>
      </c>
      <c r="AD13" s="858">
        <f t="shared" si="19"/>
        <v>0</v>
      </c>
      <c r="AE13" s="842">
        <f t="shared" si="20"/>
        <v>0</v>
      </c>
      <c r="AF13" s="842">
        <f t="shared" si="21"/>
        <v>0</v>
      </c>
      <c r="AG13" s="842">
        <f t="shared" si="22"/>
        <v>0</v>
      </c>
      <c r="AH13" s="742">
        <f>IFERROR(Feed!H150*Feed!G61,0)</f>
        <v>0</v>
      </c>
      <c r="AI13" s="570">
        <f>IFERROR(Feed!I150*Feed!P61,0)</f>
        <v>0</v>
      </c>
      <c r="AJ13" s="570">
        <f>IFERROR(Feed!J150*Feed!Y61,0)</f>
        <v>0</v>
      </c>
      <c r="AK13" s="252">
        <f>VLOOKUP(INPUTS!$D$75,'Crop parameters'!$A$2:$Z$43,4,FALSE)*1000</f>
        <v>13500</v>
      </c>
      <c r="AL13" s="490">
        <f>INPUTS!$E$90</f>
        <v>1</v>
      </c>
      <c r="AM13" s="252">
        <f>VLOOKUP(INPUTS!$D$75,'Crop parameters'!$A$2:$Z$43,8,FALSE)*1000</f>
        <v>0</v>
      </c>
      <c r="AN13" s="490">
        <f>IF(INPUTS!$E$75="Residue",INPUTS!$F$90,0)</f>
        <v>0</v>
      </c>
      <c r="AO13" s="490">
        <f>IFERROR(IF(INPUTS!$E$75="Main",AH13/(AK13*AL13),AH13/(AM13*AN13)),0)</f>
        <v>0</v>
      </c>
      <c r="AP13" s="490">
        <f>IFERROR(IF(INPUTS!$E$75="Main",AI13/(AK13*AL13),AI13/(AM13*AN13)),0)</f>
        <v>0</v>
      </c>
      <c r="AQ13" s="490">
        <f>IFERROR(IF(INPUTS!$E$75="Main",AJ13/(AK13*AL13),AJ13/(AM13*AN13)),0)</f>
        <v>0</v>
      </c>
      <c r="AR13" s="842">
        <f t="shared" si="4"/>
        <v>0</v>
      </c>
      <c r="AS13" s="858">
        <f t="shared" si="5"/>
        <v>0</v>
      </c>
      <c r="AT13" s="858">
        <f t="shared" si="23"/>
        <v>0</v>
      </c>
      <c r="AU13" s="842">
        <f t="shared" si="24"/>
        <v>0</v>
      </c>
      <c r="AV13" s="842">
        <f t="shared" si="25"/>
        <v>0</v>
      </c>
      <c r="AW13" s="842">
        <f t="shared" si="26"/>
        <v>0</v>
      </c>
      <c r="AX13" s="844">
        <f>IFERROR(Feed!H150*Feed!H61,0)</f>
        <v>0</v>
      </c>
      <c r="AY13" s="570">
        <f>IFERROR(Feed!I150*Feed!Q61,0)</f>
        <v>0</v>
      </c>
      <c r="AZ13" s="570">
        <f>IFERROR(Feed!J150*Feed!Z61,0)</f>
        <v>0</v>
      </c>
      <c r="BA13" s="252">
        <f>VLOOKUP(INPUTS!$D$76,'Crop parameters'!$A$2:$Z$43,4,FALSE)*1000</f>
        <v>19800</v>
      </c>
      <c r="BB13" s="490">
        <f>INPUTS!$E$91</f>
        <v>1</v>
      </c>
      <c r="BC13" s="252">
        <f>VLOOKUP(INPUTS!$D$76,'Crop parameters'!$A$2:$Z$43,8,FALSE)*1000</f>
        <v>0</v>
      </c>
      <c r="BD13" s="490">
        <f>IF(INPUTS!$E$76="Residue",INPUTS!$F$91,0)</f>
        <v>0</v>
      </c>
      <c r="BE13" s="490">
        <f>IFERROR(IF(INPUTS!$E$76="Main",AX13/(BA13*BB13),AX13/(BC13*BD13)),0)</f>
        <v>0</v>
      </c>
      <c r="BF13" s="490">
        <f>IFERROR(IF(INPUTS!$E$76="Main",AY13/(BA13*BB13),AY13/(BC13*BD13)),0)</f>
        <v>0</v>
      </c>
      <c r="BG13" s="490">
        <f>IFERROR(IF(INPUTS!$E$76="Main",AZ13/(BA13*BB13),AZ13/(BC13*BD13)),0)</f>
        <v>0</v>
      </c>
      <c r="BH13" s="842">
        <f t="shared" si="6"/>
        <v>0</v>
      </c>
      <c r="BI13" s="858">
        <f t="shared" si="7"/>
        <v>0</v>
      </c>
      <c r="BJ13" s="858">
        <f t="shared" si="27"/>
        <v>0</v>
      </c>
      <c r="BK13" s="842">
        <f t="shared" si="28"/>
        <v>0</v>
      </c>
      <c r="BL13" s="842">
        <f t="shared" si="29"/>
        <v>0</v>
      </c>
      <c r="BM13" s="842">
        <f t="shared" si="30"/>
        <v>0</v>
      </c>
      <c r="BN13" s="742">
        <f>IFERROR(Feed!H150*Feed!I61,0)</f>
        <v>0</v>
      </c>
      <c r="BO13" s="570">
        <f>IFERROR(Feed!I150*Feed!R61,0)</f>
        <v>0</v>
      </c>
      <c r="BP13" s="570">
        <f>IFERROR(Feed!J150*Feed!AA61,0)</f>
        <v>0</v>
      </c>
      <c r="BQ13" s="252">
        <f>VLOOKUP(INPUTS!$D$77,'Crop parameters'!$A$2:$Z$43,4,FALSE)*1000</f>
        <v>1299</v>
      </c>
      <c r="BR13" s="490">
        <f>INPUTS!$E$92</f>
        <v>0.4</v>
      </c>
      <c r="BS13" s="252">
        <f>VLOOKUP(INPUTS!$D$77,'Crop parameters'!$A$2:$Z$43,8,FALSE)*1000</f>
        <v>3582.4421538461534</v>
      </c>
      <c r="BT13" s="490">
        <f>IF(INPUTS!$E$77="Residue",INPUTS!$F$92,0)</f>
        <v>0.6</v>
      </c>
      <c r="BU13" s="490">
        <f>IFERROR(IF(INPUTS!$E$77="Main",BN13/(BQ13*BR13),BN13/(BS13*BT13)),0)</f>
        <v>0</v>
      </c>
      <c r="BV13" s="490">
        <f>IFERROR(IF(INPUTS!$E$77="Main",BO13/(BQ13*BR13),BO13/(BS13*BT13)),0)</f>
        <v>0</v>
      </c>
      <c r="BW13" s="490">
        <f>IFERROR(IF(INPUTS!$E$77="Main",BP13/(BQ13*BR13),BP13/(BS13*BT13)),0)</f>
        <v>0</v>
      </c>
      <c r="BX13" s="842">
        <f t="shared" si="8"/>
        <v>0</v>
      </c>
      <c r="BY13" s="858">
        <f t="shared" si="9"/>
        <v>0</v>
      </c>
      <c r="BZ13" s="858">
        <f t="shared" si="31"/>
        <v>0</v>
      </c>
      <c r="CA13" s="842">
        <f t="shared" si="32"/>
        <v>0</v>
      </c>
      <c r="CB13" s="842">
        <f t="shared" si="33"/>
        <v>0</v>
      </c>
      <c r="CC13" s="842">
        <f t="shared" si="34"/>
        <v>0</v>
      </c>
      <c r="CD13" s="742">
        <f>IFERROR(Feed!H150*Feed!J61,0)</f>
        <v>0</v>
      </c>
      <c r="CE13" s="570">
        <f>IFERROR(Feed!I150*Feed!S61,0)</f>
        <v>0</v>
      </c>
      <c r="CF13" s="570">
        <f>IFERROR(Feed!J150*Feed!AB61,0)</f>
        <v>0</v>
      </c>
      <c r="CG13" s="252">
        <f>VLOOKUP(INPUTS!$D$78,'Crop parameters'!$A$2:$Z$43,4,FALSE)*1000</f>
        <v>13049.999999999998</v>
      </c>
      <c r="CH13" s="490">
        <f>INPUTS!$E$93</f>
        <v>1</v>
      </c>
      <c r="CI13" s="252">
        <f>VLOOKUP(INPUTS!$D$78,'Crop parameters'!$A$2:$Z$43,8,FALSE)*1000</f>
        <v>0</v>
      </c>
      <c r="CJ13" s="490">
        <f>IF(INPUTS!$E$78="Residue",INPUTS!$F$93,0)</f>
        <v>0</v>
      </c>
      <c r="CK13" s="490">
        <f>IFERROR(IF(INPUTS!$E$78="Main",CD13/(CG13*CH13),CD13/(CI13*CJ13)),0)</f>
        <v>0</v>
      </c>
      <c r="CL13" s="490">
        <f>IFERROR(IF(INPUTS!$E$78="Main",CE13/(CG13*CH13),CE13/(CI13*CJ13)),0)</f>
        <v>0</v>
      </c>
      <c r="CM13" s="490">
        <f>IFERROR(IF(INPUTS!$E$78="Main",CF13/(CG13*CH13),CF13/(CI13*CJ13)),0)</f>
        <v>0</v>
      </c>
      <c r="CN13" s="842">
        <f t="shared" si="10"/>
        <v>0</v>
      </c>
      <c r="CO13" s="858">
        <f t="shared" si="11"/>
        <v>0</v>
      </c>
      <c r="CP13" s="858">
        <f t="shared" si="35"/>
        <v>0</v>
      </c>
      <c r="CQ13" s="842">
        <f t="shared" si="36"/>
        <v>0</v>
      </c>
      <c r="CR13" s="842">
        <f t="shared" si="37"/>
        <v>0</v>
      </c>
      <c r="CS13" s="842">
        <f t="shared" si="38"/>
        <v>0</v>
      </c>
      <c r="CT13" s="742">
        <f>IFERROR(Feed!H150*Feed!K61,0)</f>
        <v>0</v>
      </c>
      <c r="CU13" s="570">
        <f>IFERROR(Feed!I150*Feed!T61,0)</f>
        <v>0</v>
      </c>
      <c r="CV13" s="570">
        <f>IFERROR(Feed!J150*Feed!AC61,0)</f>
        <v>0</v>
      </c>
      <c r="CW13" s="252">
        <f>VLOOKUP(INPUTS!$D$79,'Crop parameters'!$A$2:$Z$43,4,FALSE)*1000</f>
        <v>0</v>
      </c>
      <c r="CX13" s="490">
        <f>INPUTS!$E$94</f>
        <v>1</v>
      </c>
      <c r="CY13" s="252">
        <f>VLOOKUP(INPUTS!$D$79,'Crop parameters'!$A$2:$Z$43,8,FALSE)*1000</f>
        <v>0</v>
      </c>
      <c r="CZ13" s="490">
        <f>IF(INPUTS!$E$79="Residue",INPUTS!$F$94,0)</f>
        <v>0</v>
      </c>
      <c r="DA13" s="490">
        <f>IFERROR(IF(INPUTS!$E$79="Main",CT13/(CW13*CX13),CT13/(CY13*CZ13)),0)</f>
        <v>0</v>
      </c>
      <c r="DB13" s="490">
        <f>IFERROR(IF(INPUTS!$E$79="Main",CU13/(CW13*CX13),CU13/(CY13*CZ13)),0)</f>
        <v>0</v>
      </c>
      <c r="DC13" s="490">
        <f>IFERROR(IF(INPUTS!$E$79="Main",CV13/(CW13*CX13),CV13/(CY13*CZ13)),0)</f>
        <v>0</v>
      </c>
      <c r="DD13" s="842">
        <f t="shared" si="12"/>
        <v>0</v>
      </c>
      <c r="DE13" s="858">
        <f t="shared" si="13"/>
        <v>0</v>
      </c>
      <c r="DF13" s="858">
        <f t="shared" si="39"/>
        <v>0</v>
      </c>
      <c r="DG13" s="842">
        <f t="shared" si="40"/>
        <v>0</v>
      </c>
      <c r="DH13" s="842">
        <f t="shared" si="41"/>
        <v>0</v>
      </c>
      <c r="DI13" s="490">
        <f t="shared" si="42"/>
        <v>0</v>
      </c>
      <c r="DJ13" s="744">
        <f t="shared" si="43"/>
        <v>0</v>
      </c>
      <c r="DK13" s="744">
        <f t="shared" si="44"/>
        <v>0</v>
      </c>
      <c r="DL13" s="744">
        <f t="shared" si="45"/>
        <v>0</v>
      </c>
    </row>
    <row r="14" spans="1:116">
      <c r="A14" s="560">
        <f>'Livestock parameters'!A10</f>
        <v>0</v>
      </c>
      <c r="B14" s="742">
        <f>IFERROR(Feed!H151*Feed!E68,0)</f>
        <v>0</v>
      </c>
      <c r="C14" s="570">
        <f>IFERROR(Feed!I151*Feed!N68,0)</f>
        <v>0</v>
      </c>
      <c r="D14" s="570">
        <f>IFERROR(Feed!J151*Feed!W68,0)</f>
        <v>0</v>
      </c>
      <c r="E14" s="252">
        <f>VLOOKUP(INPUTS!$D$73,'Crop parameters'!$A$2:$Z$43,4,FALSE)*1000</f>
        <v>0</v>
      </c>
      <c r="F14" s="490">
        <f>INPUTS!$E$88</f>
        <v>1</v>
      </c>
      <c r="G14" s="252">
        <f>VLOOKUP(INPUTS!$D$73,'Crop parameters'!$A$2:$Z$43,8,FALSE)*1000</f>
        <v>0</v>
      </c>
      <c r="H14" s="490">
        <f>IF(INPUTS!$E$73="Residue",INPUTS!$F$88,0)</f>
        <v>0</v>
      </c>
      <c r="I14" s="490">
        <f>IFERROR(IF(INPUTS!$E$73="Main",B14/(E14*F14),B14/(G14*H14)),0)</f>
        <v>0</v>
      </c>
      <c r="J14" s="490">
        <f>IFERROR(IF(INPUTS!$E$73="Main",C14/(E14*F14),C14/(G14*H14)),0)</f>
        <v>0</v>
      </c>
      <c r="K14" s="490">
        <f>IFERROR(IF(INPUTS!$E$73="Main",D14/(E14*F14),D14/(G14*H14)),0)</f>
        <v>0</v>
      </c>
      <c r="L14" s="842">
        <f t="shared" si="0"/>
        <v>0</v>
      </c>
      <c r="M14" s="858">
        <f t="shared" si="1"/>
        <v>0</v>
      </c>
      <c r="N14" s="858">
        <f t="shared" si="15"/>
        <v>0</v>
      </c>
      <c r="O14" s="842">
        <f t="shared" si="16"/>
        <v>0</v>
      </c>
      <c r="P14" s="842">
        <f t="shared" si="17"/>
        <v>0</v>
      </c>
      <c r="Q14" s="842">
        <f t="shared" si="18"/>
        <v>0</v>
      </c>
      <c r="R14" s="742">
        <f>IFERROR(Feed!H151*Feed!F68,0)</f>
        <v>0</v>
      </c>
      <c r="S14" s="570">
        <f>IFERROR(Feed!I151*Feed!O68,0)</f>
        <v>0</v>
      </c>
      <c r="T14" s="570">
        <f>IFERROR(Feed!Z151*Feed!X68,0)</f>
        <v>0</v>
      </c>
      <c r="U14" s="252">
        <f>VLOOKUP(INPUTS!$D$74,'Crop parameters'!$A$2:$Z$43,4,FALSE)*1000</f>
        <v>22050</v>
      </c>
      <c r="V14" s="490">
        <f>INPUTS!$E$89</f>
        <v>1</v>
      </c>
      <c r="W14" s="252">
        <f>VLOOKUP(INPUTS!$D$74,'Crop parameters'!$A$2:$Z$43,8,FALSE)*1000</f>
        <v>0</v>
      </c>
      <c r="X14" s="490">
        <f>IF(INPUTS!$E$74="Residue",INPUTS!$F$89,0)</f>
        <v>0</v>
      </c>
      <c r="Y14" s="490">
        <f>IFERROR(IF(INPUTS!$E$74="Main",R14/(U14*V14),R14/(W14*X14)),0)</f>
        <v>0</v>
      </c>
      <c r="Z14" s="490">
        <f>IFERROR(IF(INPUTS!$E$74="Main",S14/(U14*V14),S14/(W14*X14)),0)</f>
        <v>0</v>
      </c>
      <c r="AA14" s="490">
        <f>IFERROR(IF(INPUTS!$E$74="Main",T14/(U14*V14),T14/(W14*X14)),0)</f>
        <v>0</v>
      </c>
      <c r="AB14" s="842">
        <f t="shared" si="2"/>
        <v>0</v>
      </c>
      <c r="AC14" s="858">
        <f t="shared" si="3"/>
        <v>0</v>
      </c>
      <c r="AD14" s="858">
        <f t="shared" si="19"/>
        <v>0</v>
      </c>
      <c r="AE14" s="842">
        <f t="shared" si="20"/>
        <v>0</v>
      </c>
      <c r="AF14" s="842">
        <f t="shared" si="21"/>
        <v>0</v>
      </c>
      <c r="AG14" s="842">
        <f t="shared" si="22"/>
        <v>0</v>
      </c>
      <c r="AH14" s="742">
        <f>IFERROR(Feed!H151*Feed!G68,0)</f>
        <v>0</v>
      </c>
      <c r="AI14" s="570">
        <f>IFERROR(Feed!I151*Feed!P68,0)</f>
        <v>0</v>
      </c>
      <c r="AJ14" s="570">
        <f>IFERROR(Feed!J151*Feed!Y68,0)</f>
        <v>0</v>
      </c>
      <c r="AK14" s="252">
        <f>VLOOKUP(INPUTS!$D$75,'Crop parameters'!$A$2:$Z$43,4,FALSE)*1000</f>
        <v>13500</v>
      </c>
      <c r="AL14" s="490">
        <f>INPUTS!$E$90</f>
        <v>1</v>
      </c>
      <c r="AM14" s="252">
        <f>VLOOKUP(INPUTS!$D$75,'Crop parameters'!$A$2:$Z$43,8,FALSE)*1000</f>
        <v>0</v>
      </c>
      <c r="AN14" s="490">
        <f>IF(INPUTS!$E$75="Residue",INPUTS!$F$90,0)</f>
        <v>0</v>
      </c>
      <c r="AO14" s="490">
        <f>IFERROR(IF(INPUTS!$E$75="Main",AH14/(AK14*AL14),AH14/(AM14*AN14)),0)</f>
        <v>0</v>
      </c>
      <c r="AP14" s="490">
        <f>IFERROR(IF(INPUTS!$E$75="Main",AI14/(AK14*AL14),AI14/(AM14*AN14)),0)</f>
        <v>0</v>
      </c>
      <c r="AQ14" s="490">
        <f>IFERROR(IF(INPUTS!$E$75="Main",AJ14/(AK14*AL14),AJ14/(AM14*AN14)),0)</f>
        <v>0</v>
      </c>
      <c r="AR14" s="842">
        <f t="shared" si="4"/>
        <v>0</v>
      </c>
      <c r="AS14" s="858">
        <f t="shared" si="5"/>
        <v>0</v>
      </c>
      <c r="AT14" s="858">
        <f t="shared" si="23"/>
        <v>0</v>
      </c>
      <c r="AU14" s="842">
        <f t="shared" si="24"/>
        <v>0</v>
      </c>
      <c r="AV14" s="842">
        <f t="shared" si="25"/>
        <v>0</v>
      </c>
      <c r="AW14" s="842">
        <f t="shared" si="26"/>
        <v>0</v>
      </c>
      <c r="AX14" s="844">
        <f>IFERROR(Feed!H151*Feed!H68,0)</f>
        <v>0</v>
      </c>
      <c r="AY14" s="570">
        <f>IFERROR(Feed!I151*Feed!Q68,0)</f>
        <v>0</v>
      </c>
      <c r="AZ14" s="570">
        <f>IFERROR(Feed!J151*Feed!Z68,0)</f>
        <v>0</v>
      </c>
      <c r="BA14" s="252">
        <f>VLOOKUP(INPUTS!$D$76,'Crop parameters'!$A$2:$Z$43,4,FALSE)*1000</f>
        <v>19800</v>
      </c>
      <c r="BB14" s="490">
        <f>INPUTS!$E$91</f>
        <v>1</v>
      </c>
      <c r="BC14" s="252">
        <f>VLOOKUP(INPUTS!$D$76,'Crop parameters'!$A$2:$Z$43,8,FALSE)*1000</f>
        <v>0</v>
      </c>
      <c r="BD14" s="490">
        <f>IF(INPUTS!$E$76="Residue",INPUTS!$F$91,0)</f>
        <v>0</v>
      </c>
      <c r="BE14" s="490">
        <f>IFERROR(IF(INPUTS!$E$76="Main",AX14/(BA14*BB14),AX14/(BC14*BD14)),0)</f>
        <v>0</v>
      </c>
      <c r="BF14" s="490">
        <f>IFERROR(IF(INPUTS!$E$76="Main",AY14/(BA14*BB14),AY14/(BC14*BD14)),0)</f>
        <v>0</v>
      </c>
      <c r="BG14" s="490">
        <f>IFERROR(IF(INPUTS!$E$76="Main",AZ14/(BA14*BB14),AZ14/(BC14*BD14)),0)</f>
        <v>0</v>
      </c>
      <c r="BH14" s="842">
        <f t="shared" si="6"/>
        <v>0</v>
      </c>
      <c r="BI14" s="858">
        <f t="shared" si="7"/>
        <v>0</v>
      </c>
      <c r="BJ14" s="858">
        <f t="shared" si="27"/>
        <v>0</v>
      </c>
      <c r="BK14" s="842">
        <f t="shared" si="28"/>
        <v>0</v>
      </c>
      <c r="BL14" s="842">
        <f t="shared" si="29"/>
        <v>0</v>
      </c>
      <c r="BM14" s="842">
        <f t="shared" si="30"/>
        <v>0</v>
      </c>
      <c r="BN14" s="742">
        <f>IFERROR(Feed!H151*Feed!I68,0)</f>
        <v>0</v>
      </c>
      <c r="BO14" s="570">
        <f>IFERROR(Feed!I151*Feed!R68,0)</f>
        <v>0</v>
      </c>
      <c r="BP14" s="570">
        <f>IFERROR(Feed!J151*Feed!AA68,0)</f>
        <v>0</v>
      </c>
      <c r="BQ14" s="252">
        <f>VLOOKUP(INPUTS!$D$77,'Crop parameters'!$A$2:$Z$43,4,FALSE)*1000</f>
        <v>1299</v>
      </c>
      <c r="BR14" s="490">
        <f>INPUTS!$E$92</f>
        <v>0.4</v>
      </c>
      <c r="BS14" s="252">
        <f>VLOOKUP(INPUTS!$D$77,'Crop parameters'!$A$2:$Z$43,8,FALSE)*1000</f>
        <v>3582.4421538461534</v>
      </c>
      <c r="BT14" s="490">
        <f>IF(INPUTS!$E$77="Residue",INPUTS!$F$92,0)</f>
        <v>0.6</v>
      </c>
      <c r="BU14" s="490">
        <f>IFERROR(IF(INPUTS!$E$77="Main",BN14/(BQ14*BR14),BN14/(BS14*BT14)),0)</f>
        <v>0</v>
      </c>
      <c r="BV14" s="490">
        <f>IFERROR(IF(INPUTS!$E$77="Main",BO14/(BQ14*BR14),BO14/(BS14*BT14)),0)</f>
        <v>0</v>
      </c>
      <c r="BW14" s="490">
        <f>IFERROR(IF(INPUTS!$E$77="Main",BP14/(BQ14*BR14),BP14/(BS14*BT14)),0)</f>
        <v>0</v>
      </c>
      <c r="BX14" s="842">
        <f t="shared" si="8"/>
        <v>0</v>
      </c>
      <c r="BY14" s="858">
        <f t="shared" si="9"/>
        <v>0</v>
      </c>
      <c r="BZ14" s="858">
        <f t="shared" si="31"/>
        <v>0</v>
      </c>
      <c r="CA14" s="842">
        <f t="shared" si="32"/>
        <v>0</v>
      </c>
      <c r="CB14" s="842">
        <f t="shared" si="33"/>
        <v>0</v>
      </c>
      <c r="CC14" s="842">
        <f t="shared" si="34"/>
        <v>0</v>
      </c>
      <c r="CD14" s="742">
        <f>IFERROR(Feed!H151*Feed!J68,0)</f>
        <v>0</v>
      </c>
      <c r="CE14" s="570">
        <f>IFERROR(Feed!I151*Feed!S68,0)</f>
        <v>0</v>
      </c>
      <c r="CF14" s="570">
        <f>IFERROR(Feed!J151*Feed!AB68,0)</f>
        <v>0</v>
      </c>
      <c r="CG14" s="252">
        <f>VLOOKUP(INPUTS!$D$78,'Crop parameters'!$A$2:$Z$43,4,FALSE)*1000</f>
        <v>13049.999999999998</v>
      </c>
      <c r="CH14" s="490">
        <f>INPUTS!$E$93</f>
        <v>1</v>
      </c>
      <c r="CI14" s="252">
        <f>VLOOKUP(INPUTS!$D$78,'Crop parameters'!$A$2:$Z$43,8,FALSE)*1000</f>
        <v>0</v>
      </c>
      <c r="CJ14" s="490">
        <f>IF(INPUTS!$E$78="Residue",INPUTS!$F$93,0)</f>
        <v>0</v>
      </c>
      <c r="CK14" s="490">
        <f>IFERROR(IF(INPUTS!$E$78="Main",CD14/(CG14*CH14),CD14/(CI14*CJ14)),0)</f>
        <v>0</v>
      </c>
      <c r="CL14" s="490">
        <f>IFERROR(IF(INPUTS!$E$78="Main",CE14/(CG14*CH14),CE14/(CI14*CJ14)),0)</f>
        <v>0</v>
      </c>
      <c r="CM14" s="490">
        <f>IFERROR(IF(INPUTS!$E$78="Main",CF14/(CG14*CH14),CF14/(CI14*CJ14)),0)</f>
        <v>0</v>
      </c>
      <c r="CN14" s="842">
        <f t="shared" si="10"/>
        <v>0</v>
      </c>
      <c r="CO14" s="858">
        <f t="shared" si="11"/>
        <v>0</v>
      </c>
      <c r="CP14" s="858">
        <f t="shared" si="35"/>
        <v>0</v>
      </c>
      <c r="CQ14" s="842">
        <f t="shared" si="36"/>
        <v>0</v>
      </c>
      <c r="CR14" s="842">
        <f t="shared" si="37"/>
        <v>0</v>
      </c>
      <c r="CS14" s="842">
        <f t="shared" si="38"/>
        <v>0</v>
      </c>
      <c r="CT14" s="742">
        <f>IFERROR(Feed!H151*Feed!K68,0)</f>
        <v>0</v>
      </c>
      <c r="CU14" s="570">
        <f>IFERROR(Feed!I151*Feed!T68,0)</f>
        <v>0</v>
      </c>
      <c r="CV14" s="570">
        <f>IFERROR(Feed!J151*Feed!AC68,0)</f>
        <v>0</v>
      </c>
      <c r="CW14" s="252">
        <f>VLOOKUP(INPUTS!$D$79,'Crop parameters'!$A$2:$Z$43,4,FALSE)*1000</f>
        <v>0</v>
      </c>
      <c r="CX14" s="490">
        <f>INPUTS!$E$94</f>
        <v>1</v>
      </c>
      <c r="CY14" s="252">
        <f>VLOOKUP(INPUTS!$D$79,'Crop parameters'!$A$2:$Z$43,8,FALSE)*1000</f>
        <v>0</v>
      </c>
      <c r="CZ14" s="490">
        <f>IF(INPUTS!$E$79="Residue",INPUTS!$F$94,0)</f>
        <v>0</v>
      </c>
      <c r="DA14" s="490">
        <f>IFERROR(IF(INPUTS!$E$79="Main",CT14/(CW14*CX14),CT14/(CY14*CZ14)),0)</f>
        <v>0</v>
      </c>
      <c r="DB14" s="490">
        <f>IFERROR(IF(INPUTS!$E$79="Main",CU14/(CW14*CX14),CU14/(CY14*CZ14)),0)</f>
        <v>0</v>
      </c>
      <c r="DC14" s="490">
        <f>IFERROR(IF(INPUTS!$E$79="Main",CV14/(CW14*CX14),CV14/(CY14*CZ14)),0)</f>
        <v>0</v>
      </c>
      <c r="DD14" s="842">
        <f t="shared" si="12"/>
        <v>0</v>
      </c>
      <c r="DE14" s="858">
        <f t="shared" si="13"/>
        <v>0</v>
      </c>
      <c r="DF14" s="858">
        <f t="shared" si="39"/>
        <v>0</v>
      </c>
      <c r="DG14" s="842">
        <f t="shared" si="40"/>
        <v>0</v>
      </c>
      <c r="DH14" s="842">
        <f t="shared" si="41"/>
        <v>0</v>
      </c>
      <c r="DI14" s="490">
        <f t="shared" si="42"/>
        <v>0</v>
      </c>
      <c r="DJ14" s="744">
        <f t="shared" si="43"/>
        <v>0</v>
      </c>
      <c r="DK14" s="744">
        <f t="shared" si="44"/>
        <v>0</v>
      </c>
      <c r="DL14" s="744">
        <f t="shared" si="45"/>
        <v>0</v>
      </c>
    </row>
    <row r="15" spans="1:116" s="1251" customFormat="1">
      <c r="A15" s="560">
        <f>'Livestock parameters'!A11</f>
        <v>0</v>
      </c>
      <c r="B15" s="742">
        <f>IFERROR(Feed!H152*Feed!E75,0)</f>
        <v>0</v>
      </c>
      <c r="C15" s="742">
        <f>IFERROR(Feed!I152*Feed!N75,0)</f>
        <v>0</v>
      </c>
      <c r="D15" s="742">
        <f>IFERROR(Feed!J152*Feed!W75,0)</f>
        <v>0</v>
      </c>
      <c r="E15" s="252">
        <f>VLOOKUP(INPUTS!$D$73,'Crop parameters'!$A$2:$Z$43,4,FALSE)*1000</f>
        <v>0</v>
      </c>
      <c r="F15" s="490">
        <f>INPUTS!$E$88</f>
        <v>1</v>
      </c>
      <c r="G15" s="252">
        <f>VLOOKUP(INPUTS!$D$73,'Crop parameters'!$A$2:$Z$43,8,FALSE)*1000</f>
        <v>0</v>
      </c>
      <c r="H15" s="490">
        <f>IF(INPUTS!$E$73="Residue",INPUTS!$F$88,0)</f>
        <v>0</v>
      </c>
      <c r="I15" s="490">
        <f>IFERROR(IF(INPUTS!$E$73="Main",B15/(E15*F15),B15/(G15*H15)),0)</f>
        <v>0</v>
      </c>
      <c r="J15" s="490">
        <f>IFERROR(IF(INPUTS!$E$73="Main",C15/(E15*F15),C15/(G15*H15)),0)</f>
        <v>0</v>
      </c>
      <c r="K15" s="490">
        <f>IFERROR(IF(INPUTS!$E$73="Main",D15/(E15*F15),D15/(G15*H15)),0)</f>
        <v>0</v>
      </c>
      <c r="L15" s="842">
        <f t="shared" ref="L15:L16" si="46">IF(H15&gt;0,I15*(E15*F15/(E15*F15+G15*H15)),0)</f>
        <v>0</v>
      </c>
      <c r="M15" s="858">
        <f t="shared" ref="M15:M16" si="47">IF(H15&gt;0,J15*(E15*F15/(E15*F15+G15*H15)),0)</f>
        <v>0</v>
      </c>
      <c r="N15" s="858">
        <f t="shared" si="15"/>
        <v>0</v>
      </c>
      <c r="O15" s="842">
        <f t="shared" ref="O15:O16" si="48">IFERROR(IF(H15&gt;0,I15*(G15*H15/(E15*F15+G15*H15)),I15*(E15*F15+G15*H15)/(E15*F15+G15*H15)),0)</f>
        <v>0</v>
      </c>
      <c r="P15" s="842">
        <f t="shared" si="17"/>
        <v>0</v>
      </c>
      <c r="Q15" s="842">
        <f t="shared" si="18"/>
        <v>0</v>
      </c>
      <c r="R15" s="742">
        <f>IFERROR(Feed!H152*Feed!F69,0)</f>
        <v>0</v>
      </c>
      <c r="S15" s="570">
        <f>IFERROR(Feed!I152*Feed!O69,0)</f>
        <v>0</v>
      </c>
      <c r="T15" s="742">
        <f>IFERROR(Feed!Z152*Feed!X75,0)</f>
        <v>0</v>
      </c>
      <c r="U15" s="252">
        <f>VLOOKUP(INPUTS!$D$74,'Crop parameters'!$A$2:$Z$43,4,FALSE)*1000</f>
        <v>22050</v>
      </c>
      <c r="V15" s="490">
        <f>INPUTS!$E$89</f>
        <v>1</v>
      </c>
      <c r="W15" s="252">
        <f>VLOOKUP(INPUTS!$D$74,'Crop parameters'!$A$2:$Z$43,8,FALSE)*1000</f>
        <v>0</v>
      </c>
      <c r="X15" s="490">
        <f>IF(INPUTS!$E$74="Residue",INPUTS!$F$89,0)</f>
        <v>0</v>
      </c>
      <c r="Y15" s="490">
        <f>IFERROR(IF(INPUTS!$E$74="Main",R15/(U15*V15),R15/(W15*X15)),0)</f>
        <v>0</v>
      </c>
      <c r="Z15" s="490">
        <f>IFERROR(IF(INPUTS!$E$74="Main",S15/(U15*V15),S15/(W15*X15)),0)</f>
        <v>0</v>
      </c>
      <c r="AA15" s="490">
        <f>IFERROR(IF(INPUTS!$E$74="Main",T15/(U15*V15),T15/(W15*X15)),0)</f>
        <v>0</v>
      </c>
      <c r="AB15" s="842">
        <f t="shared" si="2"/>
        <v>0</v>
      </c>
      <c r="AC15" s="858">
        <f t="shared" si="3"/>
        <v>0</v>
      </c>
      <c r="AD15" s="858">
        <f t="shared" si="19"/>
        <v>0</v>
      </c>
      <c r="AE15" s="842">
        <f t="shared" si="20"/>
        <v>0</v>
      </c>
      <c r="AF15" s="842">
        <f t="shared" si="21"/>
        <v>0</v>
      </c>
      <c r="AG15" s="842">
        <f t="shared" si="22"/>
        <v>0</v>
      </c>
      <c r="AH15" s="742">
        <f>IFERROR(Feed!H152*Feed!G75,0)</f>
        <v>0</v>
      </c>
      <c r="AI15" s="742">
        <f>IFERROR(Feed!I152*Feed!P75,0)</f>
        <v>0</v>
      </c>
      <c r="AJ15" s="742">
        <f>IFERROR(Feed!J152*Feed!Y75,0)</f>
        <v>0</v>
      </c>
      <c r="AK15" s="252">
        <f>VLOOKUP(INPUTS!$D$75,'Crop parameters'!$A$2:$Z$43,4,FALSE)*1000</f>
        <v>13500</v>
      </c>
      <c r="AL15" s="490">
        <f>INPUTS!$E$90</f>
        <v>1</v>
      </c>
      <c r="AM15" s="252">
        <f>VLOOKUP(INPUTS!$D$75,'Crop parameters'!$A$2:$Z$43,8,FALSE)*1000</f>
        <v>0</v>
      </c>
      <c r="AN15" s="490">
        <f>IF(INPUTS!$E$75="Residue",INPUTS!$F$90,0)</f>
        <v>0</v>
      </c>
      <c r="AO15" s="490">
        <f>IFERROR(IF(INPUTS!$E$75="Main",AH15/(AK15*AL15),AH15/(AM15*AN15)),0)</f>
        <v>0</v>
      </c>
      <c r="AP15" s="490">
        <f>IFERROR(IF(INPUTS!$E$75="Main",AI15/(AK15*AL15),AI15/(AM15*AN15)),0)</f>
        <v>0</v>
      </c>
      <c r="AQ15" s="490">
        <f>IFERROR(IF(INPUTS!$E$75="Main",AJ15/(AK15*AL15),AJ15/(AM15*AN15)),0)</f>
        <v>0</v>
      </c>
      <c r="AR15" s="842">
        <f t="shared" si="4"/>
        <v>0</v>
      </c>
      <c r="AS15" s="858">
        <f t="shared" si="5"/>
        <v>0</v>
      </c>
      <c r="AT15" s="858">
        <f t="shared" si="23"/>
        <v>0</v>
      </c>
      <c r="AU15" s="842">
        <f t="shared" si="24"/>
        <v>0</v>
      </c>
      <c r="AV15" s="842">
        <f t="shared" si="25"/>
        <v>0</v>
      </c>
      <c r="AW15" s="842">
        <f t="shared" si="26"/>
        <v>0</v>
      </c>
      <c r="AX15" s="844">
        <f>IFERROR(Feed!H152*Feed!H75,0)</f>
        <v>0</v>
      </c>
      <c r="AY15" s="844">
        <f>IFERROR(Feed!I152*Feed!Q75,0)</f>
        <v>0</v>
      </c>
      <c r="AZ15" s="844">
        <f>IFERROR(Feed!J152*Feed!Z75,0)</f>
        <v>0</v>
      </c>
      <c r="BA15" s="252">
        <f>VLOOKUP(INPUTS!$D$76,'Crop parameters'!$A$2:$Z$43,4,FALSE)*1000</f>
        <v>19800</v>
      </c>
      <c r="BB15" s="490">
        <f>INPUTS!$E$91</f>
        <v>1</v>
      </c>
      <c r="BC15" s="252">
        <f>VLOOKUP(INPUTS!$D$76,'Crop parameters'!$A$2:$Z$43,8,FALSE)*1000</f>
        <v>0</v>
      </c>
      <c r="BD15" s="490">
        <f>IF(INPUTS!$E$76="Residue",INPUTS!$F$91,0)</f>
        <v>0</v>
      </c>
      <c r="BE15" s="490">
        <f>IFERROR(IF(INPUTS!$E$76="Main",AX15/(BA15*BB15),AX15/(BC15*BD15)),0)</f>
        <v>0</v>
      </c>
      <c r="BF15" s="490">
        <f>IFERROR(IF(INPUTS!$E$76="Main",AY15/(BA15*BB15),AY15/(BC15*BD15)),0)</f>
        <v>0</v>
      </c>
      <c r="BG15" s="490">
        <f>IFERROR(IF(INPUTS!$E$76="Main",AZ15/(BA15*BB15),AZ15/(BC15*BD15)),0)</f>
        <v>0</v>
      </c>
      <c r="BH15" s="842">
        <f t="shared" si="6"/>
        <v>0</v>
      </c>
      <c r="BI15" s="858">
        <f t="shared" si="7"/>
        <v>0</v>
      </c>
      <c r="BJ15" s="858">
        <f t="shared" si="27"/>
        <v>0</v>
      </c>
      <c r="BK15" s="842">
        <f t="shared" si="28"/>
        <v>0</v>
      </c>
      <c r="BL15" s="842">
        <f t="shared" si="29"/>
        <v>0</v>
      </c>
      <c r="BM15" s="842">
        <f t="shared" si="30"/>
        <v>0</v>
      </c>
      <c r="BN15" s="742">
        <f>IFERROR(Feed!H152*Feed!I75,0)</f>
        <v>0</v>
      </c>
      <c r="BO15" s="742">
        <f>IFERROR(Feed!I152*Feed!R75,0)</f>
        <v>0</v>
      </c>
      <c r="BP15" s="742">
        <f>IFERROR(Feed!J152*Feed!AA75,0)</f>
        <v>0</v>
      </c>
      <c r="BQ15" s="252">
        <f>VLOOKUP(INPUTS!$D$77,'Crop parameters'!$A$2:$Z$43,4,FALSE)*1000</f>
        <v>1299</v>
      </c>
      <c r="BR15" s="490">
        <f>INPUTS!$E$92</f>
        <v>0.4</v>
      </c>
      <c r="BS15" s="252">
        <f>VLOOKUP(INPUTS!$D$77,'Crop parameters'!$A$2:$Z$43,8,FALSE)*1000</f>
        <v>3582.4421538461534</v>
      </c>
      <c r="BT15" s="490">
        <f>IF(INPUTS!$E$77="Residue",INPUTS!$F$92,0)</f>
        <v>0.6</v>
      </c>
      <c r="BU15" s="490">
        <f>IFERROR(IF(INPUTS!$E$77="Main",BN15/(BQ15*BR15),BN15/(BS15*BT15)),0)</f>
        <v>0</v>
      </c>
      <c r="BV15" s="490">
        <f>IFERROR(IF(INPUTS!$E$77="Main",BO15/(BQ15*BR15),BO15/(BS15*BT15)),0)</f>
        <v>0</v>
      </c>
      <c r="BW15" s="490">
        <f>IFERROR(IF(INPUTS!$E$77="Main",BP15/(BQ15*BR15),BP15/(BS15*BT15)),0)</f>
        <v>0</v>
      </c>
      <c r="BX15" s="842">
        <f t="shared" si="8"/>
        <v>0</v>
      </c>
      <c r="BY15" s="858">
        <f t="shared" si="9"/>
        <v>0</v>
      </c>
      <c r="BZ15" s="858">
        <f t="shared" si="31"/>
        <v>0</v>
      </c>
      <c r="CA15" s="842">
        <f t="shared" si="32"/>
        <v>0</v>
      </c>
      <c r="CB15" s="842">
        <f t="shared" si="33"/>
        <v>0</v>
      </c>
      <c r="CC15" s="842">
        <f t="shared" si="34"/>
        <v>0</v>
      </c>
      <c r="CD15" s="742">
        <f>IFERROR(Feed!H152*Feed!J75,0)</f>
        <v>0</v>
      </c>
      <c r="CE15" s="742">
        <f>IFERROR(Feed!I152*Feed!S75,0)</f>
        <v>0</v>
      </c>
      <c r="CF15" s="742">
        <f>IFERROR(Feed!J152*Feed!AB75,0)</f>
        <v>0</v>
      </c>
      <c r="CG15" s="252">
        <f>VLOOKUP(INPUTS!$D$78,'Crop parameters'!$A$2:$Z$43,4,FALSE)*1000</f>
        <v>13049.999999999998</v>
      </c>
      <c r="CH15" s="490">
        <f>INPUTS!$E$93</f>
        <v>1</v>
      </c>
      <c r="CI15" s="252">
        <f>VLOOKUP(INPUTS!$D$78,'Crop parameters'!$A$2:$Z$43,8,FALSE)*1000</f>
        <v>0</v>
      </c>
      <c r="CJ15" s="490">
        <f>IF(INPUTS!$E$78="Residue",INPUTS!$F$93,0)</f>
        <v>0</v>
      </c>
      <c r="CK15" s="490">
        <f>IFERROR(IF(INPUTS!$E$78="Main",CD15/(CG15*CH15),CD15/(CI15*CJ15)),0)</f>
        <v>0</v>
      </c>
      <c r="CL15" s="490">
        <f>IFERROR(IF(INPUTS!$E$78="Main",CE15/(CG15*CH15),CE15/(CI15*CJ15)),0)</f>
        <v>0</v>
      </c>
      <c r="CM15" s="490">
        <f>IFERROR(IF(INPUTS!$E$78="Main",CF15/(CG15*CH15),CF15/(CI15*CJ15)),0)</f>
        <v>0</v>
      </c>
      <c r="CN15" s="842">
        <f t="shared" si="10"/>
        <v>0</v>
      </c>
      <c r="CO15" s="858">
        <f t="shared" si="11"/>
        <v>0</v>
      </c>
      <c r="CP15" s="858">
        <f t="shared" si="35"/>
        <v>0</v>
      </c>
      <c r="CQ15" s="842">
        <f t="shared" si="36"/>
        <v>0</v>
      </c>
      <c r="CR15" s="842">
        <f t="shared" si="37"/>
        <v>0</v>
      </c>
      <c r="CS15" s="842">
        <f t="shared" si="38"/>
        <v>0</v>
      </c>
      <c r="CT15" s="742">
        <f>IFERROR(Feed!H152*Feed!K75,0)</f>
        <v>0</v>
      </c>
      <c r="CU15" s="742">
        <f>IFERROR(Feed!I152*Feed!T75,0)</f>
        <v>0</v>
      </c>
      <c r="CV15" s="742">
        <f>IFERROR(Feed!J152*Feed!AC75,0)</f>
        <v>0</v>
      </c>
      <c r="CW15" s="252">
        <f>VLOOKUP(INPUTS!$D$79,'Crop parameters'!$A$2:$Z$43,4,FALSE)*1000</f>
        <v>0</v>
      </c>
      <c r="CX15" s="490">
        <f>INPUTS!$E$94</f>
        <v>1</v>
      </c>
      <c r="CY15" s="252">
        <f>VLOOKUP(INPUTS!$D$79,'Crop parameters'!$A$2:$Z$43,8,FALSE)*1000</f>
        <v>0</v>
      </c>
      <c r="CZ15" s="490">
        <f>IF(INPUTS!$E$79="Residue",INPUTS!$F$94,0)</f>
        <v>0</v>
      </c>
      <c r="DA15" s="490">
        <f>IFERROR(IF(INPUTS!$E$79="Main",CT15/(CW15*CX15),CT15/(CY15*CZ15)),0)</f>
        <v>0</v>
      </c>
      <c r="DB15" s="490">
        <f>IFERROR(IF(INPUTS!$E$79="Main",CU15/(CW15*CX15),CU15/(CY15*CZ15)),0)</f>
        <v>0</v>
      </c>
      <c r="DC15" s="490">
        <f>IFERROR(IF(INPUTS!$E$79="Main",CV15/(CW15*CX15),CV15/(CY15*CZ15)),0)</f>
        <v>0</v>
      </c>
      <c r="DD15" s="842">
        <f t="shared" si="12"/>
        <v>0</v>
      </c>
      <c r="DE15" s="858">
        <f t="shared" si="13"/>
        <v>0</v>
      </c>
      <c r="DF15" s="858">
        <f t="shared" si="39"/>
        <v>0</v>
      </c>
      <c r="DG15" s="842">
        <f t="shared" si="40"/>
        <v>0</v>
      </c>
      <c r="DH15" s="842">
        <f t="shared" si="41"/>
        <v>0</v>
      </c>
      <c r="DI15" s="490">
        <f t="shared" si="42"/>
        <v>0</v>
      </c>
      <c r="DJ15" s="744">
        <f t="shared" si="43"/>
        <v>0</v>
      </c>
      <c r="DK15" s="744">
        <f t="shared" si="44"/>
        <v>0</v>
      </c>
      <c r="DL15" s="744">
        <f t="shared" si="45"/>
        <v>0</v>
      </c>
    </row>
    <row r="16" spans="1:116" s="1251" customFormat="1">
      <c r="A16" s="560">
        <f>'Livestock parameters'!A12</f>
        <v>0</v>
      </c>
      <c r="B16" s="742">
        <f>IFERROR(Feed!H153*Feed!E82,0)</f>
        <v>0</v>
      </c>
      <c r="C16" s="742">
        <f>IFERROR(Feed!I153*Feed!N82,0)</f>
        <v>0</v>
      </c>
      <c r="D16" s="742">
        <f>IFERROR(Feed!J153*Feed!W82,0)</f>
        <v>0</v>
      </c>
      <c r="E16" s="252">
        <f>VLOOKUP(INPUTS!$D$73,'Crop parameters'!$A$2:$Z$43,4,FALSE)*1000</f>
        <v>0</v>
      </c>
      <c r="F16" s="490">
        <f>INPUTS!$E$88</f>
        <v>1</v>
      </c>
      <c r="G16" s="252">
        <f>VLOOKUP(INPUTS!$D$73,'Crop parameters'!$A$2:$Z$43,8,FALSE)*1000</f>
        <v>0</v>
      </c>
      <c r="H16" s="490">
        <f>IF(INPUTS!$E$73="Residue",INPUTS!$F$88,0)</f>
        <v>0</v>
      </c>
      <c r="I16" s="490">
        <f>IFERROR(IF(INPUTS!$E$73="Main",B16/(E16*F16),B16/(G16*H16)),0)</f>
        <v>0</v>
      </c>
      <c r="J16" s="490">
        <f>IFERROR(IF(INPUTS!$E$73="Main",C16/(E16*F16),C16/(G16*H16)),0)</f>
        <v>0</v>
      </c>
      <c r="K16" s="490">
        <f>IFERROR(IF(INPUTS!$E$73="Main",D16/(E16*F16),D16/(G16*H16)),0)</f>
        <v>0</v>
      </c>
      <c r="L16" s="842">
        <f t="shared" si="46"/>
        <v>0</v>
      </c>
      <c r="M16" s="858">
        <f t="shared" si="47"/>
        <v>0</v>
      </c>
      <c r="N16" s="858">
        <f t="shared" si="15"/>
        <v>0</v>
      </c>
      <c r="O16" s="842">
        <f t="shared" si="48"/>
        <v>0</v>
      </c>
      <c r="P16" s="842">
        <f t="shared" si="17"/>
        <v>0</v>
      </c>
      <c r="Q16" s="842">
        <f t="shared" si="18"/>
        <v>0</v>
      </c>
      <c r="R16" s="742">
        <f>IFERROR(Feed!H153*Feed!F70,0)</f>
        <v>0</v>
      </c>
      <c r="S16" s="570">
        <f>IFERROR(Feed!I153*Feed!O70,0)</f>
        <v>0</v>
      </c>
      <c r="T16" s="742">
        <f>IFERROR(Feed!Z153*Feed!X82,0)</f>
        <v>0</v>
      </c>
      <c r="U16" s="252">
        <f>VLOOKUP(INPUTS!$D$74,'Crop parameters'!$A$2:$Z$43,4,FALSE)*1000</f>
        <v>22050</v>
      </c>
      <c r="V16" s="490">
        <f>INPUTS!$E$89</f>
        <v>1</v>
      </c>
      <c r="W16" s="252">
        <f>VLOOKUP(INPUTS!$D$74,'Crop parameters'!$A$2:$Z$43,8,FALSE)*1000</f>
        <v>0</v>
      </c>
      <c r="X16" s="490">
        <f>IF(INPUTS!$E$74="Residue",INPUTS!$F$89,0)</f>
        <v>0</v>
      </c>
      <c r="Y16" s="490">
        <f>IFERROR(IF(INPUTS!$E$74="Main",R16/(U16*V16),R16/(W16*X16)),0)</f>
        <v>0</v>
      </c>
      <c r="Z16" s="490">
        <f>IFERROR(IF(INPUTS!$E$74="Main",S16/(U16*V16),S16/(W16*X16)),0)</f>
        <v>0</v>
      </c>
      <c r="AA16" s="490">
        <f>IFERROR(IF(INPUTS!$E$74="Main",T16/(U16*V16),T16/(W16*X16)),0)</f>
        <v>0</v>
      </c>
      <c r="AB16" s="842">
        <f t="shared" si="2"/>
        <v>0</v>
      </c>
      <c r="AC16" s="858">
        <f t="shared" si="3"/>
        <v>0</v>
      </c>
      <c r="AD16" s="858">
        <f t="shared" si="19"/>
        <v>0</v>
      </c>
      <c r="AE16" s="842">
        <f t="shared" si="20"/>
        <v>0</v>
      </c>
      <c r="AF16" s="842">
        <f t="shared" si="21"/>
        <v>0</v>
      </c>
      <c r="AG16" s="842">
        <f t="shared" si="22"/>
        <v>0</v>
      </c>
      <c r="AH16" s="742">
        <f>IFERROR(Feed!H153*Feed!G82,0)</f>
        <v>0</v>
      </c>
      <c r="AI16" s="742">
        <f>IFERROR(Feed!I153*Feed!H82,0)</f>
        <v>0</v>
      </c>
      <c r="AJ16" s="742">
        <f>IFERROR(Feed!J153*Feed!Y82,0)</f>
        <v>0</v>
      </c>
      <c r="AK16" s="252">
        <f>VLOOKUP(INPUTS!$D$75,'Crop parameters'!$A$2:$Z$43,4,FALSE)*1000</f>
        <v>13500</v>
      </c>
      <c r="AL16" s="490">
        <f>INPUTS!$E$90</f>
        <v>1</v>
      </c>
      <c r="AM16" s="252">
        <f>VLOOKUP(INPUTS!$D$75,'Crop parameters'!$A$2:$Z$43,8,FALSE)*1000</f>
        <v>0</v>
      </c>
      <c r="AN16" s="490">
        <f>IF(INPUTS!$E$75="Residue",INPUTS!$F$90,0)</f>
        <v>0</v>
      </c>
      <c r="AO16" s="490">
        <f>IFERROR(IF(INPUTS!$E$75="Main",AH16/(AK16*AL16),AH16/(AM16*AN16)),0)</f>
        <v>0</v>
      </c>
      <c r="AP16" s="490">
        <f>IFERROR(IF(INPUTS!$E$75="Main",AI16/(AK16*AL16),AI16/(AM16*AN16)),0)</f>
        <v>0</v>
      </c>
      <c r="AQ16" s="490">
        <f>IFERROR(IF(INPUTS!$E$75="Main",AJ16/(AK16*AL16),AJ16/(AM16*AN16)),0)</f>
        <v>0</v>
      </c>
      <c r="AR16" s="842">
        <f t="shared" si="4"/>
        <v>0</v>
      </c>
      <c r="AS16" s="858">
        <f t="shared" si="5"/>
        <v>0</v>
      </c>
      <c r="AT16" s="858">
        <f t="shared" si="23"/>
        <v>0</v>
      </c>
      <c r="AU16" s="842">
        <f t="shared" si="24"/>
        <v>0</v>
      </c>
      <c r="AV16" s="842">
        <f t="shared" si="25"/>
        <v>0</v>
      </c>
      <c r="AW16" s="842">
        <f t="shared" si="26"/>
        <v>0</v>
      </c>
      <c r="AX16" s="844">
        <f>IFERROR(Feed!H153*Feed!H82,0)</f>
        <v>0</v>
      </c>
      <c r="AY16" s="844">
        <f>IFERROR(Feed!I153*Feed!Q82,0)</f>
        <v>0</v>
      </c>
      <c r="AZ16" s="844">
        <f>IFERROR(Feed!J153*Feed!Z82,0)</f>
        <v>0</v>
      </c>
      <c r="BA16" s="252">
        <f>VLOOKUP(INPUTS!$D$76,'Crop parameters'!$A$2:$Z$43,4,FALSE)*1000</f>
        <v>19800</v>
      </c>
      <c r="BB16" s="490">
        <f>INPUTS!$E$91</f>
        <v>1</v>
      </c>
      <c r="BC16" s="252">
        <f>VLOOKUP(INPUTS!$D$76,'Crop parameters'!$A$2:$Z$43,8,FALSE)*1000</f>
        <v>0</v>
      </c>
      <c r="BD16" s="490">
        <f>IF(INPUTS!$E$76="Residue",INPUTS!$F$91,0)</f>
        <v>0</v>
      </c>
      <c r="BE16" s="490">
        <f>IFERROR(IF(INPUTS!$E$76="Main",AX16/(BA16*BB16),AX16/(BC16*BD16)),0)</f>
        <v>0</v>
      </c>
      <c r="BF16" s="490">
        <f>IFERROR(IF(INPUTS!$E$76="Main",AY16/(BA16*BB16),AY16/(BC16*BD16)),0)</f>
        <v>0</v>
      </c>
      <c r="BG16" s="490">
        <f>IFERROR(IF(INPUTS!$E$76="Main",AZ16/(BA16*BB16),AZ16/(BC16*BD16)),0)</f>
        <v>0</v>
      </c>
      <c r="BH16" s="842">
        <f t="shared" si="6"/>
        <v>0</v>
      </c>
      <c r="BI16" s="858">
        <f t="shared" si="7"/>
        <v>0</v>
      </c>
      <c r="BJ16" s="858">
        <f t="shared" si="27"/>
        <v>0</v>
      </c>
      <c r="BK16" s="842">
        <f t="shared" si="28"/>
        <v>0</v>
      </c>
      <c r="BL16" s="842">
        <f t="shared" si="29"/>
        <v>0</v>
      </c>
      <c r="BM16" s="842">
        <f t="shared" si="30"/>
        <v>0</v>
      </c>
      <c r="BN16" s="742">
        <f>IFERROR(Feed!H153*Feed!I82,0)</f>
        <v>0</v>
      </c>
      <c r="BO16" s="742">
        <f>IFERROR(Feed!I153*Feed!R82,0)</f>
        <v>0</v>
      </c>
      <c r="BP16" s="742">
        <f>IFERROR(Feed!J153*Feed!AA82,0)</f>
        <v>0</v>
      </c>
      <c r="BQ16" s="252">
        <f>VLOOKUP(INPUTS!$D$77,'Crop parameters'!$A$2:$Z$43,4,FALSE)*1000</f>
        <v>1299</v>
      </c>
      <c r="BR16" s="490">
        <f>INPUTS!$E$92</f>
        <v>0.4</v>
      </c>
      <c r="BS16" s="252">
        <f>VLOOKUP(INPUTS!$D$77,'Crop parameters'!$A$2:$Z$43,8,FALSE)*1000</f>
        <v>3582.4421538461534</v>
      </c>
      <c r="BT16" s="490">
        <f>IF(INPUTS!$E$77="Residue",INPUTS!$F$92,0)</f>
        <v>0.6</v>
      </c>
      <c r="BU16" s="490">
        <f>IFERROR(IF(INPUTS!$E$77="Main",BN16/(BQ16*BR16),BN16/(BS16*BT16)),0)</f>
        <v>0</v>
      </c>
      <c r="BV16" s="490">
        <f>IFERROR(IF(INPUTS!$E$77="Main",BO16/(BQ16*BR16),BO16/(BS16*BT16)),0)</f>
        <v>0</v>
      </c>
      <c r="BW16" s="490">
        <f>IFERROR(IF(INPUTS!$E$77="Main",BP16/(BQ16*BR16),BP16/(BS16*BT16)),0)</f>
        <v>0</v>
      </c>
      <c r="BX16" s="842">
        <f t="shared" si="8"/>
        <v>0</v>
      </c>
      <c r="BY16" s="858">
        <f t="shared" si="9"/>
        <v>0</v>
      </c>
      <c r="BZ16" s="858">
        <f t="shared" si="31"/>
        <v>0</v>
      </c>
      <c r="CA16" s="842">
        <f t="shared" si="32"/>
        <v>0</v>
      </c>
      <c r="CB16" s="842">
        <f t="shared" si="33"/>
        <v>0</v>
      </c>
      <c r="CC16" s="842">
        <f t="shared" si="34"/>
        <v>0</v>
      </c>
      <c r="CD16" s="742">
        <f>IFERROR(Feed!H153*Feed!J82,0)</f>
        <v>0</v>
      </c>
      <c r="CE16" s="742">
        <f>IFERROR(Feed!I153*Feed!S82,0)</f>
        <v>0</v>
      </c>
      <c r="CF16" s="742">
        <f>IFERROR(Feed!J153*Feed!AB82,0)</f>
        <v>0</v>
      </c>
      <c r="CG16" s="252">
        <f>VLOOKUP(INPUTS!$D$78,'Crop parameters'!$A$2:$Z$43,4,FALSE)*1000</f>
        <v>13049.999999999998</v>
      </c>
      <c r="CH16" s="490">
        <f>INPUTS!$E$93</f>
        <v>1</v>
      </c>
      <c r="CI16" s="252">
        <f>VLOOKUP(INPUTS!$D$78,'Crop parameters'!$A$2:$Z$43,8,FALSE)*1000</f>
        <v>0</v>
      </c>
      <c r="CJ16" s="490">
        <f>IF(INPUTS!$E$78="Residue",INPUTS!$F$93,0)</f>
        <v>0</v>
      </c>
      <c r="CK16" s="490">
        <f>IFERROR(IF(INPUTS!$E$78="Main",CD16/(CG16*CH16),CD16/(CI16*CJ16)),0)</f>
        <v>0</v>
      </c>
      <c r="CL16" s="490">
        <f>IFERROR(IF(INPUTS!$E$78="Main",CE16/(CG16*CH16),CE16/(CI16*CJ16)),0)</f>
        <v>0</v>
      </c>
      <c r="CM16" s="490">
        <f>IFERROR(IF(INPUTS!$E$78="Main",CF16/(CG16*CH16),CF16/(CI16*CJ16)),0)</f>
        <v>0</v>
      </c>
      <c r="CN16" s="842">
        <f t="shared" si="10"/>
        <v>0</v>
      </c>
      <c r="CO16" s="858">
        <f t="shared" si="11"/>
        <v>0</v>
      </c>
      <c r="CP16" s="858">
        <f t="shared" si="35"/>
        <v>0</v>
      </c>
      <c r="CQ16" s="842">
        <f t="shared" si="36"/>
        <v>0</v>
      </c>
      <c r="CR16" s="842">
        <f t="shared" si="37"/>
        <v>0</v>
      </c>
      <c r="CS16" s="842">
        <f t="shared" si="38"/>
        <v>0</v>
      </c>
      <c r="CT16" s="742">
        <f>IFERROR(Feed!H153*Feed!K82,0)</f>
        <v>0</v>
      </c>
      <c r="CU16" s="742">
        <f>IFERROR(Feed!I153*Feed!T82,0)</f>
        <v>0</v>
      </c>
      <c r="CV16" s="742">
        <f>IFERROR(Feed!J153*Feed!AC82,0)</f>
        <v>0</v>
      </c>
      <c r="CW16" s="252">
        <f>VLOOKUP(INPUTS!$D$79,'Crop parameters'!$A$2:$Z$43,4,FALSE)*1000</f>
        <v>0</v>
      </c>
      <c r="CX16" s="490">
        <f>INPUTS!$E$94</f>
        <v>1</v>
      </c>
      <c r="CY16" s="252">
        <f>VLOOKUP(INPUTS!$D$79,'Crop parameters'!$A$2:$Z$43,8,FALSE)*1000</f>
        <v>0</v>
      </c>
      <c r="CZ16" s="490">
        <f>IF(INPUTS!$E$79="Residue",INPUTS!$F$94,0)</f>
        <v>0</v>
      </c>
      <c r="DA16" s="490">
        <f>IFERROR(IF(INPUTS!$E$79="Main",CT16/(CW16*CX16),CT16/(CY16*CZ16)),0)</f>
        <v>0</v>
      </c>
      <c r="DB16" s="490">
        <f>IFERROR(IF(INPUTS!$E$79="Main",CU16/(CW16*CX16),CU16/(CY16*CZ16)),0)</f>
        <v>0</v>
      </c>
      <c r="DC16" s="490">
        <f>IFERROR(IF(INPUTS!$E$79="Main",CV16/(CW16*CX16),CV16/(CY16*CZ16)),0)</f>
        <v>0</v>
      </c>
      <c r="DD16" s="842">
        <f t="shared" si="12"/>
        <v>0</v>
      </c>
      <c r="DE16" s="858">
        <f t="shared" si="13"/>
        <v>0</v>
      </c>
      <c r="DF16" s="858">
        <f t="shared" si="39"/>
        <v>0</v>
      </c>
      <c r="DG16" s="842">
        <f t="shared" si="40"/>
        <v>0</v>
      </c>
      <c r="DH16" s="842">
        <f t="shared" si="41"/>
        <v>0</v>
      </c>
      <c r="DI16" s="490">
        <f t="shared" si="42"/>
        <v>0</v>
      </c>
      <c r="DJ16" s="744">
        <f t="shared" si="43"/>
        <v>0</v>
      </c>
      <c r="DK16" s="744">
        <f t="shared" si="44"/>
        <v>0</v>
      </c>
      <c r="DL16" s="744">
        <f t="shared" si="45"/>
        <v>0</v>
      </c>
    </row>
    <row r="17" spans="1:119" s="1171" customFormat="1">
      <c r="A17" s="560">
        <f>'Livestock parameters'!A13</f>
        <v>0</v>
      </c>
      <c r="B17" s="844">
        <f>IFERROR(Feed!H154*Feed!E89,0)</f>
        <v>0</v>
      </c>
      <c r="C17" s="1177">
        <f>IFERROR(Feed!I154*Feed!N89,0)</f>
        <v>0</v>
      </c>
      <c r="D17" s="1177">
        <f>IFERROR(Feed!J154*Feed!W89,0)</f>
        <v>0</v>
      </c>
      <c r="E17" s="252">
        <f>VLOOKUP(INPUTS!$D$73,'Crop parameters'!$A$2:$Z$43,4,FALSE)*1000</f>
        <v>0</v>
      </c>
      <c r="F17" s="490">
        <f>INPUTS!$E$88</f>
        <v>1</v>
      </c>
      <c r="G17" s="252">
        <f>VLOOKUP(INPUTS!$D$73,'Crop parameters'!$A$2:$Z$43,8,FALSE)*1000</f>
        <v>0</v>
      </c>
      <c r="H17" s="490">
        <f>IF(INPUTS!$E$73="Residue",INPUTS!$F$88,0)</f>
        <v>0</v>
      </c>
      <c r="I17" s="490">
        <f>IFERROR(IF(INPUTS!$E$73="Main",B17/(E17*F17),B17/(G17*H17)),0)</f>
        <v>0</v>
      </c>
      <c r="J17" s="490">
        <f>IFERROR(IF(INPUTS!$E$73="Main",C17/(E17*F17),C17/(G17*H17)),0)</f>
        <v>0</v>
      </c>
      <c r="K17" s="490">
        <f>IFERROR(IF(INPUTS!$E$73="Main",D17/(E17*F17),D17/(G17*H17)),0)</f>
        <v>0</v>
      </c>
      <c r="L17" s="842">
        <f t="shared" ref="L17:L18" si="49">IF(H17&gt;0,I17*(E17*F17/(E17*F17+G17*H17)),0)</f>
        <v>0</v>
      </c>
      <c r="M17" s="858">
        <f t="shared" ref="M17:M18" si="50">IF(H17&gt;0,J17*(E17*F17/(E17*F17+G17*H17)),0)</f>
        <v>0</v>
      </c>
      <c r="N17" s="858">
        <f t="shared" si="15"/>
        <v>0</v>
      </c>
      <c r="O17" s="842">
        <f t="shared" ref="O17:O18" si="51">IFERROR(IF(H17&gt;0,I17*(G17*H17/(E17*F17+G17*H17)),I17*(E17*F17+G17*H17)/(E17*F17+G17*H17)),0)</f>
        <v>0</v>
      </c>
      <c r="P17" s="842">
        <f t="shared" si="17"/>
        <v>0</v>
      </c>
      <c r="Q17" s="842">
        <f t="shared" si="18"/>
        <v>0</v>
      </c>
      <c r="R17" s="742">
        <f>IFERROR(Feed!H154*Feed!F89,0)</f>
        <v>0</v>
      </c>
      <c r="S17" s="570">
        <f>IFERROR(Feed!I154*Feed!O89,0)</f>
        <v>0</v>
      </c>
      <c r="T17" s="1177">
        <f>IFERROR(Feed!Z154*Feed!X89,0)</f>
        <v>0</v>
      </c>
      <c r="U17" s="252">
        <f>VLOOKUP(INPUTS!$D$74,'Crop parameters'!$A$2:$Z$43,4,FALSE)*1000</f>
        <v>22050</v>
      </c>
      <c r="V17" s="490">
        <f>INPUTS!$E$89</f>
        <v>1</v>
      </c>
      <c r="W17" s="252">
        <f>VLOOKUP(INPUTS!$D$74,'Crop parameters'!$A$2:$Z$43,8,FALSE)*1000</f>
        <v>0</v>
      </c>
      <c r="X17" s="490">
        <f>IF(INPUTS!$E$74="Residue",INPUTS!$F$89,0)</f>
        <v>0</v>
      </c>
      <c r="Y17" s="490">
        <f>IFERROR(IF(INPUTS!$E$74="Main",R17/(U17*V17),R17/(W17*X17)),0)</f>
        <v>0</v>
      </c>
      <c r="Z17" s="490">
        <f>IFERROR(IF(INPUTS!$E$74="Main",S17/(U17*V17),S17/(W17*X17)),0)</f>
        <v>0</v>
      </c>
      <c r="AA17" s="490">
        <f>IFERROR(IF(INPUTS!$E$74="Main",T17/(U17*V17),T17/(W17*X17)),0)</f>
        <v>0</v>
      </c>
      <c r="AB17" s="842">
        <f t="shared" si="2"/>
        <v>0</v>
      </c>
      <c r="AC17" s="858">
        <f t="shared" si="3"/>
        <v>0</v>
      </c>
      <c r="AD17" s="858">
        <f t="shared" si="19"/>
        <v>0</v>
      </c>
      <c r="AE17" s="842">
        <f t="shared" si="20"/>
        <v>0</v>
      </c>
      <c r="AF17" s="842">
        <f t="shared" si="21"/>
        <v>0</v>
      </c>
      <c r="AG17" s="842">
        <f t="shared" si="22"/>
        <v>0</v>
      </c>
      <c r="AH17" s="742">
        <f>IFERROR(Feed!H154*Feed!G89,0)</f>
        <v>0</v>
      </c>
      <c r="AI17" s="570">
        <f>IFERROR(Feed!I154*Feed!P89,0)</f>
        <v>0</v>
      </c>
      <c r="AJ17" s="1177">
        <f>IFERROR(Feed!J154*Feed!Y89,0)</f>
        <v>0</v>
      </c>
      <c r="AK17" s="252">
        <f>VLOOKUP(INPUTS!$D$75,'Crop parameters'!$A$2:$Z$43,4,FALSE)*1000</f>
        <v>13500</v>
      </c>
      <c r="AL17" s="490">
        <f>INPUTS!$E$90</f>
        <v>1</v>
      </c>
      <c r="AM17" s="252">
        <f>VLOOKUP(INPUTS!$D$75,'Crop parameters'!$A$2:$Z$43,8,FALSE)*1000</f>
        <v>0</v>
      </c>
      <c r="AN17" s="490">
        <f>IF(INPUTS!$E$75="Residue",INPUTS!$F$90,0)</f>
        <v>0</v>
      </c>
      <c r="AO17" s="490">
        <f>IFERROR(IF(INPUTS!$E$75="Main",AH17/(AK17*AL17),AH17/(AM17*AN17)),0)</f>
        <v>0</v>
      </c>
      <c r="AP17" s="490">
        <f>IFERROR(IF(INPUTS!$E$75="Main",AI17/(AK17*AL17),AI17/(AM17*AN17)),0)</f>
        <v>0</v>
      </c>
      <c r="AQ17" s="490">
        <f>IFERROR(IF(INPUTS!$E$75="Main",AJ17/(AK17*AL17),AJ17/(AM17*AN17)),0)</f>
        <v>0</v>
      </c>
      <c r="AR17" s="842">
        <f t="shared" si="4"/>
        <v>0</v>
      </c>
      <c r="AS17" s="858">
        <f t="shared" si="5"/>
        <v>0</v>
      </c>
      <c r="AT17" s="858">
        <f t="shared" si="23"/>
        <v>0</v>
      </c>
      <c r="AU17" s="842">
        <f t="shared" si="24"/>
        <v>0</v>
      </c>
      <c r="AV17" s="842">
        <f t="shared" si="25"/>
        <v>0</v>
      </c>
      <c r="AW17" s="842">
        <f t="shared" si="26"/>
        <v>0</v>
      </c>
      <c r="AX17" s="844">
        <f>IFERROR(Feed!H154*Feed!H89,0)</f>
        <v>0</v>
      </c>
      <c r="AY17" s="570">
        <f>IFERROR(Feed!I154*Feed!Q89,0)</f>
        <v>0</v>
      </c>
      <c r="AZ17" s="570">
        <f>IFERROR(Feed!J154*Feed!Z89,0)</f>
        <v>0</v>
      </c>
      <c r="BA17" s="252">
        <f>VLOOKUP(INPUTS!$D$76,'Crop parameters'!$A$2:$Z$43,4,FALSE)*1000</f>
        <v>19800</v>
      </c>
      <c r="BB17" s="490">
        <f>INPUTS!$E$91</f>
        <v>1</v>
      </c>
      <c r="BC17" s="252">
        <f>VLOOKUP(INPUTS!$D$76,'Crop parameters'!$A$2:$Z$43,8,FALSE)*1000</f>
        <v>0</v>
      </c>
      <c r="BD17" s="490">
        <f>IF(INPUTS!$E$76="Residue",INPUTS!$F$91,0)</f>
        <v>0</v>
      </c>
      <c r="BE17" s="490">
        <f>IFERROR(IF(INPUTS!$E$76="Main",AX17/(BA17*BB17),AX17/(BC17*BD17)),0)</f>
        <v>0</v>
      </c>
      <c r="BF17" s="490">
        <f>IFERROR(IF(INPUTS!$E$76="Main",AY17/(BA17*BB17),AY17/(BC17*BD17)),0)</f>
        <v>0</v>
      </c>
      <c r="BG17" s="490">
        <f>IFERROR(IF(INPUTS!$E$76="Main",AZ17/(BA17*BB17),AZ17/(BC17*BD17)),0)</f>
        <v>0</v>
      </c>
      <c r="BH17" s="842">
        <f t="shared" si="6"/>
        <v>0</v>
      </c>
      <c r="BI17" s="858">
        <f t="shared" si="7"/>
        <v>0</v>
      </c>
      <c r="BJ17" s="858">
        <f t="shared" si="27"/>
        <v>0</v>
      </c>
      <c r="BK17" s="842">
        <f t="shared" si="28"/>
        <v>0</v>
      </c>
      <c r="BL17" s="842">
        <f t="shared" si="29"/>
        <v>0</v>
      </c>
      <c r="BM17" s="842">
        <f t="shared" si="30"/>
        <v>0</v>
      </c>
      <c r="BN17" s="1177">
        <f>IFERROR(Feed!H154*Feed!I89,0)</f>
        <v>0</v>
      </c>
      <c r="BO17" s="570">
        <f>IFERROR(Feed!I154*Feed!R89,0)</f>
        <v>0</v>
      </c>
      <c r="BP17" s="570">
        <f>IFERROR(Feed!J154*Feed!AA89,0)</f>
        <v>0</v>
      </c>
      <c r="BQ17" s="252">
        <f>VLOOKUP(INPUTS!$D$77,'Crop parameters'!$A$2:$Z$43,4,FALSE)*1000</f>
        <v>1299</v>
      </c>
      <c r="BR17" s="490">
        <f>INPUTS!$E$92</f>
        <v>0.4</v>
      </c>
      <c r="BS17" s="252">
        <f>VLOOKUP(INPUTS!$D$77,'Crop parameters'!$A$2:$Z$43,8,FALSE)*1000</f>
        <v>3582.4421538461534</v>
      </c>
      <c r="BT17" s="490">
        <f>IF(INPUTS!$E$77="Residue",INPUTS!$F$92,0)</f>
        <v>0.6</v>
      </c>
      <c r="BU17" s="490">
        <f>IFERROR(IF(INPUTS!$E$77="Main",BN17/(BQ17*BR17),BN17/(BS17*BT17)),0)</f>
        <v>0</v>
      </c>
      <c r="BV17" s="490">
        <f>IFERROR(IF(INPUTS!$E$77="Main",BO17/(BQ17*BR17),BO17/(BS17*BT17)),0)</f>
        <v>0</v>
      </c>
      <c r="BW17" s="490">
        <f>IFERROR(IF(INPUTS!$E$77="Main",BP17/(BQ17*BR17),BP17/(BS17*BT17)),0)</f>
        <v>0</v>
      </c>
      <c r="BX17" s="842">
        <f t="shared" si="8"/>
        <v>0</v>
      </c>
      <c r="BY17" s="858">
        <f t="shared" si="9"/>
        <v>0</v>
      </c>
      <c r="BZ17" s="858">
        <f t="shared" si="31"/>
        <v>0</v>
      </c>
      <c r="CA17" s="842">
        <f t="shared" si="32"/>
        <v>0</v>
      </c>
      <c r="CB17" s="842">
        <f t="shared" si="33"/>
        <v>0</v>
      </c>
      <c r="CC17" s="842">
        <f t="shared" si="34"/>
        <v>0</v>
      </c>
      <c r="CD17" s="1177">
        <f>IFERROR(Feed!H154*Feed!J89,0)</f>
        <v>0</v>
      </c>
      <c r="CE17" s="570">
        <f>IFERROR(Feed!I154*Feed!S89,0)</f>
        <v>0</v>
      </c>
      <c r="CF17" s="570">
        <f>IFERROR(Feed!J154*Feed!AB89,0)</f>
        <v>0</v>
      </c>
      <c r="CG17" s="252">
        <f>VLOOKUP(INPUTS!$D$78,'Crop parameters'!$A$2:$Z$43,4,FALSE)*1000</f>
        <v>13049.999999999998</v>
      </c>
      <c r="CH17" s="490">
        <f>INPUTS!$E$93</f>
        <v>1</v>
      </c>
      <c r="CI17" s="252">
        <f>VLOOKUP(INPUTS!$D$78,'Crop parameters'!$A$2:$Z$43,8,FALSE)*1000</f>
        <v>0</v>
      </c>
      <c r="CJ17" s="490">
        <f>IF(INPUTS!$E$78="Residue",INPUTS!$F$93,0)</f>
        <v>0</v>
      </c>
      <c r="CK17" s="490">
        <f>IFERROR(IF(INPUTS!$E$78="Main",CD17/(CG17*CH17),CD17/(CI17*CJ17)),0)</f>
        <v>0</v>
      </c>
      <c r="CL17" s="490">
        <f>IFERROR(IF(INPUTS!$E$78="Main",CE17/(CG17*CH17),CE17/(CI17*CJ17)),0)</f>
        <v>0</v>
      </c>
      <c r="CM17" s="490">
        <f>IFERROR(IF(INPUTS!$E$78="Main",CF17/(CG17*CH17),CF17/(CI17*CJ17)),0)</f>
        <v>0</v>
      </c>
      <c r="CN17" s="842">
        <f t="shared" si="10"/>
        <v>0</v>
      </c>
      <c r="CO17" s="858">
        <f t="shared" si="11"/>
        <v>0</v>
      </c>
      <c r="CP17" s="858">
        <f t="shared" si="35"/>
        <v>0</v>
      </c>
      <c r="CQ17" s="842">
        <f t="shared" si="36"/>
        <v>0</v>
      </c>
      <c r="CR17" s="842">
        <f t="shared" si="37"/>
        <v>0</v>
      </c>
      <c r="CS17" s="842">
        <f t="shared" si="38"/>
        <v>0</v>
      </c>
      <c r="CT17" s="1177">
        <f>IFERROR(Feed!H154*Feed!K89,0)</f>
        <v>0</v>
      </c>
      <c r="CU17" s="570">
        <f>IFERROR(Feed!I154*Feed!T89,0)</f>
        <v>0</v>
      </c>
      <c r="CV17" s="570">
        <f>IFERROR(Feed!J154*Feed!AC89,0)</f>
        <v>0</v>
      </c>
      <c r="CW17" s="252">
        <f>VLOOKUP(INPUTS!$D$79,'Crop parameters'!$A$2:$Z$43,4,FALSE)*1000</f>
        <v>0</v>
      </c>
      <c r="CX17" s="490">
        <f>INPUTS!$E$94</f>
        <v>1</v>
      </c>
      <c r="CY17" s="252">
        <f>VLOOKUP(INPUTS!$D$79,'Crop parameters'!$A$2:$Z$43,8,FALSE)*1000</f>
        <v>0</v>
      </c>
      <c r="CZ17" s="490">
        <f>IF(INPUTS!$E$79="Residue",INPUTS!$F$94,0)</f>
        <v>0</v>
      </c>
      <c r="DA17" s="490">
        <f>IFERROR(IF(INPUTS!$E$79="Main",CT17/(CW17*CX17),CT17/(CY17*CZ17)),0)</f>
        <v>0</v>
      </c>
      <c r="DB17" s="490">
        <f>IFERROR(IF(INPUTS!$E$79="Main",CU17/(CW17*CX17),CU17/(CY17*CZ17)),0)</f>
        <v>0</v>
      </c>
      <c r="DC17" s="490">
        <f>IFERROR(IF(INPUTS!$E$79="Main",CV17/(CW17*CX17),CV17/(CY17*CZ17)),0)</f>
        <v>0</v>
      </c>
      <c r="DD17" s="842">
        <f t="shared" si="12"/>
        <v>0</v>
      </c>
      <c r="DE17" s="858">
        <f t="shared" si="13"/>
        <v>0</v>
      </c>
      <c r="DF17" s="858">
        <f t="shared" si="39"/>
        <v>0</v>
      </c>
      <c r="DG17" s="842">
        <f t="shared" si="40"/>
        <v>0</v>
      </c>
      <c r="DH17" s="842">
        <f t="shared" si="41"/>
        <v>0</v>
      </c>
      <c r="DI17" s="490">
        <f t="shared" si="42"/>
        <v>0</v>
      </c>
      <c r="DJ17" s="744">
        <f t="shared" si="43"/>
        <v>0</v>
      </c>
      <c r="DK17" s="744">
        <f t="shared" si="44"/>
        <v>0</v>
      </c>
      <c r="DL17" s="744">
        <f t="shared" si="45"/>
        <v>0</v>
      </c>
    </row>
    <row r="18" spans="1:119" s="1171" customFormat="1">
      <c r="A18" s="560">
        <f>'Livestock parameters'!A14</f>
        <v>0</v>
      </c>
      <c r="B18" s="844">
        <f>IFERROR(Feed!H155*Feed!E96,0)</f>
        <v>0</v>
      </c>
      <c r="C18" s="1177">
        <f>IFERROR(Feed!I155*Feed!N96,0)</f>
        <v>0</v>
      </c>
      <c r="D18" s="1177">
        <f>IFERROR(Feed!J155*Feed!W96,0)</f>
        <v>0</v>
      </c>
      <c r="E18" s="252">
        <f>VLOOKUP(INPUTS!$D$73,'Crop parameters'!$A$2:$Z$43,4,FALSE)*1000</f>
        <v>0</v>
      </c>
      <c r="F18" s="490">
        <f>INPUTS!$E$88</f>
        <v>1</v>
      </c>
      <c r="G18" s="252">
        <f>VLOOKUP(INPUTS!$D$73,'Crop parameters'!$A$2:$Z$43,8,FALSE)*1000</f>
        <v>0</v>
      </c>
      <c r="H18" s="490">
        <f>IF(INPUTS!$E$73="Residue",INPUTS!$F$88,0)</f>
        <v>0</v>
      </c>
      <c r="I18" s="490">
        <f>IFERROR(IF(INPUTS!$E$73="Main",B18/(E18*F18),B18/(G18*H18)),0)</f>
        <v>0</v>
      </c>
      <c r="J18" s="490">
        <f>IFERROR(IF(INPUTS!$E$73="Main",C18/(E18*F18),C18/(G18*H18)),0)</f>
        <v>0</v>
      </c>
      <c r="K18" s="490">
        <f>IFERROR(IF(INPUTS!$E$73="Main",D18/(E18*F18),D18/(G18*H18)),0)</f>
        <v>0</v>
      </c>
      <c r="L18" s="842">
        <f t="shared" si="49"/>
        <v>0</v>
      </c>
      <c r="M18" s="858">
        <f t="shared" si="50"/>
        <v>0</v>
      </c>
      <c r="N18" s="858">
        <f t="shared" si="15"/>
        <v>0</v>
      </c>
      <c r="O18" s="842">
        <f t="shared" si="51"/>
        <v>0</v>
      </c>
      <c r="P18" s="842">
        <f t="shared" si="17"/>
        <v>0</v>
      </c>
      <c r="Q18" s="842">
        <f t="shared" si="18"/>
        <v>0</v>
      </c>
      <c r="R18" s="742">
        <f>IFERROR(Feed!H155*Feed!F96,0)</f>
        <v>0</v>
      </c>
      <c r="S18" s="570">
        <f>IFERROR(Feed!I155*Feed!O96,0)</f>
        <v>0</v>
      </c>
      <c r="T18" s="1177">
        <f>IFERROR(Feed!Z155*Feed!X96,0)</f>
        <v>0</v>
      </c>
      <c r="U18" s="252">
        <f>VLOOKUP(INPUTS!$D$74,'Crop parameters'!$A$2:$Z$43,4,FALSE)*1000</f>
        <v>22050</v>
      </c>
      <c r="V18" s="490">
        <f>INPUTS!$E$89</f>
        <v>1</v>
      </c>
      <c r="W18" s="252">
        <f>VLOOKUP(INPUTS!$D$74,'Crop parameters'!$A$2:$Z$43,8,FALSE)*1000</f>
        <v>0</v>
      </c>
      <c r="X18" s="490">
        <f>IF(INPUTS!$E$74="Residue",INPUTS!$F$89,0)</f>
        <v>0</v>
      </c>
      <c r="Y18" s="490">
        <f>IFERROR(IF(INPUTS!$E$74="Main",R18/(U18*V18),R18/(W18*X18)),0)</f>
        <v>0</v>
      </c>
      <c r="Z18" s="490">
        <f>IFERROR(IF(INPUTS!$E$74="Main",S18/(U18*V18),S18/(W18*X18)),0)</f>
        <v>0</v>
      </c>
      <c r="AA18" s="490">
        <f>IFERROR(IF(INPUTS!$E$74="Main",T18/(U18*V18),T18/(W18*X18)),0)</f>
        <v>0</v>
      </c>
      <c r="AB18" s="842">
        <f t="shared" si="2"/>
        <v>0</v>
      </c>
      <c r="AC18" s="858">
        <f t="shared" si="3"/>
        <v>0</v>
      </c>
      <c r="AD18" s="858">
        <f t="shared" si="19"/>
        <v>0</v>
      </c>
      <c r="AE18" s="842">
        <f t="shared" si="20"/>
        <v>0</v>
      </c>
      <c r="AF18" s="842">
        <f t="shared" si="21"/>
        <v>0</v>
      </c>
      <c r="AG18" s="842">
        <f t="shared" si="22"/>
        <v>0</v>
      </c>
      <c r="AH18" s="742">
        <f>IFERROR(Feed!H155*Feed!G96,0)</f>
        <v>0</v>
      </c>
      <c r="AI18" s="570">
        <f>IFERROR(Feed!I155*Feed!P96,0)</f>
        <v>0</v>
      </c>
      <c r="AJ18" s="1177">
        <f>IFERROR(Feed!J155*Feed!Y96,0)</f>
        <v>0</v>
      </c>
      <c r="AK18" s="252">
        <f>VLOOKUP(INPUTS!$D$75,'Crop parameters'!$A$2:$Z$43,4,FALSE)*1000</f>
        <v>13500</v>
      </c>
      <c r="AL18" s="490">
        <f>INPUTS!$E$90</f>
        <v>1</v>
      </c>
      <c r="AM18" s="252">
        <f>VLOOKUP(INPUTS!$D$75,'Crop parameters'!$A$2:$Z$43,8,FALSE)*1000</f>
        <v>0</v>
      </c>
      <c r="AN18" s="490">
        <f>IF(INPUTS!$E$75="Residue",INPUTS!$F$90,0)</f>
        <v>0</v>
      </c>
      <c r="AO18" s="490">
        <f>IFERROR(IF(INPUTS!$E$75="Main",AH18/(AK18*AL18),AH18/(AM18*AN18)),0)</f>
        <v>0</v>
      </c>
      <c r="AP18" s="490">
        <f>IFERROR(IF(INPUTS!$E$75="Main",AI18/(AK18*AL18),AI18/(AM18*AN18)),0)</f>
        <v>0</v>
      </c>
      <c r="AQ18" s="490">
        <f>IFERROR(IF(INPUTS!$E$75="Main",AJ18/(AK18*AL18),AJ18/(AM18*AN18)),0)</f>
        <v>0</v>
      </c>
      <c r="AR18" s="842">
        <f t="shared" si="4"/>
        <v>0</v>
      </c>
      <c r="AS18" s="858">
        <f t="shared" si="5"/>
        <v>0</v>
      </c>
      <c r="AT18" s="858">
        <f t="shared" si="23"/>
        <v>0</v>
      </c>
      <c r="AU18" s="842">
        <f t="shared" si="24"/>
        <v>0</v>
      </c>
      <c r="AV18" s="842">
        <f t="shared" si="25"/>
        <v>0</v>
      </c>
      <c r="AW18" s="842">
        <f t="shared" si="26"/>
        <v>0</v>
      </c>
      <c r="AX18" s="844">
        <f>IFERROR(Feed!H155*Feed!H96,0)</f>
        <v>0</v>
      </c>
      <c r="AY18" s="570">
        <f>IFERROR(Feed!I155*Feed!Q96,0)</f>
        <v>0</v>
      </c>
      <c r="AZ18" s="570">
        <f>IFERROR(Feed!J155*Feed!Z96,0)</f>
        <v>0</v>
      </c>
      <c r="BA18" s="252">
        <f>VLOOKUP(INPUTS!$D$76,'Crop parameters'!$A$2:$Z$43,4,FALSE)*1000</f>
        <v>19800</v>
      </c>
      <c r="BB18" s="490">
        <f>INPUTS!$E$91</f>
        <v>1</v>
      </c>
      <c r="BC18" s="252">
        <f>VLOOKUP(INPUTS!$D$76,'Crop parameters'!$A$2:$Z$43,8,FALSE)*1000</f>
        <v>0</v>
      </c>
      <c r="BD18" s="490">
        <f>IF(INPUTS!$E$76="Residue",INPUTS!$F$91,0)</f>
        <v>0</v>
      </c>
      <c r="BE18" s="490">
        <f>IFERROR(IF(INPUTS!$E$76="Main",AX18/(BA18*BB18),AX18/(BC18*BD18)),0)</f>
        <v>0</v>
      </c>
      <c r="BF18" s="490">
        <f>IFERROR(IF(INPUTS!$E$76="Main",AY18/(BA18*BB18),AY18/(BC18*BD18)),0)</f>
        <v>0</v>
      </c>
      <c r="BG18" s="490">
        <f>IFERROR(IF(INPUTS!$E$76="Main",AZ18/(BA18*BB18),AZ18/(BC18*BD18)),0)</f>
        <v>0</v>
      </c>
      <c r="BH18" s="842">
        <f t="shared" si="6"/>
        <v>0</v>
      </c>
      <c r="BI18" s="858">
        <f t="shared" si="7"/>
        <v>0</v>
      </c>
      <c r="BJ18" s="858">
        <f t="shared" si="27"/>
        <v>0</v>
      </c>
      <c r="BK18" s="842">
        <f t="shared" si="28"/>
        <v>0</v>
      </c>
      <c r="BL18" s="842">
        <f t="shared" si="29"/>
        <v>0</v>
      </c>
      <c r="BM18" s="842">
        <f t="shared" si="30"/>
        <v>0</v>
      </c>
      <c r="BN18" s="1177">
        <f>IFERROR(Feed!H155*Feed!I96,0)</f>
        <v>0</v>
      </c>
      <c r="BO18" s="570">
        <f>IFERROR(Feed!I155*Feed!R96,0)</f>
        <v>0</v>
      </c>
      <c r="BP18" s="570">
        <f>IFERROR(Feed!J155*Feed!AA96,0)</f>
        <v>0</v>
      </c>
      <c r="BQ18" s="252">
        <f>VLOOKUP(INPUTS!$D$77,'Crop parameters'!$A$2:$Z$43,4,FALSE)*1000</f>
        <v>1299</v>
      </c>
      <c r="BR18" s="490">
        <f>INPUTS!$E$92</f>
        <v>0.4</v>
      </c>
      <c r="BS18" s="252">
        <f>VLOOKUP(INPUTS!$D$77,'Crop parameters'!$A$2:$Z$43,8,FALSE)*1000</f>
        <v>3582.4421538461534</v>
      </c>
      <c r="BT18" s="490">
        <f>IF(INPUTS!$E$77="Residue",INPUTS!$F$92,0)</f>
        <v>0.6</v>
      </c>
      <c r="BU18" s="490">
        <f>IFERROR(IF(INPUTS!$E$77="Main",BN18/(BQ18*BR18),BN18/(BS18*BT18)),0)</f>
        <v>0</v>
      </c>
      <c r="BV18" s="490">
        <f>IFERROR(IF(INPUTS!$E$77="Main",BO18/(BQ18*BR18),BO18/(BS18*BT18)),0)</f>
        <v>0</v>
      </c>
      <c r="BW18" s="490">
        <f>IFERROR(IF(INPUTS!$E$77="Main",BP18/(BQ18*BR18),BP18/(BS18*BT18)),0)</f>
        <v>0</v>
      </c>
      <c r="BX18" s="842">
        <f t="shared" si="8"/>
        <v>0</v>
      </c>
      <c r="BY18" s="858">
        <f t="shared" si="9"/>
        <v>0</v>
      </c>
      <c r="BZ18" s="858">
        <f t="shared" si="31"/>
        <v>0</v>
      </c>
      <c r="CA18" s="842">
        <f t="shared" si="32"/>
        <v>0</v>
      </c>
      <c r="CB18" s="842">
        <f t="shared" si="33"/>
        <v>0</v>
      </c>
      <c r="CC18" s="842">
        <f t="shared" si="34"/>
        <v>0</v>
      </c>
      <c r="CD18" s="1177">
        <f>IFERROR(Feed!H155*Feed!J96,0)</f>
        <v>0</v>
      </c>
      <c r="CE18" s="570">
        <f>IFERROR(Feed!I155*Feed!S96,0)</f>
        <v>0</v>
      </c>
      <c r="CF18" s="570">
        <f>IFERROR(Feed!J155*Feed!AB96,0)</f>
        <v>0</v>
      </c>
      <c r="CG18" s="252">
        <f>VLOOKUP(INPUTS!$D$78,'Crop parameters'!$A$2:$Z$43,4,FALSE)*1000</f>
        <v>13049.999999999998</v>
      </c>
      <c r="CH18" s="490">
        <f>INPUTS!$E$93</f>
        <v>1</v>
      </c>
      <c r="CI18" s="252">
        <f>VLOOKUP(INPUTS!$D$78,'Crop parameters'!$A$2:$Z$43,8,FALSE)*1000</f>
        <v>0</v>
      </c>
      <c r="CJ18" s="490">
        <f>IF(INPUTS!$E$78="Residue",INPUTS!$F$93,0)</f>
        <v>0</v>
      </c>
      <c r="CK18" s="490">
        <f>IFERROR(IF(INPUTS!$E$78="Main",CD18/(CG18*CH18),CD18/(CI18*CJ18)),0)</f>
        <v>0</v>
      </c>
      <c r="CL18" s="490">
        <f>IFERROR(IF(INPUTS!$E$78="Main",CE18/(CG18*CH18),CE18/(CI18*CJ18)),0)</f>
        <v>0</v>
      </c>
      <c r="CM18" s="490">
        <f>IFERROR(IF(INPUTS!$E$78="Main",CF18/(CG18*CH18),CF18/(CI18*CJ18)),0)</f>
        <v>0</v>
      </c>
      <c r="CN18" s="842">
        <f t="shared" si="10"/>
        <v>0</v>
      </c>
      <c r="CO18" s="858">
        <f t="shared" si="11"/>
        <v>0</v>
      </c>
      <c r="CP18" s="858">
        <f t="shared" si="35"/>
        <v>0</v>
      </c>
      <c r="CQ18" s="842">
        <f t="shared" si="36"/>
        <v>0</v>
      </c>
      <c r="CR18" s="842">
        <f t="shared" si="37"/>
        <v>0</v>
      </c>
      <c r="CS18" s="842">
        <f t="shared" si="38"/>
        <v>0</v>
      </c>
      <c r="CT18" s="1177">
        <f>IFERROR(Feed!H155*Feed!K96,0)</f>
        <v>0</v>
      </c>
      <c r="CU18" s="570">
        <f>IFERROR(Feed!I155*Feed!T96,0)</f>
        <v>0</v>
      </c>
      <c r="CV18" s="570">
        <f>IFERROR(Feed!J155*Feed!AC96,0)</f>
        <v>0</v>
      </c>
      <c r="CW18" s="252">
        <f>VLOOKUP(INPUTS!$D$79,'Crop parameters'!$A$2:$Z$43,4,FALSE)*1000</f>
        <v>0</v>
      </c>
      <c r="CX18" s="490">
        <f>INPUTS!$E$94</f>
        <v>1</v>
      </c>
      <c r="CY18" s="252">
        <f>VLOOKUP(INPUTS!$D$79,'Crop parameters'!$A$2:$Z$43,8,FALSE)*1000</f>
        <v>0</v>
      </c>
      <c r="CZ18" s="490">
        <f>IF(INPUTS!$E$79="Residue",INPUTS!$F$94,0)</f>
        <v>0</v>
      </c>
      <c r="DA18" s="490">
        <f>IFERROR(IF(INPUTS!$E$79="Main",CT18/(CW18*CX18),CT18/(CY18*CZ18)),0)</f>
        <v>0</v>
      </c>
      <c r="DB18" s="490">
        <f>IFERROR(IF(INPUTS!$E$79="Main",CU18/(CW18*CX18),CU18/(CY18*CZ18)),0)</f>
        <v>0</v>
      </c>
      <c r="DC18" s="490">
        <f>IFERROR(IF(INPUTS!$E$79="Main",CV18/(CW18*CX18),CV18/(CY18*CZ18)),0)</f>
        <v>0</v>
      </c>
      <c r="DD18" s="842">
        <f t="shared" si="12"/>
        <v>0</v>
      </c>
      <c r="DE18" s="858">
        <f t="shared" si="13"/>
        <v>0</v>
      </c>
      <c r="DF18" s="858">
        <f t="shared" si="39"/>
        <v>0</v>
      </c>
      <c r="DG18" s="842">
        <f t="shared" si="40"/>
        <v>0</v>
      </c>
      <c r="DH18" s="842">
        <f t="shared" si="41"/>
        <v>0</v>
      </c>
      <c r="DI18" s="490">
        <f t="shared" si="42"/>
        <v>0</v>
      </c>
      <c r="DJ18" s="744">
        <f t="shared" si="43"/>
        <v>0</v>
      </c>
      <c r="DK18" s="744">
        <f t="shared" si="44"/>
        <v>0</v>
      </c>
      <c r="DL18" s="744">
        <f t="shared" si="45"/>
        <v>0</v>
      </c>
    </row>
    <row r="19" spans="1:119" s="1143" customFormat="1">
      <c r="A19" s="560">
        <f>'Livestock parameters'!A15</f>
        <v>0</v>
      </c>
      <c r="B19" s="742">
        <f>IFERROR(Feed!H156*Feed!E103,0)</f>
        <v>0</v>
      </c>
      <c r="C19" s="742">
        <f>IFERROR(Feed!I156*Feed!N103,0)</f>
        <v>0</v>
      </c>
      <c r="D19" s="742">
        <f>IFERROR(Feed!J156*Feed!W103,0)</f>
        <v>0</v>
      </c>
      <c r="E19" s="252">
        <f>VLOOKUP(INPUTS!$D$73,'Crop parameters'!$A$2:$Z$43,4,FALSE)*1000</f>
        <v>0</v>
      </c>
      <c r="F19" s="490">
        <f>INPUTS!$E$88</f>
        <v>1</v>
      </c>
      <c r="G19" s="252">
        <f>VLOOKUP(INPUTS!$D$73,'Crop parameters'!$A$2:$Z$43,8,FALSE)*1000</f>
        <v>0</v>
      </c>
      <c r="H19" s="490">
        <f>IF(INPUTS!$E$73="Residue",INPUTS!$F$88,0)</f>
        <v>0</v>
      </c>
      <c r="I19" s="490">
        <f>IFERROR(IF(INPUTS!$E$73="Main",B19/(E19*F19),B19/(G19*H19)),0)</f>
        <v>0</v>
      </c>
      <c r="J19" s="490">
        <f>IFERROR(IF(INPUTS!$E$73="Main",C19/(E19*F19),C19/(G19*H19)),0)</f>
        <v>0</v>
      </c>
      <c r="K19" s="490">
        <f>IFERROR(IF(INPUTS!$E$73="Main",D19/(E19*F19),D19/(G19*H19)),0)</f>
        <v>0</v>
      </c>
      <c r="L19" s="842">
        <f t="shared" ref="L19" si="52">IF(H19&gt;0,I19*(E19*F19/(E19*F19+G19*H19)),0)</f>
        <v>0</v>
      </c>
      <c r="M19" s="858">
        <f t="shared" ref="M19" si="53">IF(H19&gt;0,J19*(E19*F19/(E19*F19+G19*H19)),0)</f>
        <v>0</v>
      </c>
      <c r="N19" s="858">
        <f t="shared" si="15"/>
        <v>0</v>
      </c>
      <c r="O19" s="842">
        <f t="shared" ref="O19" si="54">IFERROR(IF(H19&gt;0,I19*(G19*H19/(E19*F19+G19*H19)),I19*(E19*F19+G19*H19)/(E19*F19+G19*H19)),0)</f>
        <v>0</v>
      </c>
      <c r="P19" s="842">
        <f t="shared" si="17"/>
        <v>0</v>
      </c>
      <c r="Q19" s="842">
        <f t="shared" si="18"/>
        <v>0</v>
      </c>
      <c r="R19" s="742">
        <f>IFERROR(Feed!H156*Feed!F103,0)</f>
        <v>0</v>
      </c>
      <c r="S19" s="570">
        <f>IFERROR(Feed!I156*Feed!O103,0)</f>
        <v>0</v>
      </c>
      <c r="T19" s="742">
        <f>IFERROR(Feed!Z156*Feed!X103,0)</f>
        <v>0</v>
      </c>
      <c r="U19" s="252">
        <f>VLOOKUP(INPUTS!$D$74,'Crop parameters'!$A$2:$Z$43,4,FALSE)*1000</f>
        <v>22050</v>
      </c>
      <c r="V19" s="490">
        <f>INPUTS!$E$89</f>
        <v>1</v>
      </c>
      <c r="W19" s="252">
        <f>VLOOKUP(INPUTS!$D$74,'Crop parameters'!$A$2:$Z$43,8,FALSE)*1000</f>
        <v>0</v>
      </c>
      <c r="X19" s="490">
        <f>IF(INPUTS!$E$74="Residue",INPUTS!$F$89,0)</f>
        <v>0</v>
      </c>
      <c r="Y19" s="490">
        <f>IFERROR(IF(INPUTS!$E$74="Main",R19/(U19*V19),R19/(W19*X19)),0)</f>
        <v>0</v>
      </c>
      <c r="Z19" s="490">
        <f>IFERROR(IF(INPUTS!$E$74="Main",S19/(U19*V19),S19/(W19*X19)),0)</f>
        <v>0</v>
      </c>
      <c r="AA19" s="490">
        <f>IFERROR(IF(INPUTS!$E$74="Main",T19/(U19*V19),T19/(W19*X19)),0)</f>
        <v>0</v>
      </c>
      <c r="AB19" s="842">
        <f t="shared" si="2"/>
        <v>0</v>
      </c>
      <c r="AC19" s="858">
        <f t="shared" si="3"/>
        <v>0</v>
      </c>
      <c r="AD19" s="858">
        <f t="shared" si="19"/>
        <v>0</v>
      </c>
      <c r="AE19" s="842">
        <f t="shared" si="20"/>
        <v>0</v>
      </c>
      <c r="AF19" s="842">
        <f t="shared" si="21"/>
        <v>0</v>
      </c>
      <c r="AG19" s="842">
        <f t="shared" si="22"/>
        <v>0</v>
      </c>
      <c r="AH19" s="742">
        <f>IFERROR(Feed!H156*Feed!G103,0)</f>
        <v>0</v>
      </c>
      <c r="AI19" s="570">
        <f>IFERROR(Feed!I156*Feed!P103,0)</f>
        <v>0</v>
      </c>
      <c r="AJ19" s="742">
        <f>IFERROR(Feed!J156*Feed!Y103,0)</f>
        <v>0</v>
      </c>
      <c r="AK19" s="252">
        <f>VLOOKUP(INPUTS!$D$75,'Crop parameters'!$A$2:$Z$43,4,FALSE)*1000</f>
        <v>13500</v>
      </c>
      <c r="AL19" s="490">
        <f>INPUTS!$E$90</f>
        <v>1</v>
      </c>
      <c r="AM19" s="252">
        <f>VLOOKUP(INPUTS!$D$75,'Crop parameters'!$A$2:$Z$43,8,FALSE)*1000</f>
        <v>0</v>
      </c>
      <c r="AN19" s="490">
        <f>IF(INPUTS!$E$75="Residue",INPUTS!$F$90,0)</f>
        <v>0</v>
      </c>
      <c r="AO19" s="490">
        <f>IFERROR(IF(INPUTS!$E$75="Main",AH19/(AK19*AL19),AH19/(AM19*AN19)),0)</f>
        <v>0</v>
      </c>
      <c r="AP19" s="490">
        <f>IFERROR(IF(INPUTS!$E$75="Main",AI19/(AK19*AL19),AI19/(AM19*AN19)),0)</f>
        <v>0</v>
      </c>
      <c r="AQ19" s="490">
        <f>IFERROR(IF(INPUTS!$E$75="Main",AJ19/(AK19*AL19),AJ19/(AM19*AN19)),0)</f>
        <v>0</v>
      </c>
      <c r="AR19" s="842">
        <f t="shared" si="4"/>
        <v>0</v>
      </c>
      <c r="AS19" s="858">
        <f t="shared" si="5"/>
        <v>0</v>
      </c>
      <c r="AT19" s="858">
        <f t="shared" si="23"/>
        <v>0</v>
      </c>
      <c r="AU19" s="842">
        <f t="shared" si="24"/>
        <v>0</v>
      </c>
      <c r="AV19" s="842">
        <f t="shared" si="25"/>
        <v>0</v>
      </c>
      <c r="AW19" s="842">
        <f t="shared" si="26"/>
        <v>0</v>
      </c>
      <c r="AX19" s="844">
        <f>IFERROR(Feed!H156*Feed!H103,0)</f>
        <v>0</v>
      </c>
      <c r="AY19" s="570">
        <f>IFERROR(Feed!I156*Feed!Q103,0)</f>
        <v>0</v>
      </c>
      <c r="AZ19" s="570">
        <f>IFERROR(Feed!J156*Feed!Z103,0)</f>
        <v>0</v>
      </c>
      <c r="BA19" s="252">
        <f>VLOOKUP(INPUTS!$D$76,'Crop parameters'!$A$2:$Z$43,4,FALSE)*1000</f>
        <v>19800</v>
      </c>
      <c r="BB19" s="490">
        <f>INPUTS!$E$91</f>
        <v>1</v>
      </c>
      <c r="BC19" s="252">
        <f>VLOOKUP(INPUTS!$D$76,'Crop parameters'!$A$2:$Z$43,8,FALSE)*1000</f>
        <v>0</v>
      </c>
      <c r="BD19" s="490">
        <f>IF(INPUTS!$E$76="Residue",INPUTS!$F$91,0)</f>
        <v>0</v>
      </c>
      <c r="BE19" s="490">
        <f>IFERROR(IF(INPUTS!$E$76="Main",AX19/(BA19*BB19),AX19/(BC19*BD19)),0)</f>
        <v>0</v>
      </c>
      <c r="BF19" s="490">
        <f>IFERROR(IF(INPUTS!$E$76="Main",AY19/(BA19*BB19),AY19/(BC19*BD19)),0)</f>
        <v>0</v>
      </c>
      <c r="BG19" s="490">
        <f>IFERROR(IF(INPUTS!$E$76="Main",AZ19/(BA19*BB19),AZ19/(BC19*BD19)),0)</f>
        <v>0</v>
      </c>
      <c r="BH19" s="842">
        <f t="shared" si="6"/>
        <v>0</v>
      </c>
      <c r="BI19" s="858">
        <f t="shared" si="7"/>
        <v>0</v>
      </c>
      <c r="BJ19" s="858">
        <f t="shared" si="27"/>
        <v>0</v>
      </c>
      <c r="BK19" s="842">
        <f t="shared" si="28"/>
        <v>0</v>
      </c>
      <c r="BL19" s="842">
        <f t="shared" si="29"/>
        <v>0</v>
      </c>
      <c r="BM19" s="842">
        <f t="shared" si="30"/>
        <v>0</v>
      </c>
      <c r="BN19" s="1177">
        <f>IFERROR(Feed!H156*Feed!I103,0)</f>
        <v>0</v>
      </c>
      <c r="BO19" s="570">
        <f>IFERROR(Feed!I156*Feed!R103,0)</f>
        <v>0</v>
      </c>
      <c r="BP19" s="570">
        <f>IFERROR(Feed!J156*Feed!AA103,0)</f>
        <v>0</v>
      </c>
      <c r="BQ19" s="252">
        <f>VLOOKUP(INPUTS!$D$77,'Crop parameters'!$A$2:$Z$43,4,FALSE)*1000</f>
        <v>1299</v>
      </c>
      <c r="BR19" s="490">
        <f>INPUTS!$E$92</f>
        <v>0.4</v>
      </c>
      <c r="BS19" s="252">
        <f>VLOOKUP(INPUTS!$D$77,'Crop parameters'!$A$2:$Z$43,8,FALSE)*1000</f>
        <v>3582.4421538461534</v>
      </c>
      <c r="BT19" s="490">
        <f>IF(INPUTS!$E$77="Residue",INPUTS!$F$92,0)</f>
        <v>0.6</v>
      </c>
      <c r="BU19" s="490">
        <f>IFERROR(IF(INPUTS!$E$77="Main",BN19/(BQ19*BR19),BN19/(BS19*BT19)),0)</f>
        <v>0</v>
      </c>
      <c r="BV19" s="490">
        <f>IFERROR(IF(INPUTS!$E$77="Main",BO19/(BQ19*BR19),BO19/(BS19*BT19)),0)</f>
        <v>0</v>
      </c>
      <c r="BW19" s="490">
        <f>IFERROR(IF(INPUTS!$E$77="Main",BP19/(BQ19*BR19),BP19/(BS19*BT19)),0)</f>
        <v>0</v>
      </c>
      <c r="BX19" s="842">
        <f t="shared" si="8"/>
        <v>0</v>
      </c>
      <c r="BY19" s="858">
        <f t="shared" si="9"/>
        <v>0</v>
      </c>
      <c r="BZ19" s="858">
        <f t="shared" si="31"/>
        <v>0</v>
      </c>
      <c r="CA19" s="842">
        <f t="shared" si="32"/>
        <v>0</v>
      </c>
      <c r="CB19" s="842">
        <f t="shared" si="33"/>
        <v>0</v>
      </c>
      <c r="CC19" s="842">
        <f t="shared" si="34"/>
        <v>0</v>
      </c>
      <c r="CD19" s="1177">
        <f>IFERROR(Feed!H156*Feed!J103,0)</f>
        <v>0</v>
      </c>
      <c r="CE19" s="570">
        <f>IFERROR(Feed!I156*Feed!S103,0)</f>
        <v>0</v>
      </c>
      <c r="CF19" s="570">
        <f>IFERROR(Feed!J156*Feed!AB103,0)</f>
        <v>0</v>
      </c>
      <c r="CG19" s="252">
        <f>VLOOKUP(INPUTS!$D$78,'Crop parameters'!$A$2:$Z$43,4,FALSE)*1000</f>
        <v>13049.999999999998</v>
      </c>
      <c r="CH19" s="490">
        <f>INPUTS!$E$93</f>
        <v>1</v>
      </c>
      <c r="CI19" s="252">
        <f>VLOOKUP(INPUTS!$D$78,'Crop parameters'!$A$2:$Z$43,8,FALSE)*1000</f>
        <v>0</v>
      </c>
      <c r="CJ19" s="490">
        <f>IF(INPUTS!$E$78="Residue",INPUTS!$F$93,0)</f>
        <v>0</v>
      </c>
      <c r="CK19" s="490">
        <f>IFERROR(IF(INPUTS!$E$78="Main",CD19/(CG19*CH19),CD19/(CI19*CJ19)),0)</f>
        <v>0</v>
      </c>
      <c r="CL19" s="490">
        <f>IFERROR(IF(INPUTS!$E$78="Main",CE19/(CG19*CH19),CE19/(CI19*CJ19)),0)</f>
        <v>0</v>
      </c>
      <c r="CM19" s="490">
        <f>IFERROR(IF(INPUTS!$E$78="Main",CF19/(CG19*CH19),CF19/(CI19*CJ19)),0)</f>
        <v>0</v>
      </c>
      <c r="CN19" s="842">
        <f t="shared" si="10"/>
        <v>0</v>
      </c>
      <c r="CO19" s="858">
        <f t="shared" si="11"/>
        <v>0</v>
      </c>
      <c r="CP19" s="858">
        <f t="shared" si="35"/>
        <v>0</v>
      </c>
      <c r="CQ19" s="842">
        <f t="shared" si="36"/>
        <v>0</v>
      </c>
      <c r="CR19" s="842">
        <f t="shared" si="37"/>
        <v>0</v>
      </c>
      <c r="CS19" s="842">
        <f t="shared" si="38"/>
        <v>0</v>
      </c>
      <c r="CT19" s="1177">
        <f>IFERROR(Feed!H156*Feed!K103,0)</f>
        <v>0</v>
      </c>
      <c r="CU19" s="570">
        <f>IFERROR(Feed!I156*Feed!T103,0)</f>
        <v>0</v>
      </c>
      <c r="CV19" s="570">
        <f>IFERROR(Feed!J156*Feed!AC103,0)</f>
        <v>0</v>
      </c>
      <c r="CW19" s="252">
        <f>VLOOKUP(INPUTS!$D$79,'Crop parameters'!$A$2:$Z$43,4,FALSE)*1000</f>
        <v>0</v>
      </c>
      <c r="CX19" s="490">
        <f>INPUTS!$E$94</f>
        <v>1</v>
      </c>
      <c r="CY19" s="252">
        <f>VLOOKUP(INPUTS!$D$79,'Crop parameters'!$A$2:$Z$43,8,FALSE)*1000</f>
        <v>0</v>
      </c>
      <c r="CZ19" s="490">
        <f>IF(INPUTS!$E$79="Residue",INPUTS!$F$94,0)</f>
        <v>0</v>
      </c>
      <c r="DA19" s="490">
        <f>IFERROR(IF(INPUTS!$E$79="Main",CT19/(CW19*CX19),CT19/(CY19*CZ19)),0)</f>
        <v>0</v>
      </c>
      <c r="DB19" s="490">
        <f>IFERROR(IF(INPUTS!$E$79="Main",CU19/(CW19*CX19),CU19/(CY19*CZ19)),0)</f>
        <v>0</v>
      </c>
      <c r="DC19" s="490">
        <f>IFERROR(IF(INPUTS!$E$79="Main",CV19/(CW19*CX19),CV19/(CY19*CZ19)),0)</f>
        <v>0</v>
      </c>
      <c r="DD19" s="842">
        <f t="shared" si="12"/>
        <v>0</v>
      </c>
      <c r="DE19" s="858">
        <f t="shared" si="13"/>
        <v>0</v>
      </c>
      <c r="DF19" s="858">
        <f t="shared" si="39"/>
        <v>0</v>
      </c>
      <c r="DG19" s="842">
        <f t="shared" si="40"/>
        <v>0</v>
      </c>
      <c r="DH19" s="842">
        <f t="shared" si="41"/>
        <v>0</v>
      </c>
      <c r="DI19" s="490">
        <f t="shared" si="42"/>
        <v>0</v>
      </c>
      <c r="DJ19" s="744">
        <f t="shared" si="43"/>
        <v>0</v>
      </c>
      <c r="DK19" s="744">
        <f t="shared" si="44"/>
        <v>0</v>
      </c>
      <c r="DL19" s="744">
        <f t="shared" si="45"/>
        <v>0</v>
      </c>
    </row>
    <row r="20" spans="1:119">
      <c r="A20" s="560"/>
      <c r="B20" s="746">
        <f>SUM(B6:B19)</f>
        <v>941.11067717427863</v>
      </c>
      <c r="C20" s="746">
        <f>SUM(C6:C19)</f>
        <v>1138.6123150760645</v>
      </c>
      <c r="D20" s="746">
        <f>SUM(D6:D19)</f>
        <v>0</v>
      </c>
      <c r="E20" s="400"/>
      <c r="F20" s="400"/>
      <c r="G20" s="400"/>
      <c r="H20" s="252"/>
      <c r="I20" s="490"/>
      <c r="J20" s="846"/>
      <c r="K20" s="846"/>
      <c r="L20" s="846"/>
      <c r="M20" s="846"/>
      <c r="N20" s="846"/>
      <c r="O20" s="846"/>
      <c r="P20" s="846"/>
      <c r="Q20" s="744"/>
      <c r="R20" s="565">
        <f t="shared" ref="R20:S20" si="55">SUM(R6:R19)</f>
        <v>470.55533858713932</v>
      </c>
      <c r="S20" s="400">
        <f t="shared" si="55"/>
        <v>189.76871917934403</v>
      </c>
      <c r="T20" s="746">
        <f>SUM(T6:T19)</f>
        <v>0</v>
      </c>
      <c r="U20" s="400"/>
      <c r="V20" s="400"/>
      <c r="W20" s="400"/>
      <c r="X20" s="252"/>
      <c r="Y20" s="490"/>
      <c r="Z20" s="846"/>
      <c r="AA20" s="846"/>
      <c r="AB20" s="846"/>
      <c r="AC20" s="846"/>
      <c r="AD20" s="846"/>
      <c r="AE20" s="846"/>
      <c r="AF20" s="846"/>
      <c r="AG20" s="744"/>
      <c r="AH20" s="565">
        <f t="shared" ref="AH20:AI20" si="56">SUM(AH6:AH19)</f>
        <v>1926.7672597348064</v>
      </c>
      <c r="AI20" s="400">
        <f t="shared" si="56"/>
        <v>748.16317536456393</v>
      </c>
      <c r="AJ20" s="746">
        <f>SUM(AJ6:AJ19)</f>
        <v>0</v>
      </c>
      <c r="AK20" s="400"/>
      <c r="AL20" s="400"/>
      <c r="AM20" s="400"/>
      <c r="AN20" s="252"/>
      <c r="AO20" s="490"/>
      <c r="AP20" s="846"/>
      <c r="AQ20" s="846"/>
      <c r="AR20" s="846"/>
      <c r="AS20" s="846"/>
      <c r="AT20" s="846"/>
      <c r="AU20" s="846"/>
      <c r="AV20" s="846"/>
      <c r="AW20" s="744"/>
      <c r="AX20" s="565">
        <f t="shared" ref="AX20:AY20" si="57">SUM(AX6:AX19)</f>
        <v>230.04927664260148</v>
      </c>
      <c r="AY20" s="400">
        <f t="shared" si="57"/>
        <v>1043.7279554863924</v>
      </c>
      <c r="AZ20" s="746">
        <f>SUM(AZ6:AZ19)</f>
        <v>0</v>
      </c>
      <c r="BA20" s="400"/>
      <c r="BB20" s="400"/>
      <c r="BC20" s="400"/>
      <c r="BD20" s="252"/>
      <c r="BE20" s="490"/>
      <c r="BF20" s="846"/>
      <c r="BG20" s="846"/>
      <c r="BH20" s="846"/>
      <c r="BI20" s="846"/>
      <c r="BJ20" s="846"/>
      <c r="BK20" s="846"/>
      <c r="BL20" s="846"/>
      <c r="BM20" s="744"/>
      <c r="BN20" s="565">
        <f t="shared" ref="BN20:BO20" si="58">SUM(BN6:BN19)</f>
        <v>363.8961285073878</v>
      </c>
      <c r="BO20" s="400">
        <f t="shared" si="58"/>
        <v>2063.7348210753662</v>
      </c>
      <c r="BP20" s="400">
        <f t="shared" ref="BP20" si="59">SUM(BP6:BP19)</f>
        <v>0</v>
      </c>
      <c r="BQ20" s="400"/>
      <c r="BR20" s="400"/>
      <c r="BS20" s="400"/>
      <c r="BT20" s="252"/>
      <c r="BU20" s="490"/>
      <c r="BV20" s="846"/>
      <c r="BW20" s="846"/>
      <c r="BX20" s="846"/>
      <c r="BY20" s="846"/>
      <c r="BZ20" s="846"/>
      <c r="CA20" s="846"/>
      <c r="CB20" s="846"/>
      <c r="CC20" s="744"/>
      <c r="CD20" s="565">
        <f t="shared" ref="CD20:CE20" si="60">SUM(CD6:CD19)</f>
        <v>4517.3312504365376</v>
      </c>
      <c r="CE20" s="400">
        <f t="shared" si="60"/>
        <v>1897.6871917934407</v>
      </c>
      <c r="CF20" s="400">
        <f t="shared" ref="CF20" si="61">SUM(CF6:CF19)</f>
        <v>0</v>
      </c>
      <c r="CG20" s="400"/>
      <c r="CH20" s="400"/>
      <c r="CI20" s="400"/>
      <c r="CJ20" s="252"/>
      <c r="CK20" s="490"/>
      <c r="CL20" s="846"/>
      <c r="CM20" s="846"/>
      <c r="CN20" s="846"/>
      <c r="CO20" s="846"/>
      <c r="CP20" s="846"/>
      <c r="CQ20" s="846"/>
      <c r="CR20" s="846"/>
      <c r="CS20" s="744"/>
      <c r="CT20" s="1178">
        <f t="shared" ref="CT20:CU20" si="62">SUM(CT6:CT19)</f>
        <v>0</v>
      </c>
      <c r="CU20" s="400">
        <f t="shared" si="62"/>
        <v>0</v>
      </c>
      <c r="CV20" s="400">
        <f t="shared" ref="CV20" si="63">SUM(CV6:CV19)</f>
        <v>0</v>
      </c>
      <c r="CW20" s="400"/>
      <c r="CX20" s="400"/>
      <c r="CY20" s="400"/>
      <c r="CZ20" s="252"/>
      <c r="DA20" s="490"/>
      <c r="DB20" s="846"/>
      <c r="DC20" s="846"/>
      <c r="DD20" s="846"/>
      <c r="DE20" s="846"/>
      <c r="DF20" s="846"/>
      <c r="DG20" s="846"/>
      <c r="DH20" s="846"/>
      <c r="DI20" s="744"/>
      <c r="DJ20" s="564"/>
      <c r="DK20" s="564"/>
      <c r="DL20" s="564"/>
    </row>
    <row r="21" spans="1:119" ht="16.5" thickBot="1">
      <c r="A21" s="561"/>
      <c r="B21" s="566"/>
      <c r="C21" s="567"/>
      <c r="D21" s="567"/>
      <c r="E21" s="567"/>
      <c r="F21" s="567"/>
      <c r="G21" s="567"/>
      <c r="H21" s="567"/>
      <c r="I21" s="571">
        <f>SUM(I6:I19)</f>
        <v>0</v>
      </c>
      <c r="J21" s="571">
        <f t="shared" ref="J21:Q21" si="64">SUM(J6:J19)</f>
        <v>0</v>
      </c>
      <c r="K21" s="571">
        <f t="shared" si="64"/>
        <v>0</v>
      </c>
      <c r="L21" s="571">
        <f t="shared" si="64"/>
        <v>0</v>
      </c>
      <c r="M21" s="571">
        <f t="shared" si="64"/>
        <v>0</v>
      </c>
      <c r="N21" s="571">
        <f t="shared" si="64"/>
        <v>0</v>
      </c>
      <c r="O21" s="571">
        <f t="shared" si="64"/>
        <v>0</v>
      </c>
      <c r="P21" s="571">
        <f t="shared" si="64"/>
        <v>0</v>
      </c>
      <c r="Q21" s="571">
        <f t="shared" si="64"/>
        <v>0</v>
      </c>
      <c r="R21" s="566"/>
      <c r="S21" s="567"/>
      <c r="T21" s="567"/>
      <c r="U21" s="567"/>
      <c r="V21" s="567"/>
      <c r="W21" s="567"/>
      <c r="X21" s="567"/>
      <c r="Y21" s="571">
        <f>SUM(Y6:Y19)</f>
        <v>2.1340378167217205E-2</v>
      </c>
      <c r="Z21" s="571">
        <f t="shared" ref="Z21:AE21" si="65">SUM(Z6:Z19)</f>
        <v>8.6062911192446283E-3</v>
      </c>
      <c r="AA21" s="571">
        <f t="shared" si="65"/>
        <v>0</v>
      </c>
      <c r="AB21" s="571">
        <f t="shared" si="65"/>
        <v>0</v>
      </c>
      <c r="AC21" s="571">
        <f t="shared" si="65"/>
        <v>0</v>
      </c>
      <c r="AD21" s="571">
        <f t="shared" si="65"/>
        <v>0</v>
      </c>
      <c r="AE21" s="571">
        <f t="shared" si="65"/>
        <v>2.1340378167217205E-2</v>
      </c>
      <c r="AF21" s="571">
        <f t="shared" ref="AF21:AG21" si="66">SUM(AF6:AF19)</f>
        <v>8.6062911192446283E-3</v>
      </c>
      <c r="AG21" s="571">
        <f t="shared" si="66"/>
        <v>0</v>
      </c>
      <c r="AH21" s="566"/>
      <c r="AI21" s="567"/>
      <c r="AJ21" s="567"/>
      <c r="AK21" s="567"/>
      <c r="AL21" s="567"/>
      <c r="AM21" s="567"/>
      <c r="AN21" s="567"/>
      <c r="AO21" s="571">
        <f>SUM(AO6:AO19)</f>
        <v>0.1427235007210968</v>
      </c>
      <c r="AP21" s="571">
        <f t="shared" ref="AP21:AV21" si="67">SUM(AP6:AP19)</f>
        <v>5.5419494471449178E-2</v>
      </c>
      <c r="AQ21" s="571">
        <f t="shared" si="67"/>
        <v>0</v>
      </c>
      <c r="AR21" s="571">
        <f t="shared" si="67"/>
        <v>0</v>
      </c>
      <c r="AS21" s="571">
        <f t="shared" si="67"/>
        <v>0</v>
      </c>
      <c r="AT21" s="571">
        <f t="shared" si="67"/>
        <v>0</v>
      </c>
      <c r="AU21" s="571">
        <f t="shared" si="67"/>
        <v>0.1427235007210968</v>
      </c>
      <c r="AV21" s="571">
        <f t="shared" si="67"/>
        <v>5.5419494471449178E-2</v>
      </c>
      <c r="AW21" s="571">
        <f t="shared" ref="AW21" si="68">SUM(AW6:AW19)</f>
        <v>0</v>
      </c>
      <c r="AX21" s="843"/>
      <c r="AY21" s="567"/>
      <c r="AZ21" s="567"/>
      <c r="BA21" s="567"/>
      <c r="BB21" s="567"/>
      <c r="BC21" s="567"/>
      <c r="BD21" s="567"/>
      <c r="BE21" s="571">
        <f>SUM(BE6:BE19)</f>
        <v>1.1618650335484922E-2</v>
      </c>
      <c r="BF21" s="571">
        <f t="shared" ref="BF21:BM21" si="69">SUM(BF6:BF19)</f>
        <v>5.2713533105373356E-2</v>
      </c>
      <c r="BG21" s="571">
        <f t="shared" si="69"/>
        <v>0</v>
      </c>
      <c r="BH21" s="571">
        <f t="shared" si="69"/>
        <v>0</v>
      </c>
      <c r="BI21" s="571">
        <f t="shared" si="69"/>
        <v>0</v>
      </c>
      <c r="BJ21" s="571">
        <f t="shared" si="69"/>
        <v>0</v>
      </c>
      <c r="BK21" s="571">
        <f t="shared" si="69"/>
        <v>1.1618650335484922E-2</v>
      </c>
      <c r="BL21" s="571">
        <f t="shared" si="69"/>
        <v>5.2713533105373356E-2</v>
      </c>
      <c r="BM21" s="571">
        <f t="shared" si="69"/>
        <v>0</v>
      </c>
      <c r="BN21" s="566"/>
      <c r="BO21" s="567"/>
      <c r="BP21" s="567"/>
      <c r="BQ21" s="567"/>
      <c r="BR21" s="567"/>
      <c r="BS21" s="567"/>
      <c r="BT21" s="567"/>
      <c r="BU21" s="571">
        <f>SUM(BU6:BU19)</f>
        <v>0.16929611741565015</v>
      </c>
      <c r="BV21" s="571">
        <f t="shared" ref="BV21:CC21" si="70">SUM(BV6:BV19)</f>
        <v>0.96011544287822193</v>
      </c>
      <c r="BW21" s="571">
        <f t="shared" si="70"/>
        <v>0</v>
      </c>
      <c r="BX21" s="571">
        <f t="shared" si="70"/>
        <v>3.2957703531154764E-2</v>
      </c>
      <c r="BY21" s="571">
        <f t="shared" si="70"/>
        <v>0.18691037104161384</v>
      </c>
      <c r="BZ21" s="571">
        <f t="shared" si="70"/>
        <v>0</v>
      </c>
      <c r="CA21" s="571">
        <f t="shared" si="70"/>
        <v>0.13633841388449541</v>
      </c>
      <c r="CB21" s="571">
        <f t="shared" si="70"/>
        <v>0.77320507183660814</v>
      </c>
      <c r="CC21" s="571">
        <f t="shared" si="70"/>
        <v>0</v>
      </c>
      <c r="CD21" s="566"/>
      <c r="CE21" s="567"/>
      <c r="CF21" s="567"/>
      <c r="CG21" s="567"/>
      <c r="CH21" s="567"/>
      <c r="CI21" s="567"/>
      <c r="CJ21" s="567"/>
      <c r="CK21" s="571">
        <f>SUM(CK6:CK19)</f>
        <v>0.34615565137444737</v>
      </c>
      <c r="CL21" s="571">
        <f t="shared" ref="CL21:CS21" si="71">SUM(CL6:CL19)</f>
        <v>0.14541664304930582</v>
      </c>
      <c r="CM21" s="571">
        <f t="shared" si="71"/>
        <v>0</v>
      </c>
      <c r="CN21" s="571">
        <f t="shared" si="71"/>
        <v>0</v>
      </c>
      <c r="CO21" s="571">
        <f t="shared" si="71"/>
        <v>0</v>
      </c>
      <c r="CP21" s="571">
        <f t="shared" si="71"/>
        <v>0</v>
      </c>
      <c r="CQ21" s="571">
        <f t="shared" si="71"/>
        <v>0.34615565137444737</v>
      </c>
      <c r="CR21" s="571">
        <f t="shared" si="71"/>
        <v>0.14541664304930582</v>
      </c>
      <c r="CS21" s="571">
        <f t="shared" si="71"/>
        <v>0</v>
      </c>
      <c r="CT21" s="566"/>
      <c r="CU21" s="567"/>
      <c r="CV21" s="567"/>
      <c r="CW21" s="567"/>
      <c r="CX21" s="567"/>
      <c r="CY21" s="567"/>
      <c r="CZ21" s="567"/>
      <c r="DA21" s="571">
        <f>SUM(DA6:DA19)</f>
        <v>0</v>
      </c>
      <c r="DB21" s="571">
        <f t="shared" ref="DB21:DI21" si="72">SUM(DB6:DB19)</f>
        <v>0</v>
      </c>
      <c r="DC21" s="571">
        <f t="shared" si="72"/>
        <v>0</v>
      </c>
      <c r="DD21" s="571">
        <f t="shared" si="72"/>
        <v>0</v>
      </c>
      <c r="DE21" s="571">
        <f t="shared" si="72"/>
        <v>0</v>
      </c>
      <c r="DF21" s="571">
        <f t="shared" si="72"/>
        <v>0</v>
      </c>
      <c r="DG21" s="571">
        <f t="shared" si="72"/>
        <v>0</v>
      </c>
      <c r="DH21" s="571">
        <f t="shared" si="72"/>
        <v>0</v>
      </c>
      <c r="DI21" s="571">
        <f t="shared" si="72"/>
        <v>0</v>
      </c>
      <c r="DJ21" s="571">
        <f t="shared" ref="DJ21:DK21" si="73">SUM(DJ6:DJ19)</f>
        <v>0.65817659448274179</v>
      </c>
      <c r="DK21" s="571">
        <f t="shared" si="73"/>
        <v>1.0353610335819812</v>
      </c>
      <c r="DL21" s="571">
        <f t="shared" ref="DL21" si="74">SUM(DL6:DL19)</f>
        <v>0</v>
      </c>
      <c r="DN21" s="847"/>
      <c r="DO21" s="847"/>
    </row>
    <row r="22" spans="1:119">
      <c r="A22" s="497"/>
      <c r="B22" s="496"/>
      <c r="C22" s="496"/>
      <c r="D22" s="496"/>
      <c r="E22" s="496"/>
      <c r="F22" s="496"/>
      <c r="G22" s="496"/>
      <c r="H22" s="496"/>
      <c r="I22" s="496"/>
      <c r="J22" s="496"/>
      <c r="K22" s="496"/>
      <c r="L22" s="496"/>
      <c r="M22" s="496"/>
      <c r="N22" s="496"/>
      <c r="O22" s="496"/>
      <c r="P22" s="496"/>
      <c r="Q22" s="496"/>
      <c r="R22" s="496"/>
      <c r="S22" s="496"/>
      <c r="T22" s="496"/>
      <c r="U22" s="496"/>
      <c r="V22" s="496"/>
      <c r="W22" s="496"/>
      <c r="X22" s="496"/>
      <c r="Y22" s="496"/>
      <c r="Z22" s="496"/>
      <c r="AA22" s="496"/>
      <c r="AB22" s="496"/>
      <c r="AC22" s="496"/>
      <c r="AD22" s="496"/>
      <c r="AE22" s="496"/>
      <c r="AF22" s="496"/>
      <c r="AG22" s="496"/>
      <c r="AH22" s="495"/>
      <c r="AI22" s="495"/>
      <c r="AJ22" s="495"/>
      <c r="AK22" s="495"/>
      <c r="AL22" s="495"/>
      <c r="AM22" s="495"/>
      <c r="AN22" s="496"/>
      <c r="AO22" s="496"/>
      <c r="AP22" s="496"/>
      <c r="AQ22" s="496"/>
      <c r="AR22" s="496"/>
      <c r="AS22" s="496"/>
      <c r="AT22" s="496"/>
      <c r="AU22" s="496"/>
      <c r="AV22" s="496"/>
      <c r="AW22" s="496"/>
      <c r="AX22" s="495"/>
      <c r="AY22" s="495"/>
      <c r="AZ22" s="495"/>
      <c r="BA22" s="495"/>
      <c r="BB22" s="495"/>
      <c r="BC22" s="495"/>
      <c r="BD22" s="495"/>
      <c r="BE22" s="496"/>
      <c r="BF22" s="496"/>
      <c r="BG22" s="496"/>
      <c r="BH22" s="496"/>
      <c r="BI22" s="496"/>
      <c r="BJ22" s="496"/>
      <c r="BK22" s="496"/>
      <c r="BL22" s="496"/>
      <c r="BM22" s="539"/>
      <c r="BN22" s="495"/>
      <c r="BO22" s="495"/>
      <c r="BP22" s="495"/>
      <c r="BQ22" s="495"/>
      <c r="BR22" s="495"/>
      <c r="BS22" s="495"/>
      <c r="BT22" s="495"/>
      <c r="BU22" s="496"/>
      <c r="BV22" s="496"/>
      <c r="BW22" s="496"/>
      <c r="BX22" s="496"/>
      <c r="BY22" s="496"/>
      <c r="BZ22" s="496"/>
      <c r="CA22" s="496"/>
      <c r="CB22" s="496"/>
      <c r="CC22" s="496"/>
      <c r="CD22" s="495"/>
      <c r="CE22" s="495"/>
      <c r="CF22" s="495"/>
      <c r="CG22" s="495"/>
      <c r="CH22" s="495"/>
      <c r="CI22" s="495"/>
      <c r="CJ22" s="495"/>
      <c r="CK22" s="496"/>
      <c r="CL22" s="496"/>
      <c r="CM22" s="496"/>
      <c r="CN22" s="496"/>
      <c r="CO22" s="496"/>
      <c r="CP22" s="496"/>
      <c r="CQ22" s="496"/>
      <c r="CR22" s="496"/>
      <c r="CS22" s="496"/>
      <c r="CT22" s="495"/>
      <c r="CU22" s="495"/>
      <c r="CV22" s="495"/>
      <c r="CW22" s="495"/>
      <c r="CX22" s="495"/>
      <c r="CY22" s="495"/>
      <c r="CZ22" s="495"/>
      <c r="DA22" s="495"/>
      <c r="DB22" s="495"/>
      <c r="DC22" s="495"/>
      <c r="DD22" s="496"/>
      <c r="DE22" s="496"/>
      <c r="DF22" s="496"/>
      <c r="DG22" s="496"/>
      <c r="DH22" s="496"/>
      <c r="DI22" s="496"/>
      <c r="DJ22" s="496"/>
      <c r="DK22" s="496"/>
    </row>
    <row r="23" spans="1:119">
      <c r="A23" s="492"/>
      <c r="B23" s="72"/>
      <c r="C23" s="72"/>
      <c r="D23" s="72"/>
      <c r="E23" s="493"/>
      <c r="F23" s="493"/>
      <c r="G23" s="493"/>
      <c r="H23" s="494"/>
      <c r="I23" s="494"/>
      <c r="J23" s="494"/>
      <c r="K23" s="494"/>
      <c r="L23" s="494"/>
      <c r="M23" s="494"/>
      <c r="N23" s="494"/>
      <c r="O23" s="494"/>
      <c r="P23" s="494"/>
      <c r="Q23" s="493"/>
      <c r="R23" s="493"/>
      <c r="S23" s="493"/>
      <c r="T23" s="493"/>
      <c r="U23" s="493"/>
      <c r="V23" s="493"/>
      <c r="W23" s="493"/>
      <c r="X23" s="493"/>
      <c r="Y23" s="493"/>
      <c r="Z23" s="493"/>
      <c r="AA23" s="493"/>
      <c r="AB23" s="493"/>
      <c r="AC23" s="493"/>
      <c r="AD23" s="493"/>
      <c r="AE23" s="493"/>
      <c r="AF23" s="493"/>
      <c r="AG23" s="493"/>
      <c r="AH23" s="493"/>
      <c r="AI23" s="493"/>
      <c r="AJ23" s="493"/>
      <c r="AK23" s="493"/>
      <c r="AL23" s="493"/>
      <c r="AM23" s="493"/>
      <c r="AN23" s="494"/>
      <c r="AO23" s="494"/>
      <c r="AP23" s="494"/>
      <c r="AQ23" s="494"/>
      <c r="AR23" s="494"/>
      <c r="AS23" s="494"/>
      <c r="AT23" s="494"/>
      <c r="AU23" s="494"/>
      <c r="AV23" s="494"/>
      <c r="AW23" s="493"/>
      <c r="AX23" s="493"/>
      <c r="AY23" s="493"/>
      <c r="AZ23" s="493"/>
      <c r="BA23" s="493"/>
      <c r="BB23" s="493"/>
      <c r="BC23" s="493"/>
      <c r="BD23" s="493"/>
      <c r="BE23" s="493"/>
      <c r="BF23" s="493"/>
      <c r="BG23" s="493"/>
      <c r="BH23" s="493"/>
      <c r="BI23" s="493"/>
      <c r="BJ23" s="493"/>
      <c r="BK23" s="493"/>
      <c r="BL23" s="493"/>
      <c r="BM23" s="187"/>
      <c r="BN23" s="493"/>
      <c r="BO23" s="493"/>
      <c r="BP23" s="493"/>
      <c r="BQ23" s="493"/>
      <c r="BR23" s="493"/>
      <c r="BS23" s="493"/>
      <c r="BT23" s="493"/>
      <c r="BU23" s="493"/>
      <c r="BV23" s="493"/>
      <c r="BW23" s="493"/>
      <c r="BX23" s="493"/>
      <c r="BY23" s="493"/>
      <c r="BZ23" s="493"/>
      <c r="CA23" s="493"/>
      <c r="CB23" s="493"/>
      <c r="CC23" s="493"/>
      <c r="CD23" s="493"/>
      <c r="CE23" s="493"/>
      <c r="CF23" s="493"/>
      <c r="CG23" s="493"/>
      <c r="CH23" s="493"/>
      <c r="CI23" s="493"/>
      <c r="CJ23" s="493"/>
      <c r="CK23" s="493"/>
      <c r="CL23" s="493"/>
      <c r="CM23" s="493"/>
      <c r="CN23" s="493"/>
      <c r="CO23" s="493"/>
      <c r="CP23" s="493"/>
      <c r="CQ23" s="493"/>
      <c r="CR23" s="493"/>
      <c r="CS23" s="493"/>
      <c r="CT23" s="493"/>
      <c r="CU23" s="493"/>
      <c r="CV23" s="493"/>
      <c r="CW23" s="493"/>
      <c r="CX23" s="493"/>
      <c r="CY23" s="493"/>
      <c r="CZ23" s="493"/>
      <c r="DA23" s="493"/>
      <c r="DB23" s="493"/>
      <c r="DC23" s="493"/>
      <c r="DD23" s="493"/>
      <c r="DE23" s="493"/>
      <c r="DF23" s="493"/>
      <c r="DG23" s="493"/>
      <c r="DH23" s="493"/>
      <c r="DI23" s="493"/>
      <c r="DJ23" s="72"/>
      <c r="DK23" s="72"/>
    </row>
    <row r="24" spans="1:119">
      <c r="A24" s="492"/>
      <c r="B24" s="493"/>
      <c r="C24" s="493"/>
      <c r="D24" s="493"/>
      <c r="E24" s="493"/>
      <c r="F24" s="493"/>
      <c r="G24" s="493"/>
      <c r="H24" s="494"/>
      <c r="I24" s="494"/>
      <c r="J24" s="494"/>
      <c r="K24" s="494"/>
      <c r="L24" s="494"/>
      <c r="M24" s="494"/>
      <c r="N24" s="494"/>
      <c r="O24" s="494"/>
      <c r="P24" s="494"/>
      <c r="Q24" s="493"/>
      <c r="R24" s="493"/>
      <c r="S24" s="493"/>
      <c r="T24" s="493"/>
      <c r="U24" s="493"/>
      <c r="V24" s="493"/>
      <c r="W24" s="493"/>
      <c r="X24" s="493"/>
      <c r="Y24" s="493"/>
      <c r="Z24" s="493"/>
      <c r="AA24" s="493"/>
      <c r="AB24" s="493"/>
      <c r="AC24" s="493"/>
      <c r="AD24" s="493"/>
      <c r="AE24" s="493"/>
      <c r="AF24" s="493"/>
      <c r="AG24" s="493"/>
      <c r="AH24" s="493"/>
      <c r="AI24" s="493"/>
      <c r="AJ24" s="493"/>
      <c r="AK24" s="493"/>
      <c r="AL24" s="493"/>
      <c r="AM24" s="493"/>
      <c r="AN24" s="494"/>
      <c r="AO24" s="494"/>
      <c r="AP24" s="494"/>
      <c r="AQ24" s="494"/>
      <c r="AR24" s="494"/>
      <c r="AS24" s="494"/>
      <c r="AT24" s="494"/>
      <c r="AU24" s="494"/>
      <c r="AV24" s="494"/>
      <c r="AW24" s="493"/>
      <c r="AX24" s="493"/>
      <c r="AY24" s="493"/>
      <c r="AZ24" s="493"/>
      <c r="BA24" s="493"/>
      <c r="BB24" s="493"/>
      <c r="BC24" s="493"/>
      <c r="BD24" s="493"/>
      <c r="BE24" s="493"/>
      <c r="BF24" s="493"/>
      <c r="BG24" s="493"/>
      <c r="BH24" s="493"/>
      <c r="BI24" s="493"/>
      <c r="BJ24" s="493"/>
      <c r="BK24" s="493"/>
      <c r="BL24" s="493"/>
      <c r="BM24" s="187"/>
      <c r="BN24" s="493"/>
      <c r="BO24" s="493"/>
      <c r="BP24" s="493"/>
      <c r="BQ24" s="493"/>
      <c r="BR24" s="493"/>
      <c r="BS24" s="493"/>
      <c r="BT24" s="493"/>
      <c r="BU24" s="493"/>
      <c r="BV24" s="493"/>
      <c r="BW24" s="493"/>
      <c r="BX24" s="493"/>
      <c r="BY24" s="493"/>
      <c r="BZ24" s="493"/>
      <c r="CA24" s="493"/>
      <c r="CB24" s="493"/>
      <c r="CC24" s="493"/>
      <c r="CD24" s="493"/>
      <c r="CE24" s="493"/>
      <c r="CF24" s="493"/>
      <c r="CG24" s="493"/>
      <c r="CH24" s="493"/>
      <c r="CI24" s="493"/>
      <c r="CJ24" s="493"/>
      <c r="CK24" s="493"/>
      <c r="CL24" s="493"/>
      <c r="CM24" s="493"/>
      <c r="CN24" s="493"/>
      <c r="CO24" s="493"/>
      <c r="CP24" s="493"/>
      <c r="CQ24" s="493"/>
      <c r="CR24" s="493"/>
      <c r="CS24" s="493"/>
      <c r="CT24" s="493"/>
      <c r="CU24" s="493"/>
      <c r="CV24" s="493"/>
      <c r="CW24" s="493"/>
      <c r="CX24" s="493"/>
      <c r="CY24" s="493"/>
      <c r="CZ24" s="493"/>
      <c r="DA24" s="493"/>
      <c r="DB24" s="493"/>
      <c r="DC24" s="493"/>
      <c r="DD24" s="493"/>
      <c r="DE24" s="493"/>
      <c r="DF24" s="493"/>
      <c r="DG24" s="493"/>
      <c r="DH24" s="493"/>
      <c r="DI24" s="493"/>
      <c r="DJ24" s="72"/>
      <c r="DK24" s="72"/>
    </row>
    <row r="25" spans="1:119">
      <c r="A25" s="495"/>
      <c r="B25" s="496"/>
      <c r="C25" s="496"/>
      <c r="D25" s="496"/>
      <c r="E25" s="496"/>
      <c r="F25" s="496"/>
      <c r="G25" s="496"/>
      <c r="H25" s="496"/>
      <c r="I25" s="496"/>
      <c r="J25" s="496"/>
      <c r="K25" s="496"/>
      <c r="L25" s="496"/>
      <c r="M25" s="496"/>
      <c r="N25" s="496"/>
      <c r="O25" s="496"/>
      <c r="P25" s="496"/>
      <c r="Q25" s="496"/>
      <c r="R25" s="496"/>
      <c r="S25" s="764"/>
      <c r="T25" s="764"/>
      <c r="U25" s="764"/>
      <c r="V25" s="764"/>
      <c r="W25" s="496"/>
      <c r="X25" s="496"/>
      <c r="Y25" s="496"/>
      <c r="Z25" s="496"/>
      <c r="AA25" s="496"/>
      <c r="AB25" s="496"/>
      <c r="AC25" s="496"/>
      <c r="AD25" s="496"/>
      <c r="AE25" s="496"/>
      <c r="AF25" s="496"/>
      <c r="AG25" s="496"/>
      <c r="AH25" s="495"/>
      <c r="AI25" s="495"/>
      <c r="AJ25" s="495"/>
      <c r="AK25" s="495"/>
      <c r="AL25" s="495"/>
      <c r="AM25" s="495"/>
      <c r="AN25" s="496"/>
      <c r="AO25" s="496"/>
      <c r="AP25" s="496"/>
      <c r="AQ25" s="496"/>
      <c r="AR25" s="496"/>
      <c r="AS25" s="496"/>
      <c r="AT25" s="496"/>
      <c r="AU25" s="496"/>
      <c r="AV25" s="496"/>
      <c r="AW25" s="496"/>
      <c r="AX25" s="495"/>
      <c r="AY25" s="495"/>
      <c r="AZ25" s="495"/>
      <c r="BA25" s="495"/>
      <c r="BB25" s="495"/>
      <c r="BC25" s="495"/>
      <c r="BD25" s="495"/>
      <c r="BE25" s="496"/>
      <c r="BF25" s="496"/>
      <c r="BG25" s="496"/>
      <c r="BH25" s="496"/>
      <c r="BI25" s="496"/>
      <c r="BJ25" s="496"/>
      <c r="BK25" s="496"/>
      <c r="BL25" s="496"/>
      <c r="BM25" s="539"/>
      <c r="BN25" s="495"/>
      <c r="BO25" s="495"/>
      <c r="BP25" s="495"/>
      <c r="BQ25" s="495"/>
      <c r="BR25" s="495"/>
      <c r="BS25" s="495"/>
      <c r="BT25" s="495"/>
      <c r="BU25" s="496"/>
      <c r="BV25" s="496"/>
      <c r="BW25" s="496"/>
      <c r="BX25" s="496"/>
      <c r="BY25" s="496"/>
      <c r="BZ25" s="496"/>
      <c r="CA25" s="496"/>
      <c r="CB25" s="496"/>
      <c r="CC25" s="496"/>
      <c r="CD25" s="495"/>
      <c r="CE25" s="495"/>
      <c r="CF25" s="495"/>
      <c r="CG25" s="495"/>
      <c r="CH25" s="495"/>
      <c r="CI25" s="495"/>
      <c r="CJ25" s="495"/>
      <c r="CK25" s="496"/>
      <c r="CL25" s="496"/>
      <c r="CM25" s="496"/>
      <c r="CN25" s="496"/>
      <c r="CO25" s="496"/>
      <c r="CP25" s="496"/>
      <c r="CQ25" s="496"/>
      <c r="CR25" s="496"/>
      <c r="CS25" s="496"/>
      <c r="CT25" s="495"/>
      <c r="CU25" s="495"/>
      <c r="CV25" s="495"/>
      <c r="CW25" s="495"/>
      <c r="CX25" s="495"/>
      <c r="CY25" s="495"/>
      <c r="CZ25" s="495"/>
      <c r="DA25" s="495"/>
      <c r="DB25" s="495"/>
      <c r="DC25" s="495"/>
      <c r="DD25" s="496"/>
      <c r="DE25" s="496"/>
      <c r="DF25" s="496"/>
      <c r="DG25" s="496"/>
      <c r="DH25" s="496"/>
      <c r="DI25" s="496"/>
      <c r="DJ25" s="496"/>
      <c r="DK25" s="496"/>
    </row>
    <row r="26" spans="1:119">
      <c r="A26" s="492"/>
      <c r="B26" s="492"/>
      <c r="C26" s="492"/>
      <c r="D26" s="492"/>
      <c r="E26" s="492"/>
      <c r="F26" s="492"/>
      <c r="G26" s="492"/>
      <c r="H26" s="492"/>
      <c r="I26" s="492"/>
      <c r="J26" s="492"/>
      <c r="K26" s="492"/>
      <c r="L26" s="492"/>
      <c r="M26" s="492"/>
      <c r="N26" s="492"/>
      <c r="O26" s="492"/>
      <c r="P26" s="492"/>
      <c r="Q26" s="492"/>
      <c r="R26" s="492"/>
      <c r="S26" s="492"/>
      <c r="T26" s="492"/>
      <c r="U26" s="492"/>
      <c r="V26" s="492"/>
      <c r="W26" s="492"/>
      <c r="X26" s="492"/>
      <c r="Y26" s="492"/>
      <c r="Z26" s="492"/>
      <c r="AA26" s="492"/>
      <c r="AB26" s="492"/>
      <c r="AC26" s="492"/>
      <c r="AD26" s="492"/>
      <c r="AE26" s="492"/>
      <c r="AF26" s="492"/>
      <c r="AG26" s="492"/>
      <c r="AH26" s="492"/>
      <c r="AI26" s="492"/>
      <c r="AJ26" s="492"/>
      <c r="AK26" s="492"/>
      <c r="AL26" s="492"/>
      <c r="AM26" s="492"/>
      <c r="AN26" s="492"/>
      <c r="AO26" s="492"/>
      <c r="AP26" s="492"/>
      <c r="AQ26" s="492"/>
      <c r="AR26" s="492"/>
      <c r="AS26" s="492"/>
      <c r="AT26" s="492"/>
      <c r="AU26" s="492"/>
      <c r="AV26" s="492"/>
      <c r="AW26" s="492"/>
      <c r="AX26" s="492"/>
      <c r="AY26" s="492"/>
      <c r="AZ26" s="492"/>
      <c r="BA26" s="492"/>
      <c r="BB26" s="492"/>
      <c r="BC26" s="492"/>
      <c r="BD26" s="492"/>
      <c r="BE26" s="492"/>
      <c r="BF26" s="492"/>
      <c r="BG26" s="492"/>
      <c r="BH26" s="492"/>
      <c r="BI26" s="492"/>
      <c r="BJ26" s="492"/>
      <c r="BK26" s="492"/>
      <c r="BL26" s="492"/>
      <c r="BM26" s="145"/>
      <c r="BN26" s="492"/>
      <c r="BO26" s="492"/>
      <c r="BP26" s="492"/>
      <c r="BQ26" s="492"/>
      <c r="BR26" s="492"/>
      <c r="BS26" s="492"/>
      <c r="BT26" s="492"/>
      <c r="BU26" s="492"/>
      <c r="BV26" s="492"/>
      <c r="BW26" s="492"/>
      <c r="BX26" s="492"/>
      <c r="BY26" s="492"/>
      <c r="BZ26" s="492"/>
      <c r="CA26" s="492"/>
      <c r="CB26" s="492"/>
      <c r="CC26" s="492"/>
      <c r="CD26" s="492"/>
      <c r="CE26" s="492"/>
      <c r="CF26" s="492"/>
      <c r="CG26" s="492"/>
      <c r="CH26" s="492"/>
      <c r="CI26" s="492"/>
      <c r="CJ26" s="492"/>
      <c r="CK26" s="492"/>
      <c r="CL26" s="492"/>
      <c r="CM26" s="492"/>
      <c r="CN26" s="492"/>
      <c r="CO26" s="492"/>
      <c r="CP26" s="492"/>
      <c r="CQ26" s="492"/>
      <c r="CR26" s="492"/>
      <c r="CS26" s="49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</row>
    <row r="28" spans="1:119">
      <c r="AI28" s="13"/>
      <c r="AJ28" s="1288"/>
    </row>
  </sheetData>
  <mergeCells count="8">
    <mergeCell ref="B4:Q4"/>
    <mergeCell ref="B3:DK3"/>
    <mergeCell ref="CT4:DI4"/>
    <mergeCell ref="CD4:CS4"/>
    <mergeCell ref="BN4:CC4"/>
    <mergeCell ref="AX4:BM4"/>
    <mergeCell ref="R4:AG4"/>
    <mergeCell ref="AH4:AW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S42"/>
  <sheetViews>
    <sheetView workbookViewId="0">
      <selection activeCell="B29" sqref="B29"/>
    </sheetView>
  </sheetViews>
  <sheetFormatPr defaultColWidth="8.875" defaultRowHeight="15"/>
  <cols>
    <col min="1" max="1" width="35.125" style="303" customWidth="1"/>
    <col min="2" max="2" width="8.875" style="303"/>
    <col min="3" max="3" width="15" style="303" customWidth="1"/>
    <col min="4" max="4" width="8.875" style="303"/>
    <col min="5" max="5" width="9.875" style="303" customWidth="1"/>
    <col min="6" max="6" width="8.875" style="303"/>
    <col min="7" max="10" width="12.75" style="303" customWidth="1"/>
    <col min="11" max="11" width="19.25" style="303" customWidth="1"/>
    <col min="12" max="12" width="8.875" style="303"/>
    <col min="13" max="13" width="13.5" style="303" bestFit="1" customWidth="1"/>
    <col min="14" max="14" width="14.125" style="303" customWidth="1"/>
    <col min="15" max="15" width="15.875" style="303" bestFit="1" customWidth="1"/>
    <col min="16" max="16" width="12.5" style="303" bestFit="1" customWidth="1"/>
    <col min="17" max="17" width="24" style="303" bestFit="1" customWidth="1"/>
    <col min="18" max="19" width="25.625" style="303" bestFit="1" customWidth="1"/>
    <col min="20" max="16384" width="8.875" style="303"/>
  </cols>
  <sheetData>
    <row r="1" spans="1:19" ht="15.75" thickBot="1">
      <c r="A1" s="1003" t="s">
        <v>1023</v>
      </c>
      <c r="B1" s="1071" t="s">
        <v>1012</v>
      </c>
      <c r="C1" s="1071"/>
      <c r="D1" s="1071"/>
      <c r="E1" s="1004"/>
      <c r="F1" s="1004"/>
      <c r="G1" s="1004"/>
      <c r="H1" s="1004"/>
      <c r="I1" s="1004"/>
      <c r="J1" s="1005"/>
      <c r="K1" s="1009" t="s">
        <v>1166</v>
      </c>
      <c r="L1" s="1010"/>
      <c r="M1" s="1004"/>
      <c r="N1" s="1005"/>
    </row>
    <row r="2" spans="1:19" ht="60">
      <c r="A2" s="1254"/>
      <c r="B2" s="1255" t="s">
        <v>1568</v>
      </c>
      <c r="C2" s="1255" t="s">
        <v>1569</v>
      </c>
      <c r="D2" s="1256" t="s">
        <v>1347</v>
      </c>
      <c r="E2" s="1374" t="s">
        <v>1681</v>
      </c>
      <c r="F2" s="1257"/>
      <c r="G2" s="1257" t="s">
        <v>1570</v>
      </c>
      <c r="H2" s="1258" t="s">
        <v>1023</v>
      </c>
      <c r="I2" s="1257" t="s">
        <v>1022</v>
      </c>
      <c r="J2" s="1259" t="s">
        <v>1573</v>
      </c>
      <c r="K2" s="1260" t="s">
        <v>1572</v>
      </c>
      <c r="L2" s="1259" t="s">
        <v>1574</v>
      </c>
      <c r="M2" s="1257" t="s">
        <v>1022</v>
      </c>
      <c r="N2" s="1259" t="s">
        <v>1573</v>
      </c>
    </row>
    <row r="3" spans="1:19">
      <c r="A3" s="1366" t="str">
        <f>INPUTS!C21</f>
        <v>Cows (local)</v>
      </c>
      <c r="B3" s="1261">
        <f>INPUTS!D21</f>
        <v>0</v>
      </c>
      <c r="C3" s="1261">
        <f>INPUTS!F21</f>
        <v>0</v>
      </c>
      <c r="D3" s="1372">
        <f>B3*'Livestock parameters'!B2/250</f>
        <v>0</v>
      </c>
      <c r="E3" s="1375">
        <f>'Livestock parameters'!V2</f>
        <v>0</v>
      </c>
      <c r="F3" s="1262"/>
      <c r="G3" s="1262">
        <f>B3*C3</f>
        <v>0</v>
      </c>
      <c r="H3" s="1262">
        <f>G3*'Livestock parameters'!AB2</f>
        <v>0</v>
      </c>
      <c r="I3" s="1263">
        <f>H3*'Livestock parameters'!Z2</f>
        <v>0</v>
      </c>
      <c r="J3" s="1367">
        <f>H3*'Livestock parameters'!AA2/100</f>
        <v>0</v>
      </c>
      <c r="K3" s="1377">
        <f>INPUTS!E21</f>
        <v>0</v>
      </c>
      <c r="L3" s="1372">
        <f>INPUTS!E21*INPUTS!D21*(0.337+(0.116*'Livestock parameters'!X2)+(0.06*'Livestock parameters'!W2))</f>
        <v>0</v>
      </c>
      <c r="M3" s="1263">
        <f>L3*'Livestock parameters'!Y2</f>
        <v>0</v>
      </c>
      <c r="N3" s="1367">
        <f>L3*'Livestock parameters'!W2/100</f>
        <v>0</v>
      </c>
    </row>
    <row r="4" spans="1:19">
      <c r="A4" s="1366" t="str">
        <f>INPUTS!C22</f>
        <v>Cows (improved)</v>
      </c>
      <c r="B4" s="1261">
        <f>INPUTS!D22</f>
        <v>2</v>
      </c>
      <c r="C4" s="1261">
        <f>INPUTS!F22</f>
        <v>0</v>
      </c>
      <c r="D4" s="1372">
        <f>B4*'Livestock parameters'!B3/250</f>
        <v>3.048</v>
      </c>
      <c r="E4" s="1375">
        <f>'Livestock parameters'!V3</f>
        <v>1.2</v>
      </c>
      <c r="F4" s="1262"/>
      <c r="G4" s="1262">
        <f t="shared" ref="G4:G10" si="0">B4*C4</f>
        <v>0</v>
      </c>
      <c r="H4" s="1262">
        <f>G4*'Livestock parameters'!AB3</f>
        <v>0</v>
      </c>
      <c r="I4" s="1263">
        <f>H4*'Livestock parameters'!Z3</f>
        <v>0</v>
      </c>
      <c r="J4" s="1367">
        <f>H4*'Livestock parameters'!AA3/100</f>
        <v>0</v>
      </c>
      <c r="K4" s="1377">
        <f>INPUTS!E22</f>
        <v>1525</v>
      </c>
      <c r="L4" s="1372">
        <f>INPUTS!E22*INPUTS!D22*(0.337+(0.116*'Livestock parameters'!X3)+(0.06*'Livestock parameters'!W3))</f>
        <v>3226.2900000000004</v>
      </c>
      <c r="M4" s="1263">
        <f>L4*'Livestock parameters'!Y3</f>
        <v>3129501.3000000003</v>
      </c>
      <c r="N4" s="1367">
        <f>L4*'Livestock parameters'!W3/100</f>
        <v>119.37273000000003</v>
      </c>
    </row>
    <row r="5" spans="1:19">
      <c r="A5" s="1366" t="str">
        <f>INPUTS!C23</f>
        <v>Adult cattle - male</v>
      </c>
      <c r="B5" s="1261">
        <f>INPUTS!D23</f>
        <v>0</v>
      </c>
      <c r="C5" s="1261">
        <f>INPUTS!F23</f>
        <v>0</v>
      </c>
      <c r="D5" s="1372">
        <f>B5*'Livestock parameters'!B4/250</f>
        <v>0</v>
      </c>
      <c r="E5" s="1375">
        <f>'Livestock parameters'!V4</f>
        <v>0</v>
      </c>
      <c r="F5" s="1262"/>
      <c r="G5" s="1262">
        <f t="shared" si="0"/>
        <v>0</v>
      </c>
      <c r="H5" s="1262">
        <f>G5*'Livestock parameters'!AB4</f>
        <v>0</v>
      </c>
      <c r="I5" s="1263">
        <f>H5*'Livestock parameters'!Z4</f>
        <v>0</v>
      </c>
      <c r="J5" s="1367">
        <f>H5*'Livestock parameters'!AA4/100</f>
        <v>0</v>
      </c>
      <c r="K5" s="1377">
        <f>INPUTS!E23</f>
        <v>0</v>
      </c>
      <c r="L5" s="1372">
        <f>INPUTS!E23*INPUTS!D23*(0.337+(0.116*'Livestock parameters'!X4)+(0.06*'Livestock parameters'!W4))</f>
        <v>0</v>
      </c>
      <c r="M5" s="1263">
        <f>L5*'Livestock parameters'!Y4</f>
        <v>0</v>
      </c>
      <c r="N5" s="1367">
        <f>L5*'Livestock parameters'!W4/100</f>
        <v>0</v>
      </c>
    </row>
    <row r="6" spans="1:19">
      <c r="A6" s="1366" t="str">
        <f>INPUTS!C24</f>
        <v>Calves</v>
      </c>
      <c r="B6" s="1261">
        <f>INPUTS!D24</f>
        <v>0</v>
      </c>
      <c r="C6" s="1261">
        <f>INPUTS!F24</f>
        <v>0</v>
      </c>
      <c r="D6" s="1372">
        <f>B6*'Livestock parameters'!B5/250</f>
        <v>0</v>
      </c>
      <c r="E6" s="1375">
        <f>'Livestock parameters'!V5</f>
        <v>0</v>
      </c>
      <c r="F6" s="1262"/>
      <c r="G6" s="1262">
        <f t="shared" si="0"/>
        <v>0</v>
      </c>
      <c r="H6" s="1262">
        <f>G6*'Livestock parameters'!AB5</f>
        <v>0</v>
      </c>
      <c r="I6" s="1263">
        <f>H6*'Livestock parameters'!Z5</f>
        <v>0</v>
      </c>
      <c r="J6" s="1367">
        <f>H6*'Livestock parameters'!AA5/100</f>
        <v>0</v>
      </c>
      <c r="K6" s="1377">
        <f>INPUTS!E24</f>
        <v>0</v>
      </c>
      <c r="L6" s="1372">
        <f>INPUTS!E24*INPUTS!D24*(0.337+(0.116*'Livestock parameters'!X5)+(0.06*'Livestock parameters'!W5))</f>
        <v>0</v>
      </c>
      <c r="M6" s="1263">
        <f>L6*'Livestock parameters'!Y5</f>
        <v>0</v>
      </c>
      <c r="N6" s="1367">
        <f>L6*'Livestock parameters'!W5/100</f>
        <v>0</v>
      </c>
    </row>
    <row r="7" spans="1:19">
      <c r="A7" s="1366" t="str">
        <f>INPUTS!C25</f>
        <v>Steers/heifers</v>
      </c>
      <c r="B7" s="1261">
        <f>INPUTS!D25</f>
        <v>3</v>
      </c>
      <c r="C7" s="1261">
        <f>INPUTS!F25</f>
        <v>156</v>
      </c>
      <c r="D7" s="1372">
        <f>B7*'Livestock parameters'!B6/250</f>
        <v>3.48</v>
      </c>
      <c r="E7" s="1375">
        <f>'Livestock parameters'!V6</f>
        <v>0</v>
      </c>
      <c r="F7" s="1262"/>
      <c r="G7" s="1262">
        <f t="shared" si="0"/>
        <v>468</v>
      </c>
      <c r="H7" s="1262">
        <f>G7*'Livestock parameters'!AB6</f>
        <v>271.44</v>
      </c>
      <c r="I7" s="1263">
        <f>H7*'Livestock parameters'!Z6</f>
        <v>597168</v>
      </c>
      <c r="J7" s="1367">
        <f>H7*'Livestock parameters'!AA6/100</f>
        <v>70.574399999999997</v>
      </c>
      <c r="K7" s="1377">
        <f>INPUTS!E25</f>
        <v>0</v>
      </c>
      <c r="L7" s="1372">
        <f>INPUTS!E25*INPUTS!D25*(0.337+(0.116*'Livestock parameters'!X6)+(0.06*'Livestock parameters'!W6))</f>
        <v>0</v>
      </c>
      <c r="M7" s="1263">
        <f>L7*'Livestock parameters'!Y6</f>
        <v>0</v>
      </c>
      <c r="N7" s="1367">
        <f>L7*'Livestock parameters'!W6/100</f>
        <v>0</v>
      </c>
      <c r="S7" s="303">
        <f>1/1.5</f>
        <v>0.66666666666666663</v>
      </c>
    </row>
    <row r="8" spans="1:19">
      <c r="A8" s="1366" t="str">
        <f>INPUTS!C26</f>
        <v>Sheep/Goats - Ewes/Does</v>
      </c>
      <c r="B8" s="1261">
        <f>INPUTS!D26</f>
        <v>0</v>
      </c>
      <c r="C8" s="1261">
        <f>INPUTS!F26</f>
        <v>0</v>
      </c>
      <c r="D8" s="1372">
        <f>B8*'Livestock parameters'!B7/250</f>
        <v>0</v>
      </c>
      <c r="E8" s="1375">
        <f>'Livestock parameters'!V7</f>
        <v>0</v>
      </c>
      <c r="F8" s="1262"/>
      <c r="G8" s="1262">
        <f t="shared" si="0"/>
        <v>0</v>
      </c>
      <c r="H8" s="1262">
        <f>G8*'Livestock parameters'!AB7</f>
        <v>0</v>
      </c>
      <c r="I8" s="1263">
        <f>H8*'Livestock parameters'!Z7</f>
        <v>0</v>
      </c>
      <c r="J8" s="1367">
        <f>H8*'Livestock parameters'!AA7/100</f>
        <v>0</v>
      </c>
      <c r="K8" s="1377">
        <f>INPUTS!E26</f>
        <v>0</v>
      </c>
      <c r="L8" s="1372">
        <f>INPUTS!E26*INPUTS!D26*(0.337+(0.116*'Livestock parameters'!X7)+(0.06*'Livestock parameters'!W7))</f>
        <v>0</v>
      </c>
      <c r="M8" s="1263">
        <f>L8*'Livestock parameters'!Y7</f>
        <v>0</v>
      </c>
      <c r="N8" s="1367">
        <f>L8*'Livestock parameters'!W7/100</f>
        <v>0</v>
      </c>
    </row>
    <row r="9" spans="1:19">
      <c r="A9" s="1366" t="str">
        <f>INPUTS!C27</f>
        <v>Pigs - lactating/pregnant sows</v>
      </c>
      <c r="B9" s="1261">
        <f>INPUTS!D27</f>
        <v>0</v>
      </c>
      <c r="C9" s="1261">
        <f>INPUTS!F27</f>
        <v>0</v>
      </c>
      <c r="D9" s="1372">
        <f>B9*'Livestock parameters'!B8/250</f>
        <v>0</v>
      </c>
      <c r="E9" s="1375">
        <f>'Livestock parameters'!V8</f>
        <v>0</v>
      </c>
      <c r="F9" s="1262"/>
      <c r="G9" s="1262">
        <f t="shared" si="0"/>
        <v>0</v>
      </c>
      <c r="H9" s="1262">
        <f>G9*'Livestock parameters'!AB8</f>
        <v>0</v>
      </c>
      <c r="I9" s="1263">
        <f>H9*'Livestock parameters'!Z8</f>
        <v>0</v>
      </c>
      <c r="J9" s="1367">
        <f>H9*'Livestock parameters'!AA8/100</f>
        <v>0</v>
      </c>
      <c r="K9" s="1377">
        <f>INPUTS!E27</f>
        <v>0</v>
      </c>
      <c r="L9" s="1372">
        <f>INPUTS!E27*INPUTS!D27*(0.337+(0.116*'Livestock parameters'!X8)+(0.06*'Livestock parameters'!W8))</f>
        <v>0</v>
      </c>
      <c r="M9" s="1263">
        <f>L9*'Livestock parameters'!Y8</f>
        <v>0</v>
      </c>
      <c r="N9" s="1367">
        <f>L9*'Livestock parameters'!W8/100</f>
        <v>0</v>
      </c>
    </row>
    <row r="10" spans="1:19">
      <c r="A10" s="1366" t="str">
        <f>INPUTS!C28</f>
        <v>Calves</v>
      </c>
      <c r="B10" s="1261">
        <f>INPUTS!D28</f>
        <v>0</v>
      </c>
      <c r="C10" s="1261">
        <f>INPUTS!F28</f>
        <v>0</v>
      </c>
      <c r="D10" s="1372">
        <f>B10*'Livestock parameters'!B9/250</f>
        <v>0</v>
      </c>
      <c r="E10" s="1375">
        <f>'Livestock parameters'!V9</f>
        <v>0</v>
      </c>
      <c r="F10" s="1262"/>
      <c r="G10" s="1262">
        <f t="shared" si="0"/>
        <v>0</v>
      </c>
      <c r="H10" s="1262">
        <f>G10*'Livestock parameters'!AB9</f>
        <v>0</v>
      </c>
      <c r="I10" s="1263">
        <f>H10*'Livestock parameters'!Z9</f>
        <v>0</v>
      </c>
      <c r="J10" s="1367">
        <f>H10*'Livestock parameters'!AA9/100</f>
        <v>0</v>
      </c>
      <c r="K10" s="1377">
        <f>INPUTS!E28</f>
        <v>0</v>
      </c>
      <c r="L10" s="1372">
        <f>INPUTS!E28*INPUTS!D28*(0.337+(0.116*'Livestock parameters'!X9)+(0.06*'Livestock parameters'!W9))</f>
        <v>0</v>
      </c>
      <c r="M10" s="1263">
        <f>L10*'Livestock parameters'!Y9</f>
        <v>0</v>
      </c>
      <c r="N10" s="1367">
        <f>L10*'Livestock parameters'!W9/100</f>
        <v>0</v>
      </c>
    </row>
    <row r="11" spans="1:19">
      <c r="A11" s="1366">
        <f>INPUTS!C29</f>
        <v>0</v>
      </c>
      <c r="B11" s="1261">
        <f>INPUTS!D29</f>
        <v>0</v>
      </c>
      <c r="C11" s="1261">
        <f>INPUTS!F29</f>
        <v>0</v>
      </c>
      <c r="D11" s="1372">
        <f>B11*'Livestock parameters'!B10/250</f>
        <v>0</v>
      </c>
      <c r="E11" s="1375">
        <f>'Livestock parameters'!V10</f>
        <v>0</v>
      </c>
      <c r="F11" s="1262"/>
      <c r="G11" s="1262">
        <f t="shared" ref="G11:G16" si="1">B11*C11</f>
        <v>0</v>
      </c>
      <c r="H11" s="1262">
        <f>G11*'Livestock parameters'!AB10</f>
        <v>0</v>
      </c>
      <c r="I11" s="1263">
        <f>H11*'Livestock parameters'!Z10</f>
        <v>0</v>
      </c>
      <c r="J11" s="1367">
        <f>H11*'Livestock parameters'!AA10/100</f>
        <v>0</v>
      </c>
      <c r="K11" s="1377">
        <f>INPUTS!E29</f>
        <v>0</v>
      </c>
      <c r="L11" s="1372">
        <f>INPUTS!E29*INPUTS!D29*(0.337+(0.116*'Livestock parameters'!X10)+(0.06*'Livestock parameters'!W10))</f>
        <v>0</v>
      </c>
      <c r="M11" s="1263">
        <f>L11*'Livestock parameters'!Y10</f>
        <v>0</v>
      </c>
      <c r="N11" s="1367">
        <f>L11*'Livestock parameters'!W10/100</f>
        <v>0</v>
      </c>
    </row>
    <row r="12" spans="1:19">
      <c r="A12" s="1366">
        <f>INPUTS!C30</f>
        <v>0</v>
      </c>
      <c r="B12" s="1261">
        <f>INPUTS!D30</f>
        <v>0</v>
      </c>
      <c r="C12" s="1261">
        <f>INPUTS!F30</f>
        <v>0</v>
      </c>
      <c r="D12" s="1372">
        <f>B12*'Livestock parameters'!B11/250</f>
        <v>0</v>
      </c>
      <c r="E12" s="1375">
        <f>'Livestock parameters'!V11</f>
        <v>0</v>
      </c>
      <c r="F12" s="1262"/>
      <c r="G12" s="1262">
        <f t="shared" si="1"/>
        <v>0</v>
      </c>
      <c r="H12" s="1262">
        <f>G12*'Livestock parameters'!AB11</f>
        <v>0</v>
      </c>
      <c r="I12" s="1263">
        <f>H12*'Livestock parameters'!Z11</f>
        <v>0</v>
      </c>
      <c r="J12" s="1367">
        <f>H12*'Livestock parameters'!AA11/100</f>
        <v>0</v>
      </c>
      <c r="K12" s="1377">
        <f>INPUTS!E30</f>
        <v>0</v>
      </c>
      <c r="L12" s="1372">
        <f>INPUTS!E30*INPUTS!D30*(0.337+(0.116*'Livestock parameters'!X11)+(0.06*'Livestock parameters'!W11))</f>
        <v>0</v>
      </c>
      <c r="M12" s="1263">
        <f>L12*'Livestock parameters'!Y11</f>
        <v>0</v>
      </c>
      <c r="N12" s="1367">
        <f>L12*'Livestock parameters'!W11/100</f>
        <v>0</v>
      </c>
    </row>
    <row r="13" spans="1:19">
      <c r="A13" s="1366">
        <f>INPUTS!C31</f>
        <v>0</v>
      </c>
      <c r="B13" s="1261">
        <f>INPUTS!D31</f>
        <v>0</v>
      </c>
      <c r="C13" s="1261">
        <f>INPUTS!F31</f>
        <v>0</v>
      </c>
      <c r="D13" s="1372">
        <f>B13*'Livestock parameters'!B12/250</f>
        <v>0</v>
      </c>
      <c r="E13" s="1375">
        <f>'Livestock parameters'!V12</f>
        <v>0</v>
      </c>
      <c r="F13" s="1262"/>
      <c r="G13" s="1262">
        <f t="shared" si="1"/>
        <v>0</v>
      </c>
      <c r="H13" s="1262">
        <f>G13*'Livestock parameters'!AB12</f>
        <v>0</v>
      </c>
      <c r="I13" s="1263">
        <f>H13*'Livestock parameters'!Z12</f>
        <v>0</v>
      </c>
      <c r="J13" s="1367">
        <f>H13*'Livestock parameters'!AA12/100</f>
        <v>0</v>
      </c>
      <c r="K13" s="1377">
        <f>INPUTS!E31</f>
        <v>0</v>
      </c>
      <c r="L13" s="1372">
        <f>INPUTS!E31*INPUTS!D31*(0.337+(0.116*'Livestock parameters'!X12)+(0.06*'Livestock parameters'!W12))</f>
        <v>0</v>
      </c>
      <c r="M13" s="1263">
        <f>L13*'Livestock parameters'!Y12</f>
        <v>0</v>
      </c>
      <c r="N13" s="1367">
        <f>L13*'Livestock parameters'!W12/100</f>
        <v>0</v>
      </c>
    </row>
    <row r="14" spans="1:19">
      <c r="A14" s="1366">
        <f>INPUTS!C32</f>
        <v>0</v>
      </c>
      <c r="B14" s="1261">
        <f>INPUTS!D32</f>
        <v>0</v>
      </c>
      <c r="C14" s="1261">
        <f>INPUTS!F32</f>
        <v>0</v>
      </c>
      <c r="D14" s="1372">
        <f>B14*'Livestock parameters'!B13/250</f>
        <v>0</v>
      </c>
      <c r="E14" s="1375">
        <f>'Livestock parameters'!V13</f>
        <v>0</v>
      </c>
      <c r="F14" s="1262"/>
      <c r="G14" s="1262">
        <f t="shared" si="1"/>
        <v>0</v>
      </c>
      <c r="H14" s="1262">
        <f>G14*'Livestock parameters'!AB13</f>
        <v>0</v>
      </c>
      <c r="I14" s="1263">
        <f>H14*'Livestock parameters'!Z13</f>
        <v>0</v>
      </c>
      <c r="J14" s="1367">
        <f>H14*'Livestock parameters'!AA13/100</f>
        <v>0</v>
      </c>
      <c r="K14" s="1377">
        <f>INPUTS!E32</f>
        <v>0</v>
      </c>
      <c r="L14" s="1372">
        <f>INPUTS!E32*INPUTS!D32*(0.337+(0.116*'Livestock parameters'!X13)+(0.06*'Livestock parameters'!W13))</f>
        <v>0</v>
      </c>
      <c r="M14" s="1263">
        <f>L14*'Livestock parameters'!Y13</f>
        <v>0</v>
      </c>
      <c r="N14" s="1367">
        <f>L14*'Livestock parameters'!W13/100</f>
        <v>0</v>
      </c>
    </row>
    <row r="15" spans="1:19">
      <c r="A15" s="1366">
        <f>INPUTS!C33</f>
        <v>0</v>
      </c>
      <c r="B15" s="1261">
        <f>INPUTS!D33</f>
        <v>0</v>
      </c>
      <c r="C15" s="1261">
        <f>INPUTS!F33</f>
        <v>0</v>
      </c>
      <c r="D15" s="1372">
        <f>B15*'Livestock parameters'!B14/250</f>
        <v>0</v>
      </c>
      <c r="E15" s="1375">
        <f>'Livestock parameters'!V14</f>
        <v>0</v>
      </c>
      <c r="F15" s="1262"/>
      <c r="G15" s="1262">
        <f t="shared" si="1"/>
        <v>0</v>
      </c>
      <c r="H15" s="1262">
        <f>G15*'Livestock parameters'!AB14</f>
        <v>0</v>
      </c>
      <c r="I15" s="1263">
        <f>H15*'Livestock parameters'!Z14</f>
        <v>0</v>
      </c>
      <c r="J15" s="1367">
        <f>H15*'Livestock parameters'!AA14/100</f>
        <v>0</v>
      </c>
      <c r="K15" s="1377">
        <f>INPUTS!E33</f>
        <v>0</v>
      </c>
      <c r="L15" s="1372">
        <f>INPUTS!E33*INPUTS!D33*(0.337+(0.116*'Livestock parameters'!X14)+(0.06*'Livestock parameters'!W14))</f>
        <v>0</v>
      </c>
      <c r="M15" s="1263">
        <f>L15*'Livestock parameters'!Y14</f>
        <v>0</v>
      </c>
      <c r="N15" s="1367">
        <f>L15*'Livestock parameters'!W14/100</f>
        <v>0</v>
      </c>
    </row>
    <row r="16" spans="1:19">
      <c r="A16" s="1366">
        <f>INPUTS!C34</f>
        <v>0</v>
      </c>
      <c r="B16" s="1261">
        <f>INPUTS!D34</f>
        <v>0</v>
      </c>
      <c r="C16" s="1261">
        <f>INPUTS!F34</f>
        <v>0</v>
      </c>
      <c r="D16" s="1372">
        <f>B16*'Livestock parameters'!B15/250</f>
        <v>0</v>
      </c>
      <c r="E16" s="1375">
        <f>'Livestock parameters'!V15</f>
        <v>0</v>
      </c>
      <c r="F16" s="1262"/>
      <c r="G16" s="1262">
        <f t="shared" si="1"/>
        <v>0</v>
      </c>
      <c r="H16" s="1262">
        <f>G16*'Livestock parameters'!AB15</f>
        <v>0</v>
      </c>
      <c r="I16" s="1263">
        <f>H16*'Livestock parameters'!Z15</f>
        <v>0</v>
      </c>
      <c r="J16" s="1367">
        <f>H16*'Livestock parameters'!AA15/100</f>
        <v>0</v>
      </c>
      <c r="K16" s="1377">
        <f>INPUTS!E34</f>
        <v>0</v>
      </c>
      <c r="L16" s="1372">
        <f>INPUTS!E34*INPUTS!D34*(0.337+(0.116*'Livestock parameters'!X15)+(0.06*'Livestock parameters'!W15))</f>
        <v>0</v>
      </c>
      <c r="M16" s="1263">
        <f>L16*'Livestock parameters'!Y15</f>
        <v>0</v>
      </c>
      <c r="N16" s="1367">
        <f>L16*'Livestock parameters'!W15/100</f>
        <v>0</v>
      </c>
    </row>
    <row r="17" spans="1:14" ht="18" customHeight="1" thickBot="1">
      <c r="A17" s="1368"/>
      <c r="B17" s="1369"/>
      <c r="C17" s="1369"/>
      <c r="D17" s="1373"/>
      <c r="E17" s="1376"/>
      <c r="F17" s="1369"/>
      <c r="G17" s="1369">
        <f>SUM(G3:G16)</f>
        <v>468</v>
      </c>
      <c r="H17" s="1369">
        <f>SUM(H3:H16)</f>
        <v>271.44</v>
      </c>
      <c r="I17" s="1370">
        <f>SUM(I3:I16)</f>
        <v>597168</v>
      </c>
      <c r="J17" s="1373">
        <f>SUM(J3:J16)</f>
        <v>70.574399999999997</v>
      </c>
      <c r="K17" s="1376"/>
      <c r="L17" s="1373">
        <f>SUM(L3:L16)</f>
        <v>3226.2900000000004</v>
      </c>
      <c r="M17" s="1370">
        <f>SUM(M3:M16)</f>
        <v>3129501.3000000003</v>
      </c>
      <c r="N17" s="1371">
        <f>SUM(N3:N16)</f>
        <v>119.37273000000003</v>
      </c>
    </row>
    <row r="18" spans="1:14" ht="18" customHeight="1">
      <c r="A18" s="304" t="s">
        <v>1017</v>
      </c>
    </row>
    <row r="19" spans="1:14" ht="105">
      <c r="A19" s="305" t="s">
        <v>1018</v>
      </c>
    </row>
    <row r="20" spans="1:14" ht="30">
      <c r="A20" s="305" t="s">
        <v>1013</v>
      </c>
    </row>
    <row r="21" spans="1:14">
      <c r="A21" s="1002" t="s">
        <v>1571</v>
      </c>
    </row>
    <row r="22" spans="1:14">
      <c r="A22" s="306" t="s">
        <v>1014</v>
      </c>
    </row>
    <row r="23" spans="1:14" ht="120">
      <c r="A23" s="306" t="s">
        <v>1015</v>
      </c>
    </row>
    <row r="24" spans="1:14" ht="30">
      <c r="A24" s="306" t="s">
        <v>1016</v>
      </c>
    </row>
    <row r="25" spans="1:14" ht="18" customHeight="1">
      <c r="A25" s="306"/>
    </row>
    <row r="26" spans="1:14" ht="18" customHeight="1">
      <c r="A26" s="1024" t="s">
        <v>1577</v>
      </c>
      <c r="B26" s="1016"/>
      <c r="C26" s="1016"/>
    </row>
    <row r="27" spans="1:14" ht="18" customHeight="1">
      <c r="A27" s="1017" t="s">
        <v>1578</v>
      </c>
      <c r="B27" s="1018"/>
      <c r="C27" s="1018"/>
    </row>
    <row r="28" spans="1:14">
      <c r="A28" s="1008" t="s">
        <v>1575</v>
      </c>
      <c r="B28" s="303">
        <f>I17</f>
        <v>597168</v>
      </c>
      <c r="K28" s="762"/>
    </row>
    <row r="29" spans="1:14">
      <c r="A29" s="857" t="s">
        <v>1439</v>
      </c>
      <c r="B29" s="1006">
        <f>H17</f>
        <v>271.44</v>
      </c>
      <c r="K29" s="752"/>
    </row>
    <row r="30" spans="1:14">
      <c r="A30" s="1008" t="s">
        <v>1319</v>
      </c>
      <c r="B30" s="303">
        <f>J17</f>
        <v>70.574399999999997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1019" t="s">
        <v>1166</v>
      </c>
      <c r="B32" s="1573"/>
      <c r="C32" s="1573"/>
      <c r="D32" s="1020"/>
      <c r="E32" s="1021"/>
      <c r="F32" s="1021"/>
      <c r="G32" s="1021"/>
      <c r="H32" s="1021"/>
      <c r="I32" s="1021"/>
      <c r="J32" s="1021"/>
      <c r="K32" s="1021"/>
    </row>
    <row r="33" spans="1:12" ht="15.75">
      <c r="A33" s="403" t="s">
        <v>1026</v>
      </c>
      <c r="B33" s="1015">
        <f>L17</f>
        <v>3226.2900000000004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1008" t="s">
        <v>1576</v>
      </c>
      <c r="B35">
        <f>M17</f>
        <v>3129501.3000000003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1319</v>
      </c>
      <c r="B36">
        <f>N17</f>
        <v>119.37273000000003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1022" t="s">
        <v>1318</v>
      </c>
      <c r="B38" s="1023">
        <f>J17+N17</f>
        <v>189.94713000000002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740"/>
      <c r="B41" s="1006"/>
      <c r="C41" s="1006"/>
      <c r="E41" s="1007"/>
      <c r="F41" s="1007"/>
      <c r="K41" s="1006"/>
    </row>
    <row r="42" spans="1:12">
      <c r="A42" s="740"/>
      <c r="B42" s="1006"/>
      <c r="C42" s="1006"/>
      <c r="E42" s="1007"/>
      <c r="F42" s="1007"/>
      <c r="K42" s="1006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7"/>
  <sheetViews>
    <sheetView topLeftCell="B1" workbookViewId="0">
      <selection activeCell="E34" sqref="E34"/>
    </sheetView>
  </sheetViews>
  <sheetFormatPr defaultRowHeight="15.75"/>
  <cols>
    <col min="1" max="1" width="53" bestFit="1" customWidth="1"/>
    <col min="2" max="2" width="25.75" bestFit="1" customWidth="1"/>
    <col min="3" max="3" width="36.5" customWidth="1"/>
    <col min="4" max="4" width="28.125" customWidth="1"/>
    <col min="5" max="5" width="31.75" customWidth="1"/>
    <col min="6" max="6" width="29.125" customWidth="1"/>
    <col min="7" max="7" width="23.25" customWidth="1"/>
    <col min="8" max="8" width="18.75" customWidth="1"/>
    <col min="9" max="9" width="26.5" customWidth="1"/>
    <col min="10" max="10" width="22.625" customWidth="1"/>
    <col min="11" max="11" width="25.625" customWidth="1"/>
    <col min="12" max="12" width="19" customWidth="1"/>
    <col min="13" max="13" width="23.5" customWidth="1"/>
    <col min="14" max="14" width="20.875" customWidth="1"/>
  </cols>
  <sheetData>
    <row r="1" spans="1:13" s="527" customFormat="1" ht="29.25" customHeight="1">
      <c r="A1" s="528" t="s">
        <v>1185</v>
      </c>
      <c r="B1" s="528"/>
    </row>
    <row r="3" spans="1:13" s="372" customFormat="1">
      <c r="A3" s="42" t="s">
        <v>1261</v>
      </c>
    </row>
    <row r="4" spans="1:13">
      <c r="A4" t="s">
        <v>1207</v>
      </c>
    </row>
    <row r="5" spans="1:13">
      <c r="A5" s="679" t="s">
        <v>1238</v>
      </c>
      <c r="I5" s="670"/>
    </row>
    <row r="7" spans="1:13" ht="31.5">
      <c r="A7" s="17" t="s">
        <v>1208</v>
      </c>
      <c r="B7" s="17" t="s">
        <v>1204</v>
      </c>
      <c r="C7" s="17" t="s">
        <v>1313</v>
      </c>
      <c r="D7" s="626" t="s">
        <v>1312</v>
      </c>
      <c r="E7" s="17" t="s">
        <v>1209</v>
      </c>
      <c r="F7" s="628" t="s">
        <v>1210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5.7999999999999996E-3</v>
      </c>
      <c r="C8" s="623">
        <f>Feed!F161+Feed!F162+Feed!F163+Feed!F164+Feed!F165+Feed!F166+Feed!F167</f>
        <v>5668.9624998061408</v>
      </c>
      <c r="D8" s="627">
        <f>SUM(Feed!Q161:Q167)</f>
        <v>5102.0662498255278</v>
      </c>
      <c r="E8" s="654">
        <f>C8*B8</f>
        <v>32.879982498875613</v>
      </c>
      <c r="F8" s="653">
        <f>D8*B8</f>
        <v>29.591984248988059</v>
      </c>
      <c r="J8" s="671"/>
      <c r="K8" s="671"/>
      <c r="L8" s="631"/>
      <c r="M8" s="631"/>
    </row>
    <row r="9" spans="1:13">
      <c r="A9" s="13" t="str">
        <f>Economics_Parameters!B5</f>
        <v>Sheep Manure</v>
      </c>
      <c r="B9" s="13">
        <f>Economics_Parameters!C5</f>
        <v>0</v>
      </c>
      <c r="C9" s="623">
        <f>Feed!F168</f>
        <v>0</v>
      </c>
      <c r="D9" s="627">
        <f>Feed!Q168</f>
        <v>0</v>
      </c>
      <c r="E9" s="625">
        <f t="shared" ref="E9:E15" si="0">C9*B9</f>
        <v>0</v>
      </c>
      <c r="F9" s="629">
        <f t="shared" ref="F9:F10" si="1">D9*B9</f>
        <v>0</v>
      </c>
      <c r="J9" s="610"/>
      <c r="L9" s="631"/>
    </row>
    <row r="10" spans="1:13">
      <c r="A10" s="13" t="str">
        <f>Economics_Parameters!B6</f>
        <v>Goat Manure</v>
      </c>
      <c r="B10" s="13">
        <f>Economics_Parameters!C6</f>
        <v>0</v>
      </c>
      <c r="C10" s="623">
        <f>Feed!F169</f>
        <v>0</v>
      </c>
      <c r="D10" s="627">
        <f>Feed!Q169</f>
        <v>0</v>
      </c>
      <c r="E10" s="625">
        <f t="shared" si="0"/>
        <v>0</v>
      </c>
      <c r="F10" s="629">
        <f t="shared" si="1"/>
        <v>0</v>
      </c>
      <c r="J10" s="610"/>
      <c r="L10" s="631"/>
    </row>
    <row r="11" spans="1:13">
      <c r="A11" s="13" t="str">
        <f>Economics_Parameters!B7</f>
        <v>Beef</v>
      </c>
      <c r="B11" s="13">
        <f>Economics_Parameters!C7</f>
        <v>3</v>
      </c>
      <c r="C11" s="624">
        <f>'Meat &amp; Milk '!B29</f>
        <v>271.44</v>
      </c>
      <c r="E11" s="625">
        <f>C11*B11</f>
        <v>814.31999999999994</v>
      </c>
    </row>
    <row r="12" spans="1:13">
      <c r="A12" s="13" t="str">
        <f>Economics_Parameters!B8</f>
        <v>Goat Meat</v>
      </c>
      <c r="B12" s="13">
        <f>Economics_Parameters!C8</f>
        <v>0</v>
      </c>
      <c r="C12" s="624">
        <f>'Meat &amp; Milk '!G3</f>
        <v>0</v>
      </c>
      <c r="E12" s="625">
        <f t="shared" si="0"/>
        <v>0</v>
      </c>
    </row>
    <row r="13" spans="1:13">
      <c r="A13" s="13" t="str">
        <f>Economics_Parameters!B9</f>
        <v xml:space="preserve">Lamb/Mutton </v>
      </c>
      <c r="B13" s="13">
        <f>Economics_Parameters!C9</f>
        <v>0</v>
      </c>
      <c r="C13" s="624">
        <v>0</v>
      </c>
      <c r="E13" s="625">
        <f t="shared" si="0"/>
        <v>0</v>
      </c>
    </row>
    <row r="14" spans="1:13">
      <c r="A14" s="13" t="str">
        <f>Economics_Parameters!B10</f>
        <v>Cow Milk</v>
      </c>
      <c r="B14" s="13">
        <f>Economics_Parameters!C10</f>
        <v>0.35</v>
      </c>
      <c r="C14" s="624">
        <f>'Meat &amp; Milk '!B33</f>
        <v>3226.2900000000004</v>
      </c>
      <c r="E14" s="625">
        <f t="shared" si="0"/>
        <v>1129.2015000000001</v>
      </c>
      <c r="J14" s="621"/>
      <c r="K14" s="621"/>
      <c r="L14" s="635"/>
      <c r="M14" s="635"/>
    </row>
    <row r="15" spans="1:13">
      <c r="A15" s="13" t="str">
        <f>Economics_Parameters!B11</f>
        <v>Goat/sheep Milk</v>
      </c>
      <c r="B15" s="13">
        <f>Economics_Parameters!C11</f>
        <v>0</v>
      </c>
      <c r="C15" s="624"/>
      <c r="E15" s="625">
        <f t="shared" si="0"/>
        <v>0</v>
      </c>
      <c r="J15" s="621"/>
      <c r="K15" s="621"/>
      <c r="L15" s="635"/>
      <c r="M15" s="635"/>
    </row>
    <row r="16" spans="1:13">
      <c r="J16" s="621"/>
      <c r="K16" s="621"/>
      <c r="L16" s="635"/>
      <c r="M16" s="635"/>
    </row>
    <row r="17" spans="1:14">
      <c r="J17" s="621"/>
      <c r="K17" s="621"/>
      <c r="L17" s="635"/>
      <c r="M17" s="635"/>
    </row>
    <row r="18" spans="1:14">
      <c r="A18" s="160" t="s">
        <v>1211</v>
      </c>
      <c r="B18" s="160"/>
      <c r="C18" s="160"/>
      <c r="D18" s="160"/>
      <c r="E18" s="622">
        <f>SUM(E8:E15)</f>
        <v>1976.4014824988758</v>
      </c>
      <c r="F18" s="622">
        <f>SUM(F8:F10)+SUM(E11:E15)</f>
        <v>1973.113484248988</v>
      </c>
      <c r="J18" s="621"/>
      <c r="K18" s="621"/>
      <c r="L18" s="635"/>
      <c r="M18" s="635"/>
    </row>
    <row r="19" spans="1:14" s="37" customFormat="1">
      <c r="E19" s="1088" t="e">
        <f ca="1">E18-INDIRECT(CONCATENATE("'[","Baseline.xlsm","]Economics_Payback '","!E18"))</f>
        <v>#REF!</v>
      </c>
      <c r="F19" s="690"/>
      <c r="J19" s="668"/>
      <c r="K19" s="668"/>
      <c r="L19" s="683"/>
      <c r="M19" s="683"/>
    </row>
    <row r="20" spans="1:14">
      <c r="J20" s="621"/>
      <c r="K20" s="621"/>
      <c r="L20" s="635"/>
      <c r="M20" s="635"/>
    </row>
    <row r="21" spans="1:14" s="372" customFormat="1">
      <c r="A21" s="372" t="s">
        <v>1262</v>
      </c>
      <c r="M21" s="678"/>
    </row>
    <row r="23" spans="1:14">
      <c r="A23" s="633" t="s">
        <v>1658</v>
      </c>
      <c r="B23" s="633" t="s">
        <v>1487</v>
      </c>
      <c r="C23" s="633" t="s">
        <v>1488</v>
      </c>
      <c r="D23" s="633"/>
      <c r="E23" s="633"/>
      <c r="F23" s="160" t="s">
        <v>1489</v>
      </c>
    </row>
    <row r="24" spans="1:14">
      <c r="A24" s="72" t="str">
        <f>INPUTS!C21</f>
        <v>Cows (local)</v>
      </c>
      <c r="B24" s="1084" t="e">
        <f ca="1">INPUTS!C144*(INPUTS!D144+INPUTS!F144*Economics_Parameters!$C$12)</f>
        <v>#REF!</v>
      </c>
      <c r="C24" s="1084" t="e">
        <f ca="1">INPUTS!C126*(INPUTS!D126+INPUTS!E126*Economics_Parameters!$C$12)+INPUTS!C144*(INPUTS!E144+INPUTS!G144*Economics_Parameters!$C$12)</f>
        <v>#REF!</v>
      </c>
      <c r="D24" s="636"/>
      <c r="E24" s="636"/>
      <c r="F24" s="636" t="e">
        <f ca="1">SUM(B24+C24+E24)</f>
        <v>#REF!</v>
      </c>
      <c r="J24" s="39"/>
      <c r="K24" s="669"/>
      <c r="L24" s="621"/>
      <c r="M24" s="621"/>
      <c r="N24" s="631"/>
    </row>
    <row r="25" spans="1:14">
      <c r="A25" s="72" t="str">
        <f>INPUTS!C22</f>
        <v>Cows (improved)</v>
      </c>
      <c r="B25" s="1084" t="e">
        <f ca="1">INPUTS!C145*(INPUTS!D145+INPUTS!F145*Economics_Parameters!$C$12)</f>
        <v>#REF!</v>
      </c>
      <c r="C25" s="1084" t="e">
        <f ca="1">INPUTS!C127*(INPUTS!D127+INPUTS!E127*Economics_Parameters!$C$12)+INPUTS!C145*(INPUTS!E145+INPUTS!G145*Economics_Parameters!$C$12)</f>
        <v>#REF!</v>
      </c>
      <c r="D25" s="636"/>
      <c r="E25" s="636"/>
      <c r="F25" s="636" t="e">
        <f t="shared" ref="F25:F37" ca="1" si="2">SUM(B25+C25+E25)</f>
        <v>#REF!</v>
      </c>
      <c r="J25" s="39"/>
      <c r="K25" s="669"/>
      <c r="L25" s="621"/>
      <c r="M25" s="621"/>
      <c r="N25" s="631"/>
    </row>
    <row r="26" spans="1:14">
      <c r="A26" s="72" t="str">
        <f>INPUTS!C23</f>
        <v>Adult cattle - male</v>
      </c>
      <c r="B26" s="1084" t="e">
        <f ca="1">INPUTS!C146*(INPUTS!D146+INPUTS!F146*Economics_Parameters!$C$12)</f>
        <v>#REF!</v>
      </c>
      <c r="C26" s="1084" t="e">
        <f ca="1">INPUTS!C128*(INPUTS!D128+INPUTS!E128*Economics_Parameters!$C$12)+INPUTS!C146*(INPUTS!E146+INPUTS!G146*Economics_Parameters!$C$12)</f>
        <v>#REF!</v>
      </c>
      <c r="D26" s="636"/>
      <c r="E26" s="636"/>
      <c r="F26" s="636" t="e">
        <f t="shared" ca="1" si="2"/>
        <v>#REF!</v>
      </c>
      <c r="J26" s="39"/>
      <c r="K26" s="669"/>
      <c r="L26" s="621"/>
      <c r="M26" s="621"/>
      <c r="N26" s="631"/>
    </row>
    <row r="27" spans="1:14">
      <c r="A27" s="72" t="str">
        <f>INPUTS!C24</f>
        <v>Calves</v>
      </c>
      <c r="B27" s="1084" t="e">
        <f ca="1">INPUTS!C147*(INPUTS!D147+INPUTS!F147*Economics_Parameters!$C$12)</f>
        <v>#REF!</v>
      </c>
      <c r="C27" s="1084" t="e">
        <f ca="1">INPUTS!C129*(INPUTS!D129+INPUTS!E129*Economics_Parameters!$C$12)+INPUTS!C147*(INPUTS!E147+INPUTS!G147*Economics_Parameters!$C$12)</f>
        <v>#REF!</v>
      </c>
      <c r="D27" s="636"/>
      <c r="E27" s="636"/>
      <c r="F27" s="636" t="e">
        <f t="shared" ca="1" si="2"/>
        <v>#REF!</v>
      </c>
      <c r="J27" s="39"/>
      <c r="K27" s="669"/>
      <c r="L27" s="621"/>
      <c r="M27" s="621"/>
      <c r="N27" s="631"/>
    </row>
    <row r="28" spans="1:14">
      <c r="A28" s="72" t="str">
        <f>INPUTS!C25</f>
        <v>Steers/heifers</v>
      </c>
      <c r="B28" s="1084" t="e">
        <f ca="1">INPUTS!C148*(INPUTS!D148+INPUTS!F148*Economics_Parameters!$C$12)</f>
        <v>#REF!</v>
      </c>
      <c r="C28" s="1084" t="e">
        <f ca="1">INPUTS!C130*(INPUTS!D130+INPUTS!E130*Economics_Parameters!$C$12)+INPUTS!C148*(INPUTS!E148+INPUTS!G148*Economics_Parameters!$C$12)</f>
        <v>#REF!</v>
      </c>
      <c r="D28" s="636"/>
      <c r="E28" s="636"/>
      <c r="F28" s="636" t="e">
        <f t="shared" ca="1" si="2"/>
        <v>#REF!</v>
      </c>
      <c r="J28" s="39"/>
      <c r="K28" s="669"/>
      <c r="L28" s="621"/>
      <c r="M28" s="621"/>
      <c r="N28" s="631"/>
    </row>
    <row r="29" spans="1:14">
      <c r="A29" s="72" t="str">
        <f>INPUTS!C26</f>
        <v>Sheep/Goats - Ewes/Does</v>
      </c>
      <c r="B29" s="1084" t="e">
        <f ca="1">INPUTS!C149*(INPUTS!D149+INPUTS!F149*Economics_Parameters!$C$12)</f>
        <v>#REF!</v>
      </c>
      <c r="C29" s="1084" t="e">
        <f ca="1">INPUTS!C131*(INPUTS!D131+INPUTS!E131*Economics_Parameters!$C$12)+INPUTS!C149*(INPUTS!E149+INPUTS!G149*Economics_Parameters!$C$12)</f>
        <v>#REF!</v>
      </c>
      <c r="D29" s="636"/>
      <c r="E29" s="636"/>
      <c r="F29" s="636" t="e">
        <f t="shared" ca="1" si="2"/>
        <v>#REF!</v>
      </c>
      <c r="J29" s="39"/>
      <c r="K29" s="669"/>
      <c r="L29" s="621"/>
      <c r="M29" s="621"/>
      <c r="N29" s="631"/>
    </row>
    <row r="30" spans="1:14">
      <c r="A30" s="72" t="str">
        <f>INPUTS!C27</f>
        <v>Pigs - lactating/pregnant sows</v>
      </c>
      <c r="B30" s="1084" t="e">
        <f ca="1">INPUTS!C150*(INPUTS!D150+INPUTS!F150*Economics_Parameters!$C$12)</f>
        <v>#REF!</v>
      </c>
      <c r="C30" s="1084" t="e">
        <f ca="1">INPUTS!C132*(INPUTS!D132+INPUTS!E132*Economics_Parameters!$C$12)+INPUTS!C150*(INPUTS!E150+INPUTS!G150*Economics_Parameters!$C$12)</f>
        <v>#REF!</v>
      </c>
      <c r="D30" s="636"/>
      <c r="E30" s="636"/>
      <c r="F30" s="636" t="e">
        <f t="shared" ca="1" si="2"/>
        <v>#REF!</v>
      </c>
      <c r="J30" s="39"/>
      <c r="K30" s="669"/>
      <c r="L30" s="621"/>
      <c r="M30" s="621"/>
      <c r="N30" s="631"/>
    </row>
    <row r="31" spans="1:14">
      <c r="A31" s="72" t="str">
        <f>INPUTS!C28</f>
        <v>Calves</v>
      </c>
      <c r="B31" s="1084" t="e">
        <f ca="1">INPUTS!C153*(INPUTS!D153+INPUTS!F153*Economics_Parameters!$C$12)</f>
        <v>#REF!</v>
      </c>
      <c r="C31" s="1084" t="e">
        <f ca="1">INPUTS!C135*(INPUTS!D135+INPUTS!E135*Economics_Parameters!$C$12)+INPUTS!C153*(INPUTS!E153+INPUTS!G153*Economics_Parameters!$C$12)</f>
        <v>#REF!</v>
      </c>
      <c r="D31" s="636"/>
      <c r="E31" s="636"/>
      <c r="F31" s="636" t="e">
        <f t="shared" ca="1" si="2"/>
        <v>#REF!</v>
      </c>
      <c r="J31" s="39"/>
      <c r="K31" s="669"/>
      <c r="L31" s="621"/>
      <c r="M31" s="621"/>
      <c r="N31" s="631"/>
    </row>
    <row r="32" spans="1:14">
      <c r="A32" s="72">
        <f>INPUTS!C29</f>
        <v>0</v>
      </c>
      <c r="B32" s="1084" t="e">
        <f ca="1">INPUTS!C154*(INPUTS!D154+INPUTS!F154*Economics_Parameters!$C$12)</f>
        <v>#REF!</v>
      </c>
      <c r="C32" s="1084" t="e">
        <f ca="1">INPUTS!C136*(INPUTS!D136+INPUTS!E136*Economics_Parameters!$C$12)+INPUTS!C154*(INPUTS!E154+INPUTS!G154*Economics_Parameters!$C$12)</f>
        <v>#REF!</v>
      </c>
      <c r="D32" s="636"/>
      <c r="E32" s="636"/>
      <c r="F32" s="636" t="e">
        <f t="shared" ca="1" si="2"/>
        <v>#REF!</v>
      </c>
      <c r="J32" s="39"/>
      <c r="K32" s="669"/>
      <c r="L32" s="621"/>
      <c r="M32" s="621"/>
      <c r="N32" s="631"/>
    </row>
    <row r="33" spans="1:14" s="1251" customFormat="1">
      <c r="A33" s="72" t="e">
        <f>INPUTS!#REF!</f>
        <v>#REF!</v>
      </c>
      <c r="B33" s="1084" t="e">
        <f ca="1">INPUTS!C155*(INPUTS!D155+INPUTS!F155*Economics_Parameters!$C$12)</f>
        <v>#REF!</v>
      </c>
      <c r="C33" s="1084" t="e">
        <f ca="1">INPUTS!C137*(INPUTS!D137+INPUTS!E137*Economics_Parameters!$C$12)+INPUTS!C155*(INPUTS!E155+INPUTS!G155*Economics_Parameters!$C$12)</f>
        <v>#REF!</v>
      </c>
      <c r="D33" s="636"/>
      <c r="E33" s="636"/>
      <c r="F33" s="636" t="e">
        <f t="shared" ca="1" si="2"/>
        <v>#REF!</v>
      </c>
      <c r="J33" s="39"/>
      <c r="K33" s="669"/>
      <c r="L33" s="621"/>
      <c r="M33" s="621"/>
      <c r="N33" s="631"/>
    </row>
    <row r="34" spans="1:14" s="1251" customFormat="1">
      <c r="A34" s="72" t="e">
        <f>INPUTS!#REF!</f>
        <v>#REF!</v>
      </c>
      <c r="B34" s="1084" t="e">
        <f ca="1">INPUTS!C156*(INPUTS!D156+INPUTS!F156*Economics_Parameters!$C$12)</f>
        <v>#REF!</v>
      </c>
      <c r="C34" s="1084" t="e">
        <f ca="1">INPUTS!C138*(INPUTS!D138+INPUTS!E138*Economics_Parameters!$C$12)+INPUTS!C156*(INPUTS!E156+INPUTS!G156*Economics_Parameters!$C$12)</f>
        <v>#REF!</v>
      </c>
      <c r="D34" s="636"/>
      <c r="E34" s="636"/>
      <c r="F34" s="636" t="e">
        <f t="shared" ca="1" si="2"/>
        <v>#REF!</v>
      </c>
      <c r="J34" s="39"/>
      <c r="K34" s="669"/>
      <c r="L34" s="621"/>
      <c r="M34" s="621"/>
      <c r="N34" s="631"/>
    </row>
    <row r="35" spans="1:14">
      <c r="A35" s="72" t="e">
        <f>INPUTS!#REF!</f>
        <v>#REF!</v>
      </c>
      <c r="B35" s="1084" t="e">
        <f ca="1">INPUTS!C155*(INPUTS!D155+INPUTS!F155*Economics_Parameters!$C$12)</f>
        <v>#REF!</v>
      </c>
      <c r="C35" s="1084" t="e">
        <f ca="1">INPUTS!C137*(INPUTS!D137+INPUTS!E137*Economics_Parameters!$C$12)+INPUTS!C155*(INPUTS!E155+INPUTS!G155*Economics_Parameters!$C$12)</f>
        <v>#REF!</v>
      </c>
      <c r="D35" s="636"/>
      <c r="E35" s="636"/>
      <c r="F35" s="636" t="e">
        <f t="shared" ca="1" si="2"/>
        <v>#REF!</v>
      </c>
      <c r="N35" s="631"/>
    </row>
    <row r="36" spans="1:14">
      <c r="A36" s="72" t="e">
        <f>INPUTS!#REF!</f>
        <v>#REF!</v>
      </c>
      <c r="B36" s="1084" t="e">
        <f ca="1">INPUTS!C156*(INPUTS!D156+INPUTS!F156*Economics_Parameters!$C$12)</f>
        <v>#REF!</v>
      </c>
      <c r="C36" s="1084" t="e">
        <f ca="1">INPUTS!C138*(INPUTS!D138+INPUTS!E138*Economics_Parameters!$C$12)+INPUTS!C156*(INPUTS!E156+INPUTS!G156*Economics_Parameters!$C$12)</f>
        <v>#REF!</v>
      </c>
      <c r="D36" s="636"/>
      <c r="E36" s="636"/>
      <c r="F36" s="636" t="e">
        <f t="shared" ca="1" si="2"/>
        <v>#REF!</v>
      </c>
    </row>
    <row r="37" spans="1:14">
      <c r="A37" s="637" t="e">
        <f>INPUTS!#REF!</f>
        <v>#REF!</v>
      </c>
      <c r="B37" s="1084" t="e">
        <f ca="1">INPUTS!C157*(INPUTS!D157+INPUTS!F157*Economics_Parameters!$C$12)</f>
        <v>#REF!</v>
      </c>
      <c r="C37" s="1084" t="e">
        <f ca="1">INPUTS!C139*(INPUTS!D139+INPUTS!E139*Economics_Parameters!$C$12)+INPUTS!C157*(INPUTS!E157+INPUTS!G157*Economics_Parameters!$C$12)</f>
        <v>#REF!</v>
      </c>
      <c r="D37" s="638"/>
      <c r="E37" s="638"/>
      <c r="F37" s="638" t="e">
        <f t="shared" ca="1" si="2"/>
        <v>#REF!</v>
      </c>
      <c r="N37" s="631"/>
    </row>
    <row r="38" spans="1:14">
      <c r="B38" s="663" t="e">
        <f ca="1">SUM(B24:B37)</f>
        <v>#REF!</v>
      </c>
      <c r="C38" s="663" t="e">
        <f ca="1">SUM(C24:C37)</f>
        <v>#REF!</v>
      </c>
      <c r="F38" s="632" t="e">
        <f ca="1">SUM(F24:F37)</f>
        <v>#REF!</v>
      </c>
      <c r="J38" s="621"/>
      <c r="K38" s="621"/>
      <c r="L38" s="635"/>
      <c r="M38" s="635"/>
    </row>
    <row r="39" spans="1:14">
      <c r="J39" s="621"/>
      <c r="K39" s="621"/>
      <c r="L39" s="635"/>
      <c r="M39" s="635"/>
    </row>
    <row r="40" spans="1:14">
      <c r="A40" s="633" t="s">
        <v>1659</v>
      </c>
      <c r="B40" s="633" t="s">
        <v>1487</v>
      </c>
      <c r="C40" s="633" t="s">
        <v>1488</v>
      </c>
      <c r="D40" s="659" t="s">
        <v>1235</v>
      </c>
      <c r="E40" s="633"/>
      <c r="F40" s="160" t="s">
        <v>1263</v>
      </c>
      <c r="I40" s="621"/>
      <c r="J40" s="621"/>
      <c r="K40" s="635"/>
      <c r="L40" s="635"/>
    </row>
    <row r="41" spans="1:14">
      <c r="A41" s="72" t="e">
        <f ca="1">IF(INPUTS!$B$161= "",INPUTS!$B$171,INPUTS!$B$161)</f>
        <v>#REF!</v>
      </c>
      <c r="B41" s="1085" t="e">
        <f ca="1">IF(INPUTS!C171=0,INPUTS!D171*(INPUTS!E171+INPUTS!G171*Economics_Parameters!$C$12),INPUTS!C171*(INPUTS!E171+INPUTS!G171*Economics_Parameters!$C$12))+IF(INPUTS!C161=0,INPUTS!D161*(INPUTS!E161+INPUTS!G161*Economics_Parameters!$C$12),INPUTS!C161*(INPUTS!E161+INPUTS!G161*Economics_Parameters!$C$12))</f>
        <v>#REF!</v>
      </c>
      <c r="C41" s="1086" t="e">
        <f ca="1">IF(INPUTS!C161=0,INPUTS!D161*(INPUTS!F161+(INPUTS!H161*Economics_Parameters!$C$12)),INPUTS!C161*(INPUTS!F161+(INPUTS!H161*Economics_Parameters!$C$12)))+IF(INPUTS!C171=0,INPUTS!D171*(INPUTS!F171+(INPUTS!H171*Economics_Parameters!$C$12)),INPUTS!C171*(INPUTS!F171+(INPUTS!H171*Economics_Parameters!$C$12)))</f>
        <v>#REF!</v>
      </c>
      <c r="D41" s="1087" t="e">
        <f ca="1">(INPUTS!C161+INPUTS!C171)*Economics_Parameters!$C$18</f>
        <v>#REF!</v>
      </c>
      <c r="E41" s="72"/>
      <c r="F41" s="689" t="e">
        <f ca="1">SUM(B41+C41+D41+E41)</f>
        <v>#REF!</v>
      </c>
      <c r="L41" s="635"/>
    </row>
    <row r="42" spans="1:14">
      <c r="A42" s="72" t="e">
        <f ca="1">IF(INPUTS!$B$162= "",INPUTS!$B$172,INPUTS!$B$162)</f>
        <v>#REF!</v>
      </c>
      <c r="B42" s="1085" t="e">
        <f ca="1">IF(INPUTS!C172=0,INPUTS!D172*(INPUTS!E172+INPUTS!G172*Economics_Parameters!$C$12),INPUTS!C172*(INPUTS!E172+INPUTS!G172*Economics_Parameters!$C$12))+IF(INPUTS!C162=0,INPUTS!D162*(INPUTS!E162+INPUTS!G162*Economics_Parameters!$C$12),INPUTS!C162*(INPUTS!E162+INPUTS!G162*Economics_Parameters!$C$12))</f>
        <v>#REF!</v>
      </c>
      <c r="C42" s="1086" t="e">
        <f ca="1">IF(INPUTS!C162=0,INPUTS!D162*(INPUTS!F162+(INPUTS!H162*Economics_Parameters!$C$12)),INPUTS!C162*(INPUTS!F162+(INPUTS!H162*Economics_Parameters!$C$12)))+IF(INPUTS!C172=0,INPUTS!D172*(INPUTS!F172+(INPUTS!H172*Economics_Parameters!$C$12)),INPUTS!C172*(INPUTS!F172+(INPUTS!H172*Economics_Parameters!$C$12)))</f>
        <v>#REF!</v>
      </c>
      <c r="D42" s="1087" t="e">
        <f ca="1">(INPUTS!C162+INPUTS!C172)*Economics_Parameters!$C$18</f>
        <v>#REF!</v>
      </c>
      <c r="E42" s="72"/>
      <c r="F42" s="689" t="e">
        <f ca="1">SUM(B42+C42+D42+E42)</f>
        <v>#REF!</v>
      </c>
    </row>
    <row r="43" spans="1:14">
      <c r="A43" s="72" t="e">
        <f ca="1">IF(INPUTS!$B$163= "",INPUTS!$B$173,INPUTS!$B$163)</f>
        <v>#REF!</v>
      </c>
      <c r="B43" s="1085" t="e">
        <f ca="1">IF(INPUTS!C173=0,INPUTS!D173*(INPUTS!E173+INPUTS!G173*Economics_Parameters!$C$12),INPUTS!C173*(INPUTS!E173+INPUTS!G173*Economics_Parameters!$C$12))+IF(INPUTS!C163=0,INPUTS!D163*(INPUTS!E163+INPUTS!G163*Economics_Parameters!$C$12),INPUTS!C163*(INPUTS!E163+INPUTS!G163*Economics_Parameters!$C$12))</f>
        <v>#REF!</v>
      </c>
      <c r="C43" s="1086" t="e">
        <f ca="1">IF(INPUTS!C163=0,INPUTS!D163*(INPUTS!F163+(INPUTS!H163*Economics_Parameters!$C$12)),INPUTS!C163*(INPUTS!F163+(INPUTS!H163*Economics_Parameters!$C$12)))+IF(INPUTS!C173=0,INPUTS!D173*(INPUTS!F173+(INPUTS!H173*Economics_Parameters!$C$12)),INPUTS!C173*(INPUTS!F173+(INPUTS!H173*Economics_Parameters!$C$12)))</f>
        <v>#REF!</v>
      </c>
      <c r="D43" s="1087" t="e">
        <f ca="1">(INPUTS!C163+INPUTS!C173)*Economics_Parameters!$C$18</f>
        <v>#REF!</v>
      </c>
      <c r="E43" s="72"/>
      <c r="F43" s="689" t="e">
        <f ca="1">SUM(B43+C43+D43+E43)</f>
        <v>#REF!</v>
      </c>
      <c r="L43" s="631"/>
    </row>
    <row r="44" spans="1:14">
      <c r="A44" s="72" t="e">
        <f ca="1">IF(INPUTS!$B$164= "",INPUTS!$B$174,INPUTS!$B$164)</f>
        <v>#REF!</v>
      </c>
      <c r="B44" s="1085" t="e">
        <f ca="1">IF(INPUTS!C174=0,INPUTS!D174*(INPUTS!E174+INPUTS!G174*Economics_Parameters!$C$12),INPUTS!C174*(INPUTS!E174+INPUTS!G174*Economics_Parameters!$C$12))+IF(INPUTS!C164=0,INPUTS!D164*(INPUTS!E164+INPUTS!G164*Economics_Parameters!$C$12),INPUTS!C164*(INPUTS!E164+INPUTS!G164*Economics_Parameters!$C$12))</f>
        <v>#REF!</v>
      </c>
      <c r="C44" s="1086" t="e">
        <f ca="1">IF(INPUTS!C164=0,INPUTS!D164*(INPUTS!F164+(INPUTS!H164*Economics_Parameters!$C$12)),INPUTS!C164*(INPUTS!F164+(INPUTS!H164*Economics_Parameters!$C$12)))+IF(INPUTS!C174=0,INPUTS!D174*(INPUTS!F174+(INPUTS!H174*Economics_Parameters!$C$12)),INPUTS!C174*(INPUTS!F174+(INPUTS!H174*Economics_Parameters!$C$12)))</f>
        <v>#REF!</v>
      </c>
      <c r="D44" s="1087" t="e">
        <f ca="1">(INPUTS!C164+INPUTS!C174)*Economics_Parameters!$C$18</f>
        <v>#REF!</v>
      </c>
      <c r="E44" s="72"/>
      <c r="F44" s="689" t="e">
        <f ca="1">SUM(B44+C44+D44+E44)</f>
        <v>#REF!</v>
      </c>
    </row>
    <row r="45" spans="1:14">
      <c r="A45" s="72" t="e">
        <f ca="1">IF(INPUTS!$B$165= "",INPUTS!$B$175,INPUTS!$B$165)</f>
        <v>#REF!</v>
      </c>
      <c r="B45" s="1085" t="e">
        <f ca="1">IF(INPUTS!C175=0,INPUTS!D175*(INPUTS!E175+INPUTS!G175*Economics_Parameters!$C$12),INPUTS!C175*(INPUTS!E175+INPUTS!G175*Economics_Parameters!$C$12))+IF(INPUTS!C165=0,INPUTS!D165*(INPUTS!E165+INPUTS!G165*Economics_Parameters!$C$12),INPUTS!C165*(INPUTS!E165+INPUTS!G165*Economics_Parameters!$C$12))</f>
        <v>#REF!</v>
      </c>
      <c r="C45" s="1086" t="e">
        <f ca="1">IF(INPUTS!C165=0,INPUTS!D165*(INPUTS!F165+(INPUTS!H165*Economics_Parameters!$C$12)),INPUTS!C165*(INPUTS!F165+(INPUTS!H165*Economics_Parameters!$C$12)))+IF(INPUTS!C175=0,INPUTS!D175*(INPUTS!F175+(INPUTS!H175*Economics_Parameters!$C$12)),INPUTS!C175*(INPUTS!F175+(INPUTS!H175*Economics_Parameters!$C$12)))</f>
        <v>#REF!</v>
      </c>
      <c r="D45" s="1087" t="e">
        <f ca="1">(INPUTS!C165+INPUTS!C175)*Economics_Parameters!$C$18</f>
        <v>#REF!</v>
      </c>
      <c r="E45" s="72"/>
      <c r="F45" s="689" t="e">
        <f ca="1">SUM(B45+C45+D45+E45)</f>
        <v>#REF!</v>
      </c>
    </row>
    <row r="46" spans="1:14">
      <c r="A46" s="72" t="e">
        <f ca="1">IF(INPUTS!$B$166= "",INPUTS!$B$176,INPUTS!$B$166)</f>
        <v>#REF!</v>
      </c>
      <c r="B46" s="1085" t="e">
        <f ca="1">IF(INPUTS!C176=0,INPUTS!D176*(INPUTS!E176+INPUTS!G176*Economics_Parameters!$C$12),INPUTS!C176*(INPUTS!E176+INPUTS!G176*Economics_Parameters!$C$12))+IF(INPUTS!C166=0,INPUTS!D166*(INPUTS!E166+INPUTS!G166*Economics_Parameters!$C$12),INPUTS!C166*(INPUTS!E166+INPUTS!G166*Economics_Parameters!$C$12))</f>
        <v>#REF!</v>
      </c>
      <c r="C46" s="1086" t="e">
        <f ca="1">IF(INPUTS!C166=0,INPUTS!D166*(INPUTS!F166+(INPUTS!H166*Economics_Parameters!$C$12)),INPUTS!C166*(INPUTS!F166+(INPUTS!H166*Economics_Parameters!$C$12)))+IF(INPUTS!C176=0,INPUTS!D176*(INPUTS!F176+(INPUTS!H176*Economics_Parameters!$C$12)),INPUTS!C176*(INPUTS!F176+(INPUTS!H176*Economics_Parameters!$C$12)))</f>
        <v>#REF!</v>
      </c>
      <c r="D46" s="1087" t="e">
        <f ca="1">(INPUTS!C166+INPUTS!C176)*Economics_Parameters!$C$18</f>
        <v>#REF!</v>
      </c>
      <c r="E46" s="72"/>
      <c r="F46" s="689" t="e">
        <f t="shared" ref="F46:F47" ca="1" si="3">SUM(B46+C46+D46+E46)</f>
        <v>#REF!</v>
      </c>
    </row>
    <row r="47" spans="1:14">
      <c r="A47" s="637" t="e">
        <f ca="1">IF(INPUTS!$B$167= "",INPUTS!$B$177,INPUTS!$B$167)</f>
        <v>#REF!</v>
      </c>
      <c r="B47" s="1085" t="e">
        <f ca="1">IF(INPUTS!C177=0,INPUTS!D177*(INPUTS!E177+INPUTS!G177*Economics_Parameters!$C$12),INPUTS!C177*(INPUTS!E177+INPUTS!G177*Economics_Parameters!$C$12))+IF(INPUTS!C167=0,INPUTS!D167*(INPUTS!E167+INPUTS!G167*Economics_Parameters!$C$12),INPUTS!C167*(INPUTS!E167+INPUTS!G167*Economics_Parameters!$C$12))</f>
        <v>#REF!</v>
      </c>
      <c r="C47" s="1086" t="e">
        <f ca="1">IF(INPUTS!C167=0,INPUTS!D167*(INPUTS!F167+(INPUTS!H167*Economics_Parameters!$C$12)),INPUTS!C167*(INPUTS!F167+(INPUTS!H167*Economics_Parameters!$C$12)))+IF(INPUTS!C177=0,INPUTS!D177*(INPUTS!F177+(INPUTS!H177*Economics_Parameters!$C$12)),INPUTS!C177*(INPUTS!F177+(INPUTS!H177*Economics_Parameters!$C$12)))</f>
        <v>#REF!</v>
      </c>
      <c r="D47" s="1087" t="e">
        <f ca="1">(INPUTS!C167+INPUTS!C177)*Economics_Parameters!$C$18</f>
        <v>#REF!</v>
      </c>
      <c r="E47" s="637"/>
      <c r="F47" s="689" t="e">
        <f t="shared" ca="1" si="3"/>
        <v>#REF!</v>
      </c>
      <c r="I47" s="631"/>
    </row>
    <row r="48" spans="1:14">
      <c r="B48" s="662" t="e">
        <f ca="1">SUM(B41:B47)</f>
        <v>#REF!</v>
      </c>
      <c r="C48" s="1083" t="e">
        <f ca="1">SUM(C41:C47)</f>
        <v>#REF!</v>
      </c>
      <c r="D48" s="662" t="e">
        <f ca="1">SUM(D41:D47)</f>
        <v>#REF!</v>
      </c>
      <c r="F48" s="632" t="e">
        <f ca="1">SUM(F41:F47)</f>
        <v>#REF!</v>
      </c>
      <c r="I48" s="631"/>
    </row>
    <row r="49" spans="1:12">
      <c r="J49" s="631"/>
    </row>
    <row r="50" spans="1:12">
      <c r="A50" s="633" t="s">
        <v>1212</v>
      </c>
      <c r="B50" s="633" t="s">
        <v>1487</v>
      </c>
      <c r="C50" s="633" t="s">
        <v>1488</v>
      </c>
      <c r="D50" s="659"/>
      <c r="E50" s="633"/>
      <c r="F50" s="160" t="s">
        <v>1263</v>
      </c>
    </row>
    <row r="51" spans="1:12">
      <c r="A51" s="72" t="str">
        <f>INPUTS!$B$181</f>
        <v>extra stable</v>
      </c>
      <c r="B51" s="655">
        <f>INPUTS!C181+INPUTS!E181*Economics_Parameters!$C$12</f>
        <v>267.5</v>
      </c>
      <c r="C51" s="655">
        <f>INPUTS!D181+INPUTS!F181*Economics_Parameters!$C$12</f>
        <v>3.5</v>
      </c>
      <c r="D51" s="636"/>
      <c r="E51" s="636"/>
      <c r="F51" s="636">
        <f>SUM(E51+C51+B51)</f>
        <v>271</v>
      </c>
    </row>
    <row r="52" spans="1:12">
      <c r="A52" s="72">
        <f>INPUTS!$B$182</f>
        <v>0</v>
      </c>
      <c r="B52" s="655">
        <f>INPUTS!C182+INPUTS!E182*Economics_Parameters!$C$12</f>
        <v>0</v>
      </c>
      <c r="C52" s="655">
        <f>INPUTS!D182+INPUTS!F182*Economics_Parameters!$C$12</f>
        <v>0</v>
      </c>
      <c r="D52" s="636"/>
      <c r="E52" s="636"/>
      <c r="F52" s="636">
        <f>SUM(E52+C52+B52)</f>
        <v>0</v>
      </c>
    </row>
    <row r="53" spans="1:12">
      <c r="A53" s="637">
        <f>INPUTS!$B$183</f>
        <v>0</v>
      </c>
      <c r="B53" s="655">
        <f>INPUTS!C183+INPUTS!E183*Economics_Parameters!$C$12</f>
        <v>0</v>
      </c>
      <c r="C53" s="655">
        <f>INPUTS!D183+INPUTS!F183*Economics_Parameters!$C$12</f>
        <v>0</v>
      </c>
      <c r="D53" s="638"/>
      <c r="E53" s="638"/>
      <c r="F53" s="638">
        <f>SUM(E53+C53+B53)</f>
        <v>0</v>
      </c>
    </row>
    <row r="54" spans="1:12">
      <c r="B54" s="663">
        <f>SUM(B51:B53)</f>
        <v>267.5</v>
      </c>
      <c r="C54" s="663">
        <f>SUM(C51:C53)</f>
        <v>3.5</v>
      </c>
      <c r="F54" s="632">
        <f>SUM(F51:F53)</f>
        <v>271</v>
      </c>
    </row>
    <row r="56" spans="1:12">
      <c r="A56" s="37"/>
      <c r="B56" s="1082" t="s">
        <v>1648</v>
      </c>
      <c r="C56" s="1082" t="s">
        <v>1649</v>
      </c>
      <c r="D56" s="687" t="s">
        <v>1264</v>
      </c>
      <c r="E56" s="37"/>
      <c r="F56" s="37" t="s">
        <v>127</v>
      </c>
    </row>
    <row r="57" spans="1:12">
      <c r="A57" s="680" t="s">
        <v>1314</v>
      </c>
      <c r="B57" s="681" t="e">
        <f ca="1">B38+B48+B54</f>
        <v>#REF!</v>
      </c>
      <c r="C57" s="681" t="e">
        <f ca="1">C38+C48+C54</f>
        <v>#REF!</v>
      </c>
      <c r="D57" s="688" t="e">
        <f ca="1">D38+D48+D54</f>
        <v>#REF!</v>
      </c>
      <c r="E57" s="648"/>
      <c r="F57" s="682" t="e">
        <f ca="1">SUM(F38,F48,F54)</f>
        <v>#REF!</v>
      </c>
    </row>
    <row r="59" spans="1:12">
      <c r="A59" t="s">
        <v>1213</v>
      </c>
    </row>
    <row r="60" spans="1:12">
      <c r="B60" s="660" t="s">
        <v>1652</v>
      </c>
      <c r="C60" s="660" t="s">
        <v>1238</v>
      </c>
      <c r="D60" s="660" t="s">
        <v>1239</v>
      </c>
      <c r="E60" s="660" t="s">
        <v>1240</v>
      </c>
      <c r="F60" s="660" t="s">
        <v>1241</v>
      </c>
      <c r="G60" s="660" t="s">
        <v>1242</v>
      </c>
      <c r="H60" s="660" t="s">
        <v>1265</v>
      </c>
      <c r="I60" s="660" t="s">
        <v>1266</v>
      </c>
      <c r="J60" s="660" t="s">
        <v>1267</v>
      </c>
      <c r="K60" s="660" t="s">
        <v>1268</v>
      </c>
      <c r="L60" s="660"/>
    </row>
    <row r="61" spans="1:12">
      <c r="A61" s="1135" t="s">
        <v>1650</v>
      </c>
      <c r="B61" s="1136" t="e">
        <f ca="1">E19</f>
        <v>#REF!</v>
      </c>
      <c r="C61" s="657" t="e">
        <f ca="1">$B$61*2</f>
        <v>#REF!</v>
      </c>
      <c r="D61" s="657" t="e">
        <f ca="1">$B$61*3</f>
        <v>#REF!</v>
      </c>
      <c r="E61" s="657" t="e">
        <f ca="1">$B$61*4</f>
        <v>#REF!</v>
      </c>
      <c r="F61" s="657" t="e">
        <f ca="1">$B$61*5</f>
        <v>#REF!</v>
      </c>
      <c r="G61" s="657" t="e">
        <f ca="1">$B$61*6</f>
        <v>#REF!</v>
      </c>
      <c r="H61" s="657" t="e">
        <f ca="1">$B$61*7</f>
        <v>#REF!</v>
      </c>
      <c r="I61" s="657" t="e">
        <f ca="1">$B$61*8</f>
        <v>#REF!</v>
      </c>
      <c r="J61" s="657" t="e">
        <f ca="1">$B$61*9</f>
        <v>#REF!</v>
      </c>
      <c r="K61" s="657" t="e">
        <f ca="1">$B$61*10</f>
        <v>#REF!</v>
      </c>
      <c r="L61" s="657"/>
    </row>
    <row r="62" spans="1:12">
      <c r="A62" s="72" t="s">
        <v>1314</v>
      </c>
      <c r="B62" s="634" t="e">
        <f ca="1">F57</f>
        <v>#REF!</v>
      </c>
      <c r="C62" s="657" t="e">
        <f ca="1">B62+$C$57+$D$57</f>
        <v>#REF!</v>
      </c>
      <c r="D62" s="657" t="e">
        <f ca="1">C62+$C$57+$D$57</f>
        <v>#REF!</v>
      </c>
      <c r="E62" s="657" t="e">
        <f ca="1">D62+$C$57+$D$57</f>
        <v>#REF!</v>
      </c>
      <c r="F62" s="657" t="e">
        <f ca="1">E62+$C$57+$D$57</f>
        <v>#REF!</v>
      </c>
      <c r="G62" s="657" t="e">
        <f t="shared" ref="G62:K62" ca="1" si="4">F62+$C$57+$D$57</f>
        <v>#REF!</v>
      </c>
      <c r="H62" s="657" t="e">
        <f t="shared" ca="1" si="4"/>
        <v>#REF!</v>
      </c>
      <c r="I62" s="657" t="e">
        <f t="shared" ca="1" si="4"/>
        <v>#REF!</v>
      </c>
      <c r="J62" s="657" t="e">
        <f t="shared" ca="1" si="4"/>
        <v>#REF!</v>
      </c>
      <c r="K62" s="657" t="e">
        <f t="shared" ca="1" si="4"/>
        <v>#REF!</v>
      </c>
      <c r="L62" s="657"/>
    </row>
    <row r="63" spans="1:12">
      <c r="B63" s="656" t="e">
        <f t="shared" ref="B63:G63" ca="1" si="5">SUM(B61-B62)</f>
        <v>#REF!</v>
      </c>
      <c r="C63" s="656" t="e">
        <f t="shared" ca="1" si="5"/>
        <v>#REF!</v>
      </c>
      <c r="D63" s="656" t="e">
        <f t="shared" ca="1" si="5"/>
        <v>#REF!</v>
      </c>
      <c r="E63" s="656" t="e">
        <f t="shared" ca="1" si="5"/>
        <v>#REF!</v>
      </c>
      <c r="F63" s="656" t="e">
        <f t="shared" ca="1" si="5"/>
        <v>#REF!</v>
      </c>
      <c r="G63" s="656" t="e">
        <f t="shared" ca="1" si="5"/>
        <v>#REF!</v>
      </c>
      <c r="H63" s="656" t="e">
        <f ca="1">SUM(H61-H62)</f>
        <v>#REF!</v>
      </c>
      <c r="I63" s="656" t="e">
        <f ca="1">SUM(I61-I62)</f>
        <v>#REF!</v>
      </c>
      <c r="J63" s="656" t="e">
        <f ca="1">SUM(J61-J62)</f>
        <v>#REF!</v>
      </c>
      <c r="K63" s="656" t="e">
        <f ca="1">SUM(K61-K62)</f>
        <v>#REF!</v>
      </c>
      <c r="L63" s="656"/>
    </row>
    <row r="64" spans="1:12">
      <c r="B64" s="621"/>
    </row>
    <row r="66" spans="1:14" s="527" customFormat="1" ht="29.25" customHeight="1">
      <c r="A66" s="528" t="s">
        <v>1214</v>
      </c>
      <c r="B66" s="528"/>
    </row>
    <row r="67" spans="1:14">
      <c r="G67" s="142"/>
    </row>
    <row r="68" spans="1:14">
      <c r="G68" s="142"/>
    </row>
    <row r="69" spans="1:14">
      <c r="A69" s="640" t="s">
        <v>1215</v>
      </c>
      <c r="B69" s="1134" t="s">
        <v>1651</v>
      </c>
      <c r="C69" s="640" t="s">
        <v>1217</v>
      </c>
      <c r="D69" s="640" t="s">
        <v>1218</v>
      </c>
      <c r="E69" s="640" t="s">
        <v>1219</v>
      </c>
      <c r="F69" s="1094"/>
      <c r="G69" s="1098"/>
      <c r="H69" s="37"/>
      <c r="J69" s="37"/>
      <c r="K69" s="37"/>
      <c r="L69" s="37"/>
      <c r="M69" s="37"/>
      <c r="N69" s="37"/>
    </row>
    <row r="70" spans="1:14">
      <c r="A70">
        <v>0</v>
      </c>
      <c r="B70" s="631" t="e">
        <f ca="1">$B$63</f>
        <v>#REF!</v>
      </c>
      <c r="C70" s="1095" t="e">
        <f ca="1">$B$63</f>
        <v>#REF!</v>
      </c>
      <c r="D70" s="635" t="e">
        <f ca="1">$B$63</f>
        <v>#REF!</v>
      </c>
      <c r="E70" s="39"/>
      <c r="F70" s="1093"/>
      <c r="G70" s="1093"/>
      <c r="I70" s="621"/>
      <c r="K70" s="666"/>
    </row>
    <row r="71" spans="1:14">
      <c r="A71">
        <v>1</v>
      </c>
      <c r="B71" s="631" t="e">
        <f ca="1">C63</f>
        <v>#REF!</v>
      </c>
      <c r="C71" s="639" t="e">
        <f ca="1">-PV(Economics_Parameters!$C$22,A71,,B71)</f>
        <v>#REF!</v>
      </c>
      <c r="D71" s="635" t="e">
        <f ca="1">D70+C71</f>
        <v>#REF!</v>
      </c>
      <c r="E71" s="39" t="e">
        <f ca="1">IF(D71&lt;0,"N/A",ABS(D70/C71))</f>
        <v>#REF!</v>
      </c>
      <c r="G71" s="1098"/>
      <c r="I71" s="621"/>
      <c r="K71" s="666"/>
      <c r="L71" s="667"/>
      <c r="M71" s="667"/>
    </row>
    <row r="72" spans="1:14">
      <c r="A72" s="1093">
        <v>2</v>
      </c>
      <c r="B72" s="631" t="e">
        <f ca="1">D63</f>
        <v>#REF!</v>
      </c>
      <c r="C72" s="639" t="e">
        <f ca="1">-PV(Economics_Parameters!$C$22,A72,,B72)</f>
        <v>#REF!</v>
      </c>
      <c r="D72" s="635" t="e">
        <f t="shared" ref="D72:D79" ca="1" si="6">D71+C72</f>
        <v>#REF!</v>
      </c>
      <c r="E72" s="39" t="e">
        <f t="shared" ref="E72:E79" ca="1" si="7">IF(D72&lt;0,"N/A",ABS(D71/C72))</f>
        <v>#REF!</v>
      </c>
      <c r="F72" s="1093"/>
      <c r="G72" s="1098"/>
      <c r="I72" s="621"/>
      <c r="K72" s="666"/>
      <c r="L72" s="667"/>
      <c r="M72" s="667"/>
    </row>
    <row r="73" spans="1:14">
      <c r="A73" s="1093">
        <v>3</v>
      </c>
      <c r="B73" s="631" t="e">
        <f ca="1">E63</f>
        <v>#REF!</v>
      </c>
      <c r="C73" s="639" t="e">
        <f ca="1">-PV(Economics_Parameters!$C$22,A73,,B73)</f>
        <v>#REF!</v>
      </c>
      <c r="D73" s="635" t="e">
        <f t="shared" ca="1" si="6"/>
        <v>#REF!</v>
      </c>
      <c r="E73" s="39" t="e">
        <f t="shared" ca="1" si="7"/>
        <v>#REF!</v>
      </c>
      <c r="F73" s="1093"/>
      <c r="G73" s="1098"/>
      <c r="K73" s="666"/>
      <c r="L73" s="667"/>
      <c r="M73" s="667"/>
    </row>
    <row r="74" spans="1:14">
      <c r="A74" s="1093">
        <v>4</v>
      </c>
      <c r="B74" s="631" t="e">
        <f ca="1">F63</f>
        <v>#REF!</v>
      </c>
      <c r="C74" s="639" t="e">
        <f ca="1">-PV(Economics_Parameters!$C$22,A74,,B74)</f>
        <v>#REF!</v>
      </c>
      <c r="D74" s="635" t="e">
        <f t="shared" ca="1" si="6"/>
        <v>#REF!</v>
      </c>
      <c r="E74" s="39" t="e">
        <f t="shared" ca="1" si="7"/>
        <v>#REF!</v>
      </c>
      <c r="F74" s="1093"/>
      <c r="G74" s="1098"/>
      <c r="K74" s="666"/>
      <c r="L74" s="667"/>
      <c r="M74" s="667"/>
    </row>
    <row r="75" spans="1:14">
      <c r="A75" s="1093">
        <v>5</v>
      </c>
      <c r="B75" s="631" t="e">
        <f ca="1">G63</f>
        <v>#REF!</v>
      </c>
      <c r="C75" s="639" t="e">
        <f ca="1">-PV(Economics_Parameters!$C$22,A75,,B75)</f>
        <v>#REF!</v>
      </c>
      <c r="D75" s="635" t="e">
        <f t="shared" ca="1" si="6"/>
        <v>#REF!</v>
      </c>
      <c r="E75" s="39" t="e">
        <f t="shared" ca="1" si="7"/>
        <v>#REF!</v>
      </c>
      <c r="F75" s="1093"/>
      <c r="G75" s="1098"/>
      <c r="K75" s="666"/>
      <c r="L75" s="667"/>
      <c r="M75" s="667"/>
    </row>
    <row r="76" spans="1:14">
      <c r="A76" s="1093">
        <v>6</v>
      </c>
      <c r="B76" s="631" t="e">
        <f ca="1">H63</f>
        <v>#REF!</v>
      </c>
      <c r="C76" s="639" t="e">
        <f ca="1">-PV(Economics_Parameters!$C$22,A76,,B76)</f>
        <v>#REF!</v>
      </c>
      <c r="D76" s="635" t="e">
        <f t="shared" ca="1" si="6"/>
        <v>#REF!</v>
      </c>
      <c r="E76" s="39" t="e">
        <f t="shared" ca="1" si="7"/>
        <v>#REF!</v>
      </c>
      <c r="F76" s="1093"/>
      <c r="G76" s="1098"/>
      <c r="K76" s="666"/>
      <c r="L76" s="667"/>
      <c r="M76" s="667"/>
    </row>
    <row r="77" spans="1:14">
      <c r="A77" s="1093">
        <v>7</v>
      </c>
      <c r="B77" s="631" t="e">
        <f ca="1">I63</f>
        <v>#REF!</v>
      </c>
      <c r="C77" s="639" t="e">
        <f ca="1">-PV(Economics_Parameters!$C$22,A77,,B77)</f>
        <v>#REF!</v>
      </c>
      <c r="D77" s="635" t="e">
        <f t="shared" ca="1" si="6"/>
        <v>#REF!</v>
      </c>
      <c r="E77" s="39" t="e">
        <f t="shared" ca="1" si="7"/>
        <v>#REF!</v>
      </c>
      <c r="F77" s="1093"/>
      <c r="G77" s="1098"/>
      <c r="K77" s="666"/>
      <c r="L77" s="667"/>
      <c r="M77" s="667"/>
    </row>
    <row r="78" spans="1:14">
      <c r="A78" s="1093">
        <v>8</v>
      </c>
      <c r="B78" s="631" t="e">
        <f ca="1">J63</f>
        <v>#REF!</v>
      </c>
      <c r="C78" s="639" t="e">
        <f ca="1">-PV(Economics_Parameters!$C$22,A78,,B78)</f>
        <v>#REF!</v>
      </c>
      <c r="D78" s="635" t="e">
        <f t="shared" ca="1" si="6"/>
        <v>#REF!</v>
      </c>
      <c r="E78" s="39" t="e">
        <f t="shared" ca="1" si="7"/>
        <v>#REF!</v>
      </c>
      <c r="F78" s="1093"/>
      <c r="G78" s="1098"/>
      <c r="K78" s="666"/>
      <c r="L78" s="667"/>
      <c r="M78" s="667"/>
    </row>
    <row r="79" spans="1:14">
      <c r="A79" s="1093">
        <v>9</v>
      </c>
      <c r="B79" s="631" t="e">
        <f ca="1">K63</f>
        <v>#REF!</v>
      </c>
      <c r="C79" s="639" t="e">
        <f ca="1">-PV(Economics_Parameters!$C$22,A79,,B79)</f>
        <v>#REF!</v>
      </c>
      <c r="D79" s="635" t="e">
        <f t="shared" ca="1" si="6"/>
        <v>#REF!</v>
      </c>
      <c r="E79" s="39" t="e">
        <f t="shared" ca="1" si="7"/>
        <v>#REF!</v>
      </c>
      <c r="F79" s="1093"/>
      <c r="G79" s="1098"/>
      <c r="K79" s="666"/>
      <c r="L79" s="667"/>
      <c r="M79" s="667"/>
    </row>
    <row r="80" spans="1:14">
      <c r="B80" s="631"/>
      <c r="C80" s="639"/>
      <c r="D80" s="635"/>
      <c r="E80" s="39"/>
      <c r="G80" s="142"/>
      <c r="K80" s="666"/>
      <c r="L80" s="667"/>
      <c r="M80" s="667"/>
    </row>
    <row r="81" spans="1:13">
      <c r="B81" s="631"/>
      <c r="C81" s="639"/>
      <c r="D81" s="635"/>
      <c r="E81" s="39"/>
      <c r="G81" s="142"/>
      <c r="K81" s="666"/>
      <c r="L81" s="667"/>
      <c r="M81" s="667"/>
    </row>
    <row r="82" spans="1:13" ht="16.5" thickBot="1">
      <c r="G82" s="142"/>
    </row>
    <row r="83" spans="1:13" ht="16.5" thickBot="1">
      <c r="A83" s="640" t="s">
        <v>1220</v>
      </c>
      <c r="B83" s="640">
        <f ca="1">COUNTIF($D$71:$D$79,"&lt;0")</f>
        <v>0</v>
      </c>
      <c r="C83" s="1099" t="e">
        <f ca="1">INDEX(E71:E79,COUNTIF(D71:D79,"&lt;0")+1)</f>
        <v>#REF!</v>
      </c>
      <c r="D83" s="1100" t="e">
        <f ca="1">B83+C83</f>
        <v>#REF!</v>
      </c>
      <c r="G83" s="142"/>
      <c r="J83" s="37"/>
      <c r="K83" s="668"/>
      <c r="L83" s="621"/>
    </row>
    <row r="84" spans="1:13">
      <c r="G84" s="142"/>
    </row>
    <row r="85" spans="1:13">
      <c r="A85" s="648" t="s">
        <v>1230</v>
      </c>
      <c r="B85" s="649" t="e">
        <f ca="1">SUM(C70:C79)</f>
        <v>#REF!</v>
      </c>
      <c r="C85" s="667"/>
      <c r="G85" s="142"/>
      <c r="J85" s="37"/>
      <c r="K85" s="609"/>
    </row>
    <row r="86" spans="1:13">
      <c r="G86" s="142"/>
    </row>
    <row r="87" spans="1:13">
      <c r="A87" s="640" t="s">
        <v>1270</v>
      </c>
      <c r="B87" s="691"/>
      <c r="C87" s="635"/>
      <c r="G87" s="142"/>
    </row>
    <row r="88" spans="1:13">
      <c r="A88" t="s">
        <v>1238</v>
      </c>
      <c r="B88" s="650" t="e">
        <f ca="1">(B61-B62)/B62</f>
        <v>#REF!</v>
      </c>
      <c r="G88" s="142"/>
    </row>
    <row r="89" spans="1:13">
      <c r="A89" t="s">
        <v>1284</v>
      </c>
      <c r="B89" s="650" t="e">
        <f ca="1">(C61-C62)/C62</f>
        <v>#REF!</v>
      </c>
      <c r="G89" s="142"/>
    </row>
    <row r="90" spans="1:13">
      <c r="A90" t="s">
        <v>1240</v>
      </c>
      <c r="B90" s="650" t="e">
        <f ca="1">(D61-D62)/D62</f>
        <v>#REF!</v>
      </c>
      <c r="G90" s="142"/>
    </row>
    <row r="91" spans="1:13">
      <c r="A91" t="s">
        <v>1241</v>
      </c>
      <c r="B91" s="650" t="e">
        <f ca="1">(E$61-E$62)/(E$62)</f>
        <v>#REF!</v>
      </c>
      <c r="G91" s="142"/>
    </row>
    <row r="92" spans="1:13">
      <c r="A92" t="s">
        <v>1242</v>
      </c>
      <c r="B92" s="650" t="e">
        <f ca="1">(F$61-F$62)/(F$62)</f>
        <v>#REF!</v>
      </c>
    </row>
    <row r="93" spans="1:13">
      <c r="A93" t="s">
        <v>1265</v>
      </c>
      <c r="B93" s="650" t="e">
        <f ca="1">(G$61-G$62)/(G$62)</f>
        <v>#REF!</v>
      </c>
    </row>
    <row r="94" spans="1:13">
      <c r="A94" t="s">
        <v>1266</v>
      </c>
      <c r="B94" s="650" t="e">
        <f ca="1">(H$61-H$62)/(H$62)</f>
        <v>#REF!</v>
      </c>
    </row>
    <row r="95" spans="1:13">
      <c r="A95" t="s">
        <v>1267</v>
      </c>
      <c r="B95" s="650" t="e">
        <f ca="1">(I$61-I$62)/(I$62)</f>
        <v>#REF!</v>
      </c>
    </row>
    <row r="96" spans="1:13">
      <c r="A96" t="s">
        <v>1268</v>
      </c>
      <c r="B96" s="650" t="e">
        <f ca="1">(J$61-J$62)/(J$62)</f>
        <v>#REF!</v>
      </c>
    </row>
    <row r="97" spans="1:2">
      <c r="A97" t="s">
        <v>1269</v>
      </c>
      <c r="B97" s="650" t="e">
        <f ca="1">(K$61-K$62)/(K$62)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17"/>
  <sheetViews>
    <sheetView topLeftCell="BC1" zoomScale="80" zoomScaleNormal="80" workbookViewId="0">
      <selection activeCell="BW9" sqref="BW9"/>
    </sheetView>
  </sheetViews>
  <sheetFormatPr defaultColWidth="8.875" defaultRowHeight="15.75"/>
  <cols>
    <col min="1" max="1" width="17.375" customWidth="1"/>
    <col min="2" max="2" width="14.125" bestFit="1" customWidth="1"/>
    <col min="14" max="14" width="10.5" customWidth="1"/>
    <col min="15" max="15" width="12.625" customWidth="1"/>
    <col min="19" max="19" width="11.125" bestFit="1" customWidth="1"/>
    <col min="20" max="21" width="11" customWidth="1"/>
    <col min="24" max="24" width="10.375" bestFit="1" customWidth="1"/>
    <col min="34" max="34" width="5" style="142" bestFit="1" customWidth="1"/>
    <col min="36" max="36" width="0" hidden="1" customWidth="1"/>
    <col min="38" max="38" width="0" hidden="1" customWidth="1"/>
    <col min="39" max="39" width="11.75" customWidth="1"/>
    <col min="40" max="40" width="7.375" customWidth="1"/>
    <col min="41" max="41" width="13.5" bestFit="1" customWidth="1"/>
    <col min="42" max="42" width="12" customWidth="1"/>
    <col min="43" max="43" width="0" hidden="1" customWidth="1"/>
    <col min="44" max="44" width="3.375" style="142" customWidth="1"/>
    <col min="45" max="45" width="12" customWidth="1"/>
    <col min="46" max="47" width="8.875" customWidth="1"/>
    <col min="48" max="48" width="10" customWidth="1"/>
    <col min="49" max="49" width="8.875" customWidth="1"/>
    <col min="50" max="50" width="11.125" customWidth="1"/>
    <col min="51" max="51" width="8.875" customWidth="1"/>
    <col min="52" max="52" width="12.375" customWidth="1"/>
    <col min="53" max="53" width="6" customWidth="1"/>
    <col min="54" max="54" width="9.125" customWidth="1"/>
    <col min="55" max="55" width="12.375" customWidth="1"/>
    <col min="56" max="58" width="9.125" customWidth="1"/>
    <col min="60" max="60" width="8.875" customWidth="1"/>
    <col min="62" max="62" width="8.875" customWidth="1"/>
    <col min="63" max="63" width="3.125" style="142" customWidth="1"/>
    <col min="64" max="64" width="12.375" customWidth="1"/>
    <col min="65" max="65" width="12.25" customWidth="1"/>
    <col min="66" max="66" width="17.125" customWidth="1"/>
    <col min="67" max="67" width="10.75" bestFit="1" customWidth="1"/>
    <col min="68" max="68" width="13.625" customWidth="1"/>
    <col min="69" max="69" width="10.75" bestFit="1" customWidth="1"/>
    <col min="70" max="70" width="14" bestFit="1" customWidth="1"/>
    <col min="72" max="72" width="12.5" bestFit="1" customWidth="1"/>
    <col min="74" max="74" width="9.625" customWidth="1"/>
    <col min="75" max="75" width="10" customWidth="1"/>
    <col min="76" max="76" width="9.5" customWidth="1"/>
    <col min="78" max="78" width="11.5" customWidth="1"/>
  </cols>
  <sheetData>
    <row r="1" spans="1:78">
      <c r="AS1" t="s">
        <v>44</v>
      </c>
    </row>
    <row r="2" spans="1:78">
      <c r="AP2" t="s">
        <v>44</v>
      </c>
    </row>
    <row r="4" spans="1:78" s="182" customFormat="1" ht="15.75" customHeight="1">
      <c r="A4" s="181"/>
      <c r="C4" s="182">
        <v>365</v>
      </c>
      <c r="D4" s="182" t="s">
        <v>381</v>
      </c>
    </row>
    <row r="5" spans="1:78" s="184" customFormat="1" ht="15.75" customHeight="1" thickBot="1">
      <c r="A5" s="183"/>
      <c r="BP5" s="308"/>
      <c r="BQ5" s="308"/>
      <c r="BR5" s="308"/>
      <c r="BS5" s="308"/>
      <c r="BT5" s="308" t="s">
        <v>1137</v>
      </c>
    </row>
    <row r="6" spans="1:78" ht="96.75" customHeight="1" thickBot="1">
      <c r="A6" s="149" t="s">
        <v>792</v>
      </c>
      <c r="B6" s="103" t="s">
        <v>996</v>
      </c>
      <c r="D6" s="148" t="s">
        <v>640</v>
      </c>
      <c r="E6" s="143"/>
      <c r="F6" s="1574" t="s">
        <v>747</v>
      </c>
      <c r="G6" s="1575"/>
      <c r="H6" s="1575"/>
      <c r="I6" s="1575"/>
      <c r="J6" s="1575"/>
      <c r="K6" s="1575"/>
      <c r="L6" s="1576"/>
      <c r="N6" s="1577" t="s">
        <v>830</v>
      </c>
      <c r="O6" s="1583"/>
      <c r="P6" s="1583"/>
      <c r="Q6" s="1583"/>
      <c r="R6" s="1583"/>
      <c r="S6" s="1583"/>
      <c r="T6" s="1584"/>
      <c r="U6" s="710"/>
      <c r="V6" s="1577" t="s">
        <v>748</v>
      </c>
      <c r="W6" s="1578"/>
      <c r="X6" s="1578"/>
      <c r="Y6" s="1578"/>
      <c r="Z6" s="1578"/>
      <c r="AA6" s="1579"/>
      <c r="AB6" s="143"/>
      <c r="AC6" s="1577" t="s">
        <v>749</v>
      </c>
      <c r="AD6" s="1579"/>
      <c r="AE6" s="160"/>
      <c r="AF6" s="1580" t="s">
        <v>788</v>
      </c>
      <c r="AG6" s="1579"/>
      <c r="AI6" s="137" t="s">
        <v>750</v>
      </c>
      <c r="AJ6" s="137"/>
      <c r="AK6" s="137" t="s">
        <v>751</v>
      </c>
      <c r="AL6" s="137"/>
      <c r="AM6" s="137" t="s">
        <v>752</v>
      </c>
      <c r="AN6" s="137"/>
      <c r="AO6" s="137" t="s">
        <v>942</v>
      </c>
      <c r="AP6" s="137" t="s">
        <v>943</v>
      </c>
      <c r="AQ6" s="137"/>
      <c r="AR6" s="144"/>
      <c r="AS6" s="138" t="s">
        <v>753</v>
      </c>
      <c r="AT6" s="138"/>
      <c r="AU6" s="138"/>
      <c r="AV6" s="138" t="s">
        <v>754</v>
      </c>
      <c r="AW6" s="138"/>
      <c r="AX6" s="138" t="s">
        <v>985</v>
      </c>
      <c r="AY6" s="138"/>
      <c r="AZ6" s="138" t="s">
        <v>986</v>
      </c>
      <c r="BA6" s="222"/>
      <c r="BB6" s="222"/>
      <c r="BC6" s="138" t="s">
        <v>1341</v>
      </c>
      <c r="BD6" s="138"/>
      <c r="BE6" s="138" t="s">
        <v>924</v>
      </c>
      <c r="BF6" s="138" t="s">
        <v>925</v>
      </c>
      <c r="BG6" s="138" t="s">
        <v>755</v>
      </c>
      <c r="BH6" s="138"/>
      <c r="BI6" s="138" t="s">
        <v>756</v>
      </c>
      <c r="BJ6" s="222"/>
      <c r="BL6" s="795" t="s">
        <v>1369</v>
      </c>
      <c r="BM6" s="795" t="s">
        <v>1370</v>
      </c>
      <c r="BN6" s="794" t="s">
        <v>1368</v>
      </c>
      <c r="BO6" s="223"/>
      <c r="BP6" s="794" t="s">
        <v>1177</v>
      </c>
      <c r="BQ6" s="793"/>
      <c r="BR6" s="425" t="s">
        <v>253</v>
      </c>
      <c r="BS6" s="426" t="s">
        <v>1025</v>
      </c>
      <c r="BT6" s="427">
        <f>BN16</f>
        <v>20.476189757954003</v>
      </c>
      <c r="BU6" s="427">
        <f>BP16</f>
        <v>8.0627391451716761</v>
      </c>
      <c r="BV6" s="139"/>
      <c r="BW6" s="139"/>
    </row>
    <row r="7" spans="1:78" s="140" customFormat="1" ht="87.75" customHeight="1">
      <c r="A7" s="30"/>
      <c r="B7" s="30"/>
      <c r="C7" s="30"/>
      <c r="D7" s="198" t="s">
        <v>757</v>
      </c>
      <c r="E7" s="198"/>
      <c r="F7" s="198" t="s">
        <v>989</v>
      </c>
      <c r="G7" s="198"/>
      <c r="H7" s="198" t="s">
        <v>1290</v>
      </c>
      <c r="I7" s="945" t="s">
        <v>1291</v>
      </c>
      <c r="J7" s="945" t="s">
        <v>1561</v>
      </c>
      <c r="K7" s="310" t="s">
        <v>1562</v>
      </c>
      <c r="L7" s="310" t="s">
        <v>1563</v>
      </c>
      <c r="M7" s="198"/>
      <c r="N7" s="199" t="s">
        <v>990</v>
      </c>
      <c r="O7" s="1581" t="s">
        <v>991</v>
      </c>
      <c r="P7" s="1581" t="s">
        <v>793</v>
      </c>
      <c r="Q7" s="709" t="s">
        <v>1303</v>
      </c>
      <c r="R7" s="776" t="s">
        <v>1360</v>
      </c>
      <c r="S7" s="200" t="s">
        <v>1349</v>
      </c>
      <c r="T7" s="199" t="s">
        <v>992</v>
      </c>
      <c r="U7" s="200" t="s">
        <v>1304</v>
      </c>
      <c r="V7" s="198" t="s">
        <v>758</v>
      </c>
      <c r="W7" s="591" t="s">
        <v>759</v>
      </c>
      <c r="X7" s="592" t="s">
        <v>983</v>
      </c>
      <c r="Y7" s="592" t="s">
        <v>984</v>
      </c>
      <c r="Z7" s="200" t="s">
        <v>760</v>
      </c>
      <c r="AA7" s="198" t="s">
        <v>761</v>
      </c>
      <c r="AB7" s="200"/>
      <c r="AC7" s="200"/>
      <c r="AD7" s="200" t="s">
        <v>995</v>
      </c>
      <c r="AE7" s="200"/>
      <c r="AF7" s="200" t="s">
        <v>993</v>
      </c>
      <c r="AG7" s="200" t="s">
        <v>994</v>
      </c>
      <c r="AH7" s="201"/>
      <c r="AI7" s="200" t="s">
        <v>930</v>
      </c>
      <c r="AJ7" s="30" t="s">
        <v>762</v>
      </c>
      <c r="AK7" s="200" t="s">
        <v>931</v>
      </c>
      <c r="AL7" s="30" t="s">
        <v>762</v>
      </c>
      <c r="AM7" s="200" t="s">
        <v>932</v>
      </c>
      <c r="AN7" s="30" t="s">
        <v>762</v>
      </c>
      <c r="AO7" s="200" t="s">
        <v>944</v>
      </c>
      <c r="AP7" s="200" t="s">
        <v>945</v>
      </c>
      <c r="AQ7" s="30" t="s">
        <v>762</v>
      </c>
      <c r="AR7" s="202"/>
      <c r="AS7" s="30" t="s">
        <v>933</v>
      </c>
      <c r="AT7" s="200" t="s">
        <v>762</v>
      </c>
      <c r="AU7" s="200" t="s">
        <v>762</v>
      </c>
      <c r="AV7" s="30" t="s">
        <v>934</v>
      </c>
      <c r="AW7" s="200" t="s">
        <v>762</v>
      </c>
      <c r="AX7" s="311" t="s">
        <v>935</v>
      </c>
      <c r="AY7" s="312" t="s">
        <v>762</v>
      </c>
      <c r="AZ7" s="312" t="s">
        <v>936</v>
      </c>
      <c r="BA7" s="312" t="s">
        <v>762</v>
      </c>
      <c r="BB7" s="312" t="s">
        <v>762</v>
      </c>
      <c r="BC7" s="312" t="s">
        <v>937</v>
      </c>
      <c r="BD7" s="200" t="s">
        <v>762</v>
      </c>
      <c r="BE7" s="200" t="s">
        <v>83</v>
      </c>
      <c r="BF7" s="30" t="s">
        <v>938</v>
      </c>
      <c r="BG7" s="200" t="s">
        <v>939</v>
      </c>
      <c r="BH7" s="200" t="s">
        <v>762</v>
      </c>
      <c r="BI7" s="200" t="s">
        <v>940</v>
      </c>
      <c r="BJ7" s="431" t="s">
        <v>762</v>
      </c>
      <c r="BK7" s="204"/>
      <c r="BL7" s="51" t="s">
        <v>1344</v>
      </c>
      <c r="BM7" s="51" t="s">
        <v>1344</v>
      </c>
      <c r="BN7" s="205" t="s">
        <v>119</v>
      </c>
      <c r="BO7" s="205" t="s">
        <v>1024</v>
      </c>
      <c r="BP7" s="205" t="s">
        <v>119</v>
      </c>
      <c r="BQ7" s="205" t="s">
        <v>1024</v>
      </c>
      <c r="BR7" s="205" t="s">
        <v>814</v>
      </c>
      <c r="BS7" s="2" t="s">
        <v>1173</v>
      </c>
      <c r="BT7" s="770">
        <f>BO16</f>
        <v>12.090779335888161</v>
      </c>
      <c r="BU7" s="770">
        <f>BQ16</f>
        <v>4.7608857409240493</v>
      </c>
    </row>
    <row r="8" spans="1:78" s="140" customFormat="1" ht="21.75" customHeight="1">
      <c r="A8" s="30"/>
      <c r="B8" s="30"/>
      <c r="C8" s="30"/>
      <c r="D8" s="206"/>
      <c r="E8" s="198"/>
      <c r="F8" s="206"/>
      <c r="G8" s="206"/>
      <c r="H8" s="206"/>
      <c r="I8" s="206"/>
      <c r="J8" s="206"/>
      <c r="K8" s="206"/>
      <c r="M8" s="207"/>
      <c r="N8" s="208"/>
      <c r="O8" s="1582"/>
      <c r="P8" s="1582"/>
      <c r="Q8" s="209"/>
      <c r="R8" s="209"/>
      <c r="S8" s="209"/>
      <c r="T8" s="209"/>
      <c r="U8" s="209"/>
      <c r="V8" s="206"/>
      <c r="W8" s="208"/>
      <c r="X8" s="208"/>
      <c r="Y8" s="208"/>
      <c r="Z8" s="208"/>
      <c r="AA8" s="206"/>
      <c r="AB8" s="200"/>
      <c r="AC8" s="208"/>
      <c r="AD8" s="208"/>
      <c r="AE8" s="208"/>
      <c r="AF8" s="208"/>
      <c r="AG8" s="208"/>
      <c r="AH8" s="201"/>
      <c r="AI8" s="200"/>
      <c r="AJ8" s="30"/>
      <c r="AK8" s="200"/>
      <c r="AL8" s="30"/>
      <c r="AM8" s="200"/>
      <c r="AN8" s="30"/>
      <c r="AO8" s="30"/>
      <c r="AP8" s="200"/>
      <c r="AQ8" s="30"/>
      <c r="AR8" s="202"/>
      <c r="AS8" s="30"/>
      <c r="AT8" s="200"/>
      <c r="AU8" s="210" t="s">
        <v>769</v>
      </c>
      <c r="AV8" s="30"/>
      <c r="AW8" s="30"/>
      <c r="AX8" s="311"/>
      <c r="AY8" s="311"/>
      <c r="AZ8" s="311"/>
      <c r="BA8" s="311"/>
      <c r="BB8" s="311"/>
      <c r="BC8" s="311"/>
      <c r="BD8" s="30"/>
      <c r="BE8" s="30"/>
      <c r="BF8" s="30"/>
      <c r="BG8" s="30"/>
      <c r="BH8" s="200"/>
      <c r="BI8" s="200"/>
      <c r="BJ8" s="203"/>
      <c r="BK8" s="204"/>
      <c r="BN8" s="203"/>
      <c r="BO8" s="309"/>
      <c r="BP8" s="309"/>
      <c r="BQ8" s="309"/>
      <c r="BR8" s="141"/>
      <c r="BS8" s="769" t="s">
        <v>1345</v>
      </c>
      <c r="BU8" s="771" t="s">
        <v>1348</v>
      </c>
      <c r="BV8" s="771" t="s">
        <v>1350</v>
      </c>
      <c r="BW8" s="771" t="s">
        <v>1351</v>
      </c>
      <c r="BX8" s="7" t="s">
        <v>1362</v>
      </c>
      <c r="BY8" s="7" t="s">
        <v>1363</v>
      </c>
      <c r="BZ8" s="772" t="s">
        <v>1361</v>
      </c>
    </row>
    <row r="9" spans="1:78">
      <c r="A9" t="str">
        <f>INPUTS!D73</f>
        <v>Purchased</v>
      </c>
      <c r="B9" s="39">
        <f>VLOOKUP(A9,'Crop parameters'!$A$2:$Z$43,13,FALSE)</f>
        <v>0</v>
      </c>
      <c r="C9" s="39"/>
      <c r="D9" s="39">
        <f>'Land requirements'!F4</f>
        <v>0</v>
      </c>
      <c r="E9" s="39"/>
      <c r="F9" s="39">
        <f>INPUTS!E97</f>
        <v>0</v>
      </c>
      <c r="G9" s="39"/>
      <c r="H9" s="39">
        <f>IFERROR(Feed!$P$175*(S9+U9)/($S$16+$U$16),0)</f>
        <v>0</v>
      </c>
      <c r="I9" s="39">
        <f>Feed!$R$175*INPUTS!F97</f>
        <v>0</v>
      </c>
      <c r="J9" s="39">
        <f>Feed!$T$175*INPUTS!F97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VLOOKUP(INPUTS!$D73,'Crop parameters'!$A$2:$Z$43,4, FALSE)*1000</f>
        <v>0</v>
      </c>
      <c r="O9" s="39">
        <f>VLOOKUP(INPUTS!$D73,'Crop parameters'!$A$2:$Z$43,8,FALSE)*1000</f>
        <v>0</v>
      </c>
      <c r="P9" s="39">
        <f>INPUTS!F88</f>
        <v>0</v>
      </c>
      <c r="Q9" s="39">
        <f>INPUTS!E88</f>
        <v>1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1400</v>
      </c>
      <c r="W9" s="39">
        <f>'Area Parameters'!D$5</f>
        <v>0.3</v>
      </c>
      <c r="X9" s="39">
        <f>W9*20*'Area Parameters'!D$8*10</f>
        <v>90</v>
      </c>
      <c r="Y9" s="39">
        <f>3%*X9</f>
        <v>2.6999999999999997</v>
      </c>
      <c r="Z9" s="39">
        <f>'Area Parameters'!D$6</f>
        <v>1.3</v>
      </c>
      <c r="AA9" s="39">
        <f>'Area Parameters'!D$7</f>
        <v>34</v>
      </c>
      <c r="AB9" s="39"/>
      <c r="AC9" s="39"/>
      <c r="AD9" s="39">
        <f>'GHG Parameters'!C$348</f>
        <v>1</v>
      </c>
      <c r="AE9" s="39"/>
      <c r="AF9" s="293">
        <f>VLOOKUP(A9,'Crop parameters'!$A$2:$Z$43,10, FALSE)</f>
        <v>0</v>
      </c>
      <c r="AG9" s="293">
        <f>VLOOKUP(A9,'Crop parameters'!$A$2:$Z$43,11, FALSE)</f>
        <v>0</v>
      </c>
      <c r="AH9" s="188"/>
      <c r="AI9" s="39">
        <f t="shared" ref="AI9:AI15" si="1">Fertilizer_N_applied(F9,D9)</f>
        <v>0</v>
      </c>
      <c r="AJ9" s="39" t="s">
        <v>764</v>
      </c>
      <c r="AK9" s="39">
        <f>K9</f>
        <v>0</v>
      </c>
      <c r="AL9" s="39" t="s">
        <v>765</v>
      </c>
      <c r="AM9" s="39">
        <f>Atm_Ndeposition(V9,D9)</f>
        <v>0</v>
      </c>
      <c r="AN9" s="39" t="s">
        <v>766</v>
      </c>
      <c r="AO9" s="616">
        <f>IF(D9&gt;0, Non_Symbiotic_Nfixation(V9,D9),0)</f>
        <v>0</v>
      </c>
      <c r="AP9" s="195">
        <f>Symbiotic_Nfixation(B9,D9)</f>
        <v>0</v>
      </c>
      <c r="AQ9" s="39" t="s">
        <v>767</v>
      </c>
      <c r="AR9" s="188"/>
      <c r="AS9" s="39">
        <f t="shared" ref="AS9:AS15" si="2">D9*R9*AF9</f>
        <v>0</v>
      </c>
      <c r="AT9" s="39" t="s">
        <v>768</v>
      </c>
      <c r="AU9" s="189" t="s">
        <v>769</v>
      </c>
      <c r="AV9" s="39">
        <f>IF(INPUTS!$E73="Main", 0, N_output_Residues(T9,AG9,D9))</f>
        <v>0</v>
      </c>
      <c r="AW9" s="39" t="s">
        <v>770</v>
      </c>
      <c r="AX9" s="313">
        <f t="shared" ref="AX9:AX15" si="3">N_leach_clay35OR_less(Y9,F9,AK9,V9)</f>
        <v>0.79158869999999992</v>
      </c>
      <c r="AY9" s="313" t="s">
        <v>772</v>
      </c>
      <c r="AZ9" s="314">
        <f t="shared" ref="AZ9:AZ15" si="4">N_leach_clay35to55(Y9,F9,AK9,V9)</f>
        <v>0.54836999999999991</v>
      </c>
      <c r="BA9" s="313"/>
      <c r="BB9" s="313" t="s">
        <v>771</v>
      </c>
      <c r="BC9" s="313">
        <f t="shared" ref="BC9:BC15" si="5">N_leach_clay55Or_more(Y9,F9,AK9,V9)</f>
        <v>0.41417999999999999</v>
      </c>
      <c r="BD9" s="39" t="s">
        <v>773</v>
      </c>
      <c r="BE9" s="39">
        <f>'Area Parameters'!D$7</f>
        <v>34</v>
      </c>
      <c r="BF9" s="297">
        <f t="shared" ref="BF9:BF15" si="6">IF(BE9&lt;=35,AX9,IF(BE9&gt;=55,BC9,AZ9))</f>
        <v>0.79158869999999992</v>
      </c>
      <c r="BG9" s="39">
        <f t="shared" ref="BG9:BG15" si="7">N_output_gas(Y9,F9,L9,AA9,V9,D9)</f>
        <v>0</v>
      </c>
      <c r="BH9" s="39" t="s">
        <v>774</v>
      </c>
      <c r="BI9" s="39">
        <f>('Soil erosion'!I4*W9*1.5)</f>
        <v>0</v>
      </c>
      <c r="BJ9" t="s">
        <v>786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6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71">
        <f>SUMIF(BU9:BU15,"&gt;0.9",BS9:BS15)*100/BS16</f>
        <v>40.726304404849039</v>
      </c>
      <c r="BW9" s="671">
        <f>SUMIF(BU9:BU15,"&lt;0.5",BS9:BS15)*100/BS16</f>
        <v>0</v>
      </c>
      <c r="BX9" s="391">
        <f t="shared" ref="BX9:BX15" si="11">IF(O9*D9&gt;0,O9*D9,N9*D9)</f>
        <v>0</v>
      </c>
      <c r="BY9" s="391">
        <f t="shared" ref="BY9:BY15" si="12">IF(O9*D9&gt;0,N9*D9,0)</f>
        <v>0</v>
      </c>
      <c r="BZ9" s="790" t="str">
        <f>IFERROR(BY9/BX9,"")</f>
        <v/>
      </c>
    </row>
    <row r="10" spans="1:78">
      <c r="A10" t="str">
        <f>INPUTS!D74</f>
        <v>Pennisetum purpureum</v>
      </c>
      <c r="B10" s="39">
        <f>VLOOKUP(A10,'Crop parameters'!$A$2:$Z$43,13,FALSE)</f>
        <v>141.12000000000003</v>
      </c>
      <c r="C10" s="39"/>
      <c r="D10" s="39">
        <f>'Land requirements'!F5</f>
        <v>2.9946669286461836E-2</v>
      </c>
      <c r="E10" s="39"/>
      <c r="F10" s="39">
        <f>INPUTS!E98</f>
        <v>15</v>
      </c>
      <c r="G10" s="39"/>
      <c r="H10" s="39">
        <f>IFERROR(Feed!$P$175*(S10+U10)/($S$16+$U$16),0)</f>
        <v>0</v>
      </c>
      <c r="I10" s="39">
        <f>Feed!$R$175*INPUTS!F98</f>
        <v>29.591984248988059</v>
      </c>
      <c r="J10" s="39">
        <f>Feed!$T$175*INPUTS!F98</f>
        <v>0</v>
      </c>
      <c r="K10" s="39">
        <f t="shared" ref="K10:K15" si="13">H10+I10+J10</f>
        <v>29.591984248988059</v>
      </c>
      <c r="L10" s="39">
        <f t="shared" si="0"/>
        <v>988.15611064853476</v>
      </c>
      <c r="M10" s="39"/>
      <c r="N10" s="39">
        <f>VLOOKUP(INPUTS!$D74,'Crop parameters'!$A$2:$Z$43,4, FALSE)*1000</f>
        <v>22050</v>
      </c>
      <c r="O10" s="39">
        <f>VLOOKUP(INPUTS!$D74,'Crop parameters'!$A$2:$Z$43,8,FALSE)*1000</f>
        <v>0</v>
      </c>
      <c r="P10" s="39">
        <f>INPUTS!F89</f>
        <v>0</v>
      </c>
      <c r="Q10" s="39">
        <f>INPUTS!E89</f>
        <v>1</v>
      </c>
      <c r="R10" s="39">
        <f t="shared" ref="R10:R15" si="14">N10*Q10</f>
        <v>22050</v>
      </c>
      <c r="S10" s="39">
        <f t="shared" ref="S10:S15" si="15">R10*D10</f>
        <v>660.32405776648352</v>
      </c>
      <c r="T10" s="39">
        <f t="shared" ref="T10:T15" si="16">O10*P10</f>
        <v>0</v>
      </c>
      <c r="U10" s="39">
        <f t="shared" ref="U10:U15" si="17">T10*D10</f>
        <v>0</v>
      </c>
      <c r="V10" s="39">
        <f>'Area Parameters'!D$2</f>
        <v>1400</v>
      </c>
      <c r="W10" s="39">
        <f>'Area Parameters'!D$5</f>
        <v>0.3</v>
      </c>
      <c r="X10" s="39">
        <f>W10*20*'Area Parameters'!D$8*10</f>
        <v>90</v>
      </c>
      <c r="Y10" s="39">
        <f t="shared" ref="Y10:Y15" si="18">3%*X10</f>
        <v>2.6999999999999997</v>
      </c>
      <c r="Z10" s="39">
        <f>'Area Parameters'!D$6</f>
        <v>1.3</v>
      </c>
      <c r="AA10" s="39">
        <f>'Area Parameters'!D$7</f>
        <v>34</v>
      </c>
      <c r="AB10" s="39"/>
      <c r="AC10" s="39"/>
      <c r="AD10" s="39">
        <f>'GHG Parameters'!C$348</f>
        <v>1</v>
      </c>
      <c r="AE10" s="39"/>
      <c r="AF10" s="293">
        <f>VLOOKUP(A10,'Crop parameters'!$A$2:$Z$43,10, FALSE)</f>
        <v>1.2800000000000001E-2</v>
      </c>
      <c r="AG10" s="293">
        <f>VLOOKUP(A10,'Crop parameters'!$A$2:$Z$43,11, FALSE)</f>
        <v>0</v>
      </c>
      <c r="AH10" s="188"/>
      <c r="AI10" s="39">
        <f t="shared" si="1"/>
        <v>0.44920003929692753</v>
      </c>
      <c r="AJ10" s="39" t="s">
        <v>764</v>
      </c>
      <c r="AK10" s="39">
        <f t="shared" ref="AK10:AK15" si="19">K10</f>
        <v>29.591984248988059</v>
      </c>
      <c r="AL10" s="39" t="s">
        <v>765</v>
      </c>
      <c r="AM10" s="39">
        <f t="shared" ref="AM10:AM15" si="20">Atm_Ndeposition(V10,D10)*$C$4/365</f>
        <v>0.15687024688295276</v>
      </c>
      <c r="AN10" s="39" t="s">
        <v>766</v>
      </c>
      <c r="AO10" s="616">
        <f>IF(D10&gt;0, Non_Symbiotic_Nfixation(V10,D10),0)</f>
        <v>6.738000589453913E-2</v>
      </c>
      <c r="AP10" s="195">
        <f>Symbiotic_Nfixation(B10,D10)</f>
        <v>4.226073969705495</v>
      </c>
      <c r="AQ10" s="39" t="s">
        <v>767</v>
      </c>
      <c r="AR10" s="188"/>
      <c r="AS10" s="39">
        <f t="shared" si="2"/>
        <v>8.45214793941099</v>
      </c>
      <c r="AT10" s="39" t="s">
        <v>768</v>
      </c>
      <c r="AU10" s="189" t="s">
        <v>769</v>
      </c>
      <c r="AV10" s="39">
        <f>IF(INPUTS!$E74="Main", 0, N_output_Residues(T10,AG10,D10))</f>
        <v>0</v>
      </c>
      <c r="AW10" s="39" t="s">
        <v>770</v>
      </c>
      <c r="AX10" s="313">
        <f t="shared" si="3"/>
        <v>13.865111234102569</v>
      </c>
      <c r="AY10" s="313" t="s">
        <v>772</v>
      </c>
      <c r="AZ10" s="314">
        <f t="shared" si="4"/>
        <v>9.6050020009694741</v>
      </c>
      <c r="BA10" s="313"/>
      <c r="BB10" s="313" t="s">
        <v>771</v>
      </c>
      <c r="BC10" s="313">
        <f t="shared" si="5"/>
        <v>7.2545903837947687</v>
      </c>
      <c r="BD10" s="39" t="s">
        <v>773</v>
      </c>
      <c r="BE10" s="39">
        <f>'Area Parameters'!D$7</f>
        <v>34</v>
      </c>
      <c r="BF10" s="297">
        <f t="shared" si="6"/>
        <v>13.865111234102569</v>
      </c>
      <c r="BG10" s="39">
        <f t="shared" si="7"/>
        <v>2.7170080346413306</v>
      </c>
      <c r="BH10" s="39" t="s">
        <v>774</v>
      </c>
      <c r="BI10" s="39">
        <f>('Soil erosion'!I5*W10*1.5)</f>
        <v>1.5155164829804457E-2</v>
      </c>
      <c r="BJ10" t="s">
        <v>786</v>
      </c>
      <c r="BL10" s="39">
        <f t="shared" ref="BL10:BL15" si="21">IF(D10&gt;0,SUM(AI10:AP10),0)</f>
        <v>34.491508510767972</v>
      </c>
      <c r="BM10" s="39">
        <f t="shared" ref="BM10:BM15" si="22">IF(D10&gt;0,SUM(AS10,AV10,BF10,BG10,BI10),0)</f>
        <v>25.049422372984694</v>
      </c>
      <c r="BN10" s="39">
        <f t="shared" ref="BN10:BN15" si="23">BL10-BM10</f>
        <v>9.4420861377832779</v>
      </c>
      <c r="BO10" s="39">
        <f t="shared" si="8"/>
        <v>315.29670453374314</v>
      </c>
      <c r="BP10" s="39">
        <f t="shared" ref="BP10:BP15" si="24">IF(BN10=0,0,IF(AV10=0,BN10,BN10*(AV10/(AV10+AS10))))</f>
        <v>9.4420861377832779</v>
      </c>
      <c r="BQ10" s="39">
        <f t="shared" si="9"/>
        <v>315.29670453374314</v>
      </c>
      <c r="BS10" s="39">
        <f t="shared" si="10"/>
        <v>2.9946669286461836E-2</v>
      </c>
      <c r="BT10" s="39"/>
      <c r="BU10" s="39">
        <f t="shared" ref="BU10:BU15" si="25">IFERROR(BM10/BL10,"")</f>
        <v>0.72624896545665629</v>
      </c>
      <c r="BX10" s="391">
        <f t="shared" si="11"/>
        <v>660.32405776648352</v>
      </c>
      <c r="BY10" s="391">
        <f t="shared" si="12"/>
        <v>0</v>
      </c>
      <c r="BZ10" s="790">
        <f t="shared" ref="BZ10:BZ16" si="26">IFERROR(BY10/BX10,"")</f>
        <v>0</v>
      </c>
    </row>
    <row r="11" spans="1:78">
      <c r="A11" t="str">
        <f>INPUTS!D75</f>
        <v>Rhodes</v>
      </c>
      <c r="B11" s="39">
        <f>VLOOKUP(A11,'Crop parameters'!$A$2:$Z$43,13,FALSE)</f>
        <v>97.199999999999989</v>
      </c>
      <c r="C11" s="39"/>
      <c r="D11" s="39">
        <f>'Land requirements'!F6</f>
        <v>0.19814299519254597</v>
      </c>
      <c r="E11" s="39"/>
      <c r="F11" s="39">
        <f>INPUTS!E99</f>
        <v>15</v>
      </c>
      <c r="G11" s="39"/>
      <c r="H11" s="39">
        <f>IFERROR(Feed!$P$175*(S11+U11)/($S$16+$U$16),0)</f>
        <v>0</v>
      </c>
      <c r="I11" s="39">
        <f>Feed!$R$175*INPUTS!F99</f>
        <v>29.591984248988059</v>
      </c>
      <c r="J11" s="39">
        <f>Feed!$T$175*INPUTS!F99</f>
        <v>0</v>
      </c>
      <c r="K11" s="39">
        <f t="shared" si="13"/>
        <v>29.591984248988059</v>
      </c>
      <c r="L11" s="39">
        <f t="shared" si="0"/>
        <v>149.34660809094953</v>
      </c>
      <c r="M11" s="39"/>
      <c r="N11" s="39">
        <f>VLOOKUP(INPUTS!$D75,'Crop parameters'!$A$2:$Z$43,4, FALSE)*1000</f>
        <v>13500</v>
      </c>
      <c r="O11" s="39">
        <f>VLOOKUP(INPUTS!$D75,'Crop parameters'!$A$2:$Z$43,8,FALSE)*1000</f>
        <v>0</v>
      </c>
      <c r="P11" s="39">
        <f>INPUTS!F90</f>
        <v>0</v>
      </c>
      <c r="Q11" s="39">
        <f>INPUTS!E90</f>
        <v>1</v>
      </c>
      <c r="R11" s="39">
        <f t="shared" si="14"/>
        <v>13500</v>
      </c>
      <c r="S11" s="39">
        <f t="shared" si="15"/>
        <v>2674.9304350993707</v>
      </c>
      <c r="T11" s="39">
        <f t="shared" si="16"/>
        <v>0</v>
      </c>
      <c r="U11" s="39">
        <f t="shared" si="17"/>
        <v>0</v>
      </c>
      <c r="V11" s="39">
        <f>'Area Parameters'!D$2</f>
        <v>1400</v>
      </c>
      <c r="W11" s="39">
        <f>'Area Parameters'!D$5</f>
        <v>0.3</v>
      </c>
      <c r="X11" s="39">
        <f>W11*20*'Area Parameters'!D$8*10</f>
        <v>90</v>
      </c>
      <c r="Y11" s="39">
        <f t="shared" si="18"/>
        <v>2.6999999999999997</v>
      </c>
      <c r="Z11" s="39">
        <f>'Area Parameters'!D$6</f>
        <v>1.3</v>
      </c>
      <c r="AA11" s="39">
        <f>'Area Parameters'!D$7</f>
        <v>34</v>
      </c>
      <c r="AB11" s="39"/>
      <c r="AC11" s="39"/>
      <c r="AD11" s="39">
        <f>'GHG Parameters'!C$348</f>
        <v>1</v>
      </c>
      <c r="AE11" s="39"/>
      <c r="AF11" s="293">
        <f>VLOOKUP(A11,'Crop parameters'!$A$2:$Z$43,10, FALSE)</f>
        <v>1.44E-2</v>
      </c>
      <c r="AG11" s="293">
        <f>VLOOKUP(A11,'Crop parameters'!$A$2:$Z$43,11, FALSE)</f>
        <v>0</v>
      </c>
      <c r="AH11" s="188"/>
      <c r="AI11" s="39">
        <f t="shared" si="1"/>
        <v>2.9721449278881895</v>
      </c>
      <c r="AJ11" s="39" t="s">
        <v>764</v>
      </c>
      <c r="AK11" s="39">
        <f t="shared" si="19"/>
        <v>29.591984248988059</v>
      </c>
      <c r="AL11" s="39" t="s">
        <v>765</v>
      </c>
      <c r="AM11" s="39">
        <f t="shared" si="20"/>
        <v>1.0379364822395847</v>
      </c>
      <c r="AN11" s="39" t="s">
        <v>766</v>
      </c>
      <c r="AO11" s="616">
        <f>IF(D11&gt;0, Non_Symbiotic_Nfixation(V11,D11),0)</f>
        <v>0.44582173918322843</v>
      </c>
      <c r="AP11" s="195">
        <f>Symbiotic_Nfixation(B11,D11)</f>
        <v>19.259499132715465</v>
      </c>
      <c r="AQ11" s="39" t="s">
        <v>767</v>
      </c>
      <c r="AR11" s="188"/>
      <c r="AS11" s="39">
        <f t="shared" si="2"/>
        <v>38.518998265430938</v>
      </c>
      <c r="AT11" s="39" t="s">
        <v>768</v>
      </c>
      <c r="AU11" s="189" t="s">
        <v>769</v>
      </c>
      <c r="AV11" s="39">
        <f>IF(INPUTS!$E75="Main", 0, N_output_Residues(T11,AG11,D11))</f>
        <v>0</v>
      </c>
      <c r="AW11" s="39" t="s">
        <v>770</v>
      </c>
      <c r="AX11" s="313">
        <f t="shared" si="3"/>
        <v>13.865111234102569</v>
      </c>
      <c r="AY11" s="313" t="s">
        <v>772</v>
      </c>
      <c r="AZ11" s="314">
        <f t="shared" si="4"/>
        <v>9.6050020009694741</v>
      </c>
      <c r="BA11" s="313"/>
      <c r="BB11" s="313" t="s">
        <v>771</v>
      </c>
      <c r="BC11" s="313">
        <f t="shared" si="5"/>
        <v>7.2545903837947687</v>
      </c>
      <c r="BD11" s="39" t="s">
        <v>773</v>
      </c>
      <c r="BE11" s="39">
        <f>'Area Parameters'!D$7</f>
        <v>34</v>
      </c>
      <c r="BF11" s="297">
        <f t="shared" si="6"/>
        <v>13.865111234102569</v>
      </c>
      <c r="BG11" s="39">
        <f t="shared" si="7"/>
        <v>2.9855401968034303</v>
      </c>
      <c r="BH11" s="39" t="s">
        <v>774</v>
      </c>
      <c r="BI11" s="39">
        <f>('Soil erosion'!I6*W11*1.5)</f>
        <v>0.1002745822344831</v>
      </c>
      <c r="BJ11" t="s">
        <v>786</v>
      </c>
      <c r="BL11" s="39">
        <f t="shared" si="21"/>
        <v>53.307386531014529</v>
      </c>
      <c r="BM11" s="39">
        <f t="shared" si="22"/>
        <v>55.469924278571419</v>
      </c>
      <c r="BN11" s="39">
        <f t="shared" si="23"/>
        <v>-2.1625377475568897</v>
      </c>
      <c r="BO11" s="39">
        <f t="shared" si="8"/>
        <v>-10.9140257290218</v>
      </c>
      <c r="BP11" s="39">
        <f t="shared" si="24"/>
        <v>-2.1625377475568897</v>
      </c>
      <c r="BQ11" s="39">
        <f t="shared" si="9"/>
        <v>-10.9140257290218</v>
      </c>
      <c r="BS11" s="39">
        <f t="shared" si="10"/>
        <v>0.19814299519254597</v>
      </c>
      <c r="BT11" s="39"/>
      <c r="BU11" s="39">
        <f t="shared" si="25"/>
        <v>1.0405673188705042</v>
      </c>
      <c r="BX11" s="391">
        <f t="shared" si="11"/>
        <v>2674.9304350993707</v>
      </c>
      <c r="BY11" s="391">
        <f t="shared" si="12"/>
        <v>0</v>
      </c>
      <c r="BZ11" s="790">
        <f t="shared" si="26"/>
        <v>0</v>
      </c>
    </row>
    <row r="12" spans="1:78">
      <c r="A12" t="str">
        <f>INPUTS!D76</f>
        <v>Guatemala</v>
      </c>
      <c r="B12" s="39">
        <f>VLOOKUP(A12,'Crop parameters'!$A$2:$Z$43,13,FALSE)</f>
        <v>139.39200000000002</v>
      </c>
      <c r="C12" s="39"/>
      <c r="D12" s="39">
        <f>'Land requirements'!F7</f>
        <v>6.4332183440858282E-2</v>
      </c>
      <c r="E12" s="39"/>
      <c r="F12" s="39">
        <f>INPUTS!E100</f>
        <v>15</v>
      </c>
      <c r="G12" s="39"/>
      <c r="H12" s="39">
        <f>IFERROR(Feed!$P$175*(S12+U12)/($S$16+$U$16),0)</f>
        <v>0</v>
      </c>
      <c r="I12" s="39">
        <f>Feed!$R$175*INPUTS!F100</f>
        <v>29.591984248988059</v>
      </c>
      <c r="J12" s="39">
        <f>Feed!$T$175*INPUTS!F100</f>
        <v>0</v>
      </c>
      <c r="K12" s="39">
        <f t="shared" si="13"/>
        <v>29.591984248988059</v>
      </c>
      <c r="L12" s="39">
        <f t="shared" si="0"/>
        <v>459.98725157824771</v>
      </c>
      <c r="M12" s="39"/>
      <c r="N12" s="39">
        <f>VLOOKUP(INPUTS!$D76,'Crop parameters'!$A$2:$Z$43,4, FALSE)*1000</f>
        <v>19800</v>
      </c>
      <c r="O12" s="39">
        <f>VLOOKUP(INPUTS!$D76,'Crop parameters'!$A$2:$Z$43,8,FALSE)*1000</f>
        <v>0</v>
      </c>
      <c r="P12" s="39">
        <f>INPUTS!F91</f>
        <v>0</v>
      </c>
      <c r="Q12" s="39">
        <f>INPUTS!E91</f>
        <v>1</v>
      </c>
      <c r="R12" s="39">
        <f t="shared" si="14"/>
        <v>19800</v>
      </c>
      <c r="S12" s="39">
        <f t="shared" si="15"/>
        <v>1273.777232128994</v>
      </c>
      <c r="T12" s="39">
        <f t="shared" si="16"/>
        <v>0</v>
      </c>
      <c r="U12" s="39">
        <f t="shared" si="17"/>
        <v>0</v>
      </c>
      <c r="V12" s="39">
        <f>'Area Parameters'!D$2</f>
        <v>1400</v>
      </c>
      <c r="W12" s="39">
        <f>'Area Parameters'!D$5</f>
        <v>0.3</v>
      </c>
      <c r="X12" s="39">
        <f>W12*20*'Area Parameters'!D$8*10</f>
        <v>90</v>
      </c>
      <c r="Y12" s="39">
        <f t="shared" si="18"/>
        <v>2.6999999999999997</v>
      </c>
      <c r="Z12" s="39">
        <f>'Area Parameters'!D$6</f>
        <v>1.3</v>
      </c>
      <c r="AA12" s="39">
        <f>'Area Parameters'!D$7</f>
        <v>34</v>
      </c>
      <c r="AB12" s="39"/>
      <c r="AC12" s="39"/>
      <c r="AD12" s="39">
        <f>'GHG Parameters'!C$348</f>
        <v>1</v>
      </c>
      <c r="AE12" s="39"/>
      <c r="AF12" s="293">
        <f>VLOOKUP(A12,'Crop parameters'!$A$2:$Z$43,10, FALSE)</f>
        <v>1.4080000000000002E-2</v>
      </c>
      <c r="AG12" s="293">
        <f>VLOOKUP(A12,'Crop parameters'!$A$2:$Z$43,11, FALSE)</f>
        <v>0</v>
      </c>
      <c r="AH12" s="188"/>
      <c r="AI12" s="39">
        <f t="shared" si="1"/>
        <v>0.96498275161287417</v>
      </c>
      <c r="AJ12" s="39" t="s">
        <v>764</v>
      </c>
      <c r="AK12" s="39">
        <f t="shared" si="19"/>
        <v>29.591984248988059</v>
      </c>
      <c r="AL12" s="39" t="s">
        <v>765</v>
      </c>
      <c r="AM12" s="39">
        <f t="shared" si="20"/>
        <v>0.33699258513029712</v>
      </c>
      <c r="AN12" s="39" t="s">
        <v>766</v>
      </c>
      <c r="AO12" s="616">
        <f>IF(D12&gt;0, Non_Symbiotic_Nfixation(V12,D12),0)</f>
        <v>0.14474741274193115</v>
      </c>
      <c r="AP12" s="195">
        <f>IFERROR(Symbiotic_Nfixation(B12,D12),0)</f>
        <v>8.9673917141881194</v>
      </c>
      <c r="AQ12" s="39" t="s">
        <v>767</v>
      </c>
      <c r="AR12" s="188"/>
      <c r="AS12" s="39">
        <f t="shared" si="2"/>
        <v>17.934783428376239</v>
      </c>
      <c r="AT12" s="39" t="s">
        <v>768</v>
      </c>
      <c r="AU12" s="189" t="s">
        <v>769</v>
      </c>
      <c r="AV12" s="39">
        <f>IF(INPUTS!$E76="Main", 0, N_output_Residues(T12,AG12,D12))</f>
        <v>0</v>
      </c>
      <c r="AW12" s="39" t="s">
        <v>770</v>
      </c>
      <c r="AX12" s="313">
        <f t="shared" si="3"/>
        <v>13.865111234102569</v>
      </c>
      <c r="AY12" s="313" t="s">
        <v>772</v>
      </c>
      <c r="AZ12" s="314">
        <f t="shared" si="4"/>
        <v>9.6050020009694741</v>
      </c>
      <c r="BA12" s="313"/>
      <c r="BB12" s="313" t="s">
        <v>771</v>
      </c>
      <c r="BC12" s="313">
        <f t="shared" si="5"/>
        <v>7.2545903837947687</v>
      </c>
      <c r="BD12" s="39" t="s">
        <v>773</v>
      </c>
      <c r="BE12" s="39">
        <f>'Area Parameters'!D$7</f>
        <v>34</v>
      </c>
      <c r="BF12" s="297">
        <f t="shared" si="6"/>
        <v>13.865111234102569</v>
      </c>
      <c r="BG12" s="39">
        <f t="shared" si="7"/>
        <v>2.7719058834093908</v>
      </c>
      <c r="BH12" s="39" t="s">
        <v>774</v>
      </c>
      <c r="BI12" s="39">
        <f>('Soil erosion'!I7*W12*1.5)</f>
        <v>0.16278351935922672</v>
      </c>
      <c r="BJ12" t="s">
        <v>786</v>
      </c>
      <c r="BL12" s="39">
        <f t="shared" si="21"/>
        <v>40.006098712661284</v>
      </c>
      <c r="BM12" s="39">
        <f t="shared" si="22"/>
        <v>34.734584065247418</v>
      </c>
      <c r="BN12" s="39">
        <f t="shared" si="23"/>
        <v>5.2715146474138663</v>
      </c>
      <c r="BO12" s="39">
        <f t="shared" si="8"/>
        <v>81.94210681905524</v>
      </c>
      <c r="BP12" s="39">
        <f t="shared" si="24"/>
        <v>5.2715146474138663</v>
      </c>
      <c r="BQ12" s="39">
        <f t="shared" si="9"/>
        <v>81.94210681905524</v>
      </c>
      <c r="BS12" s="39">
        <f t="shared" si="10"/>
        <v>6.4332183440858282E-2</v>
      </c>
      <c r="BT12" s="39"/>
      <c r="BU12" s="39">
        <f t="shared" si="25"/>
        <v>0.86823222415972501</v>
      </c>
      <c r="BX12" s="391">
        <f t="shared" si="11"/>
        <v>1273.777232128994</v>
      </c>
      <c r="BY12" s="391">
        <f t="shared" si="12"/>
        <v>0</v>
      </c>
      <c r="BZ12" s="790">
        <f t="shared" si="26"/>
        <v>0</v>
      </c>
    </row>
    <row r="13" spans="1:78">
      <c r="A13" t="str">
        <f>INPUTS!D77</f>
        <v>Maize</v>
      </c>
      <c r="B13" s="39">
        <f>VLOOKUP(A13,'Crop parameters'!$A$2:$Z$43,13,FALSE)</f>
        <v>18.917628775384618</v>
      </c>
      <c r="C13" s="39"/>
      <c r="D13" s="39">
        <f>'Land requirements'!F8</f>
        <v>0.90954348572110355</v>
      </c>
      <c r="E13" s="39"/>
      <c r="F13" s="39">
        <f>INPUTS!E101</f>
        <v>15</v>
      </c>
      <c r="G13" s="39"/>
      <c r="H13" s="39">
        <f>IFERROR(Feed!$P$175*(S13+U13)/($S$16+$U$16),0)</f>
        <v>0</v>
      </c>
      <c r="I13" s="39">
        <f>Feed!$R$175*INPUTS!F101</f>
        <v>44.387976373482083</v>
      </c>
      <c r="J13" s="39">
        <f>Feed!$T$175*INPUTS!F101</f>
        <v>0</v>
      </c>
      <c r="K13" s="39">
        <f t="shared" si="13"/>
        <v>44.387976373482083</v>
      </c>
      <c r="L13" s="39">
        <f t="shared" si="0"/>
        <v>48.802478463457348</v>
      </c>
      <c r="M13" s="39"/>
      <c r="N13" s="39">
        <f>VLOOKUP(INPUTS!$D77,'Crop parameters'!$A$2:$Z$43,4, FALSE)*1000</f>
        <v>1299</v>
      </c>
      <c r="O13" s="39">
        <f>VLOOKUP(INPUTS!$D77,'Crop parameters'!$A$2:$Z$43,8,FALSE)*1000</f>
        <v>3582.4421538461534</v>
      </c>
      <c r="P13" s="39">
        <f>INPUTS!F92</f>
        <v>0.6</v>
      </c>
      <c r="Q13" s="39">
        <f>INPUTS!E92</f>
        <v>0.4</v>
      </c>
      <c r="R13" s="39">
        <f t="shared" si="14"/>
        <v>519.6</v>
      </c>
      <c r="S13" s="39">
        <f t="shared" si="15"/>
        <v>472.59879518068544</v>
      </c>
      <c r="T13" s="39">
        <f t="shared" si="16"/>
        <v>2149.4652923076919</v>
      </c>
      <c r="U13" s="39">
        <f t="shared" si="17"/>
        <v>1955.032154402069</v>
      </c>
      <c r="V13" s="39">
        <f>'Area Parameters'!D$2</f>
        <v>1400</v>
      </c>
      <c r="W13" s="39">
        <f>'Area Parameters'!D$5</f>
        <v>0.3</v>
      </c>
      <c r="X13" s="39">
        <f>W13*20*'Area Parameters'!D$8*10</f>
        <v>90</v>
      </c>
      <c r="Y13" s="39">
        <f t="shared" si="18"/>
        <v>2.6999999999999997</v>
      </c>
      <c r="Z13" s="39">
        <f>'Area Parameters'!D$6</f>
        <v>1.3</v>
      </c>
      <c r="AA13" s="39">
        <f>'Area Parameters'!D$7</f>
        <v>34</v>
      </c>
      <c r="AB13" s="39"/>
      <c r="AC13" s="39"/>
      <c r="AD13" s="39">
        <f>'GHG Parameters'!C$348</f>
        <v>1</v>
      </c>
      <c r="AE13" s="39"/>
      <c r="AF13" s="293">
        <f>VLOOKUP(A13,'Crop parameters'!$A$2:$Z$43,10, FALSE)</f>
        <v>1.2800000000000001E-2</v>
      </c>
      <c r="AG13" s="293">
        <f>VLOOKUP(A13,'Crop parameters'!$A$2:$Z$43,11, FALSE)</f>
        <v>5.9200000000000008E-3</v>
      </c>
      <c r="AH13" s="188"/>
      <c r="AI13" s="39">
        <f t="shared" si="1"/>
        <v>13.643152285816553</v>
      </c>
      <c r="AJ13" s="39" t="s">
        <v>764</v>
      </c>
      <c r="AK13" s="39">
        <f t="shared" si="19"/>
        <v>44.387976373482083</v>
      </c>
      <c r="AL13" s="39" t="s">
        <v>765</v>
      </c>
      <c r="AM13" s="39">
        <f t="shared" si="20"/>
        <v>4.764480142716681</v>
      </c>
      <c r="AN13" s="39" t="s">
        <v>766</v>
      </c>
      <c r="AO13" s="616">
        <f>IF(D13&gt;0, Non_Symbiotic_Nfixation(V13,D13),0)</f>
        <v>2.046472842872483</v>
      </c>
      <c r="AP13" s="195">
        <f>IFERROR(Symbiotic_Nfixation(B13,D13),0)</f>
        <v>17.206406017941177</v>
      </c>
      <c r="AQ13" s="39" t="s">
        <v>767</v>
      </c>
      <c r="AR13" s="188"/>
      <c r="AS13" s="39">
        <f t="shared" si="2"/>
        <v>6.0492645783127736</v>
      </c>
      <c r="AT13" s="39" t="s">
        <v>768</v>
      </c>
      <c r="AU13" s="189" t="s">
        <v>769</v>
      </c>
      <c r="AV13" s="39">
        <f>IF(INPUTS!$E77="Main", 0, N_output_Residues(T13,AG13,D13))</f>
        <v>11.573790354060248</v>
      </c>
      <c r="AW13" s="39" t="s">
        <v>770</v>
      </c>
      <c r="AX13" s="313">
        <f t="shared" si="3"/>
        <v>18.203015001153851</v>
      </c>
      <c r="AY13" s="313" t="s">
        <v>772</v>
      </c>
      <c r="AZ13" s="314">
        <f t="shared" si="4"/>
        <v>12.610068001454211</v>
      </c>
      <c r="BA13" s="313"/>
      <c r="BB13" s="313" t="s">
        <v>771</v>
      </c>
      <c r="BC13" s="313">
        <f t="shared" si="5"/>
        <v>9.5242955756921521</v>
      </c>
      <c r="BD13" s="39" t="s">
        <v>773</v>
      </c>
      <c r="BE13" s="39">
        <f>'Area Parameters'!D$7</f>
        <v>34</v>
      </c>
      <c r="BF13" s="297">
        <f t="shared" si="6"/>
        <v>18.203015001153851</v>
      </c>
      <c r="BG13" s="39">
        <f t="shared" si="7"/>
        <v>5.455918025581254</v>
      </c>
      <c r="BH13" s="39" t="s">
        <v>774</v>
      </c>
      <c r="BI13" s="39">
        <f>('Soil erosion'!I8*W13*1.5)</f>
        <v>4.6029430899715313</v>
      </c>
      <c r="BJ13" t="s">
        <v>786</v>
      </c>
      <c r="BL13" s="39">
        <f t="shared" si="21"/>
        <v>82.048487662828975</v>
      </c>
      <c r="BM13" s="39">
        <f t="shared" si="22"/>
        <v>45.884931049079661</v>
      </c>
      <c r="BN13" s="39">
        <f t="shared" si="23"/>
        <v>36.163556613749314</v>
      </c>
      <c r="BO13" s="39">
        <f t="shared" si="8"/>
        <v>39.760118324719954</v>
      </c>
      <c r="BP13" s="39">
        <f t="shared" si="24"/>
        <v>23.750106000966991</v>
      </c>
      <c r="BQ13" s="39">
        <f t="shared" si="9"/>
        <v>26.112117093706026</v>
      </c>
      <c r="BS13" s="39">
        <f t="shared" si="10"/>
        <v>0.90954348572110355</v>
      </c>
      <c r="BT13" s="39"/>
      <c r="BU13" s="39">
        <f t="shared" si="25"/>
        <v>0.55924164303478374</v>
      </c>
      <c r="BX13" s="391">
        <f t="shared" si="11"/>
        <v>3258.3869240034483</v>
      </c>
      <c r="BY13" s="391">
        <f t="shared" si="12"/>
        <v>1181.4969879517134</v>
      </c>
      <c r="BZ13" s="790">
        <f t="shared" si="26"/>
        <v>0.36260180743054782</v>
      </c>
    </row>
    <row r="14" spans="1:78">
      <c r="A14" t="str">
        <f>INPUTS!D78</f>
        <v>Natural pasture</v>
      </c>
      <c r="B14" s="39">
        <f>VLOOKUP(A14,'Crop parameters'!$A$2:$Z$43,13,FALSE)</f>
        <v>65.25</v>
      </c>
      <c r="C14" s="39"/>
      <c r="D14" s="39">
        <f>'Land requirements'!F9</f>
        <v>0.49157229442375316</v>
      </c>
      <c r="E14" s="39"/>
      <c r="F14" s="39">
        <f>INPUTS!E102</f>
        <v>15</v>
      </c>
      <c r="G14" s="39"/>
      <c r="H14" s="39">
        <f>IFERROR(Feed!$P$175*(S14+U14)/($S$16+$U$16),0)</f>
        <v>0</v>
      </c>
      <c r="I14" s="39">
        <f>Feed!$R$175*INPUTS!F102</f>
        <v>0</v>
      </c>
      <c r="J14" s="39">
        <f>Feed!$T$175*INPUTS!F102</f>
        <v>0</v>
      </c>
      <c r="K14" s="39">
        <f t="shared" si="13"/>
        <v>0</v>
      </c>
      <c r="L14" s="39">
        <f t="shared" si="0"/>
        <v>0</v>
      </c>
      <c r="M14" s="39"/>
      <c r="N14" s="39">
        <f>VLOOKUP(INPUTS!$D78,'Crop parameters'!$A$2:$Z$43,4, FALSE)*1000</f>
        <v>13049.999999999998</v>
      </c>
      <c r="O14" s="39">
        <f>VLOOKUP(INPUTS!$D78,'Crop parameters'!$A$2:$Z$43,8,FALSE)*1000</f>
        <v>0</v>
      </c>
      <c r="P14" s="39">
        <f>INPUTS!F93</f>
        <v>0</v>
      </c>
      <c r="Q14" s="39">
        <f>INPUTS!E93</f>
        <v>1</v>
      </c>
      <c r="R14" s="39">
        <f t="shared" si="14"/>
        <v>13049.999999999998</v>
      </c>
      <c r="S14" s="39">
        <f t="shared" si="15"/>
        <v>6415.0184422299781</v>
      </c>
      <c r="T14" s="39">
        <f t="shared" si="16"/>
        <v>0</v>
      </c>
      <c r="U14" s="39">
        <f t="shared" si="17"/>
        <v>0</v>
      </c>
      <c r="V14" s="39">
        <f>'Area Parameters'!D$2</f>
        <v>1400</v>
      </c>
      <c r="W14" s="39">
        <f>'Area Parameters'!D$5</f>
        <v>0.3</v>
      </c>
      <c r="X14" s="39">
        <f>W14*20*'Area Parameters'!D$8*10</f>
        <v>90</v>
      </c>
      <c r="Y14" s="39">
        <f t="shared" si="18"/>
        <v>2.6999999999999997</v>
      </c>
      <c r="Z14" s="39">
        <f>'Area Parameters'!D$6</f>
        <v>1.3</v>
      </c>
      <c r="AA14" s="39">
        <f>'Area Parameters'!D$7</f>
        <v>34</v>
      </c>
      <c r="AB14" s="39"/>
      <c r="AC14" s="39"/>
      <c r="AD14" s="39">
        <f>'GHG Parameters'!C$348</f>
        <v>1</v>
      </c>
      <c r="AE14" s="39"/>
      <c r="AF14" s="293">
        <f>VLOOKUP(A14,'Crop parameters'!$A$2:$Z$43,10, FALSE)</f>
        <v>0.01</v>
      </c>
      <c r="AG14" s="293">
        <f>VLOOKUP(A14,'Crop parameters'!$A$2:$Z$43,11, FALSE)</f>
        <v>0</v>
      </c>
      <c r="AH14" s="188"/>
      <c r="AI14" s="39">
        <f t="shared" si="1"/>
        <v>7.3735844163562971</v>
      </c>
      <c r="AJ14" s="39" t="s">
        <v>764</v>
      </c>
      <c r="AK14" s="39">
        <f t="shared" si="19"/>
        <v>0</v>
      </c>
      <c r="AL14" s="39" t="s">
        <v>765</v>
      </c>
      <c r="AM14" s="39">
        <f t="shared" si="20"/>
        <v>2.5750131491896715</v>
      </c>
      <c r="AN14" s="39" t="s">
        <v>766</v>
      </c>
      <c r="AO14" s="616">
        <f>IF(D14&gt;0, Non_Symbiotic_Nfixation(V14,D14),0)</f>
        <v>1.1060376624534447</v>
      </c>
      <c r="AP14" s="195">
        <f>IFERROR(Symbiotic_Nfixation(B14,D14),0)</f>
        <v>32.075092211149894</v>
      </c>
      <c r="AQ14" s="39" t="s">
        <v>767</v>
      </c>
      <c r="AR14" s="188"/>
      <c r="AS14" s="39">
        <f t="shared" si="2"/>
        <v>64.150184422299787</v>
      </c>
      <c r="AT14" s="39" t="s">
        <v>768</v>
      </c>
      <c r="AU14" s="189" t="s">
        <v>769</v>
      </c>
      <c r="AV14" s="39">
        <f>IF(INPUTS!$E78="Main", 0, N_output_Residues(T14,AG14,D14))</f>
        <v>0</v>
      </c>
      <c r="AW14" s="39" t="s">
        <v>770</v>
      </c>
      <c r="AX14" s="313">
        <f t="shared" si="3"/>
        <v>5.1893037</v>
      </c>
      <c r="AY14" s="313" t="s">
        <v>772</v>
      </c>
      <c r="AZ14" s="314">
        <f t="shared" si="4"/>
        <v>3.5948700000000002</v>
      </c>
      <c r="BA14" s="313"/>
      <c r="BB14" s="313" t="s">
        <v>771</v>
      </c>
      <c r="BC14" s="313">
        <f t="shared" si="5"/>
        <v>2.7151800000000001</v>
      </c>
      <c r="BD14" s="39" t="s">
        <v>773</v>
      </c>
      <c r="BE14" s="39">
        <f>'Area Parameters'!D$7</f>
        <v>34</v>
      </c>
      <c r="BF14" s="297">
        <f t="shared" si="6"/>
        <v>5.1893037</v>
      </c>
      <c r="BG14" s="39">
        <f t="shared" si="7"/>
        <v>0.78481483093929882</v>
      </c>
      <c r="BH14" s="39" t="s">
        <v>774</v>
      </c>
      <c r="BI14" s="39">
        <f>('Soil erosion'!I9*W14*1.5)</f>
        <v>1.2438543793457937</v>
      </c>
      <c r="BJ14" t="s">
        <v>786</v>
      </c>
      <c r="BL14" s="39">
        <f t="shared" si="21"/>
        <v>43.129727439149306</v>
      </c>
      <c r="BM14" s="39">
        <f t="shared" si="22"/>
        <v>71.368157332584872</v>
      </c>
      <c r="BN14" s="39">
        <f t="shared" si="23"/>
        <v>-28.238429893435566</v>
      </c>
      <c r="BO14" s="39">
        <f t="shared" si="8"/>
        <v>-57.44512091865986</v>
      </c>
      <c r="BP14" s="39">
        <f t="shared" si="24"/>
        <v>-28.238429893435566</v>
      </c>
      <c r="BQ14" s="39">
        <f t="shared" si="9"/>
        <v>-57.44512091865986</v>
      </c>
      <c r="BS14" s="39">
        <f t="shared" si="10"/>
        <v>0.49157229442375316</v>
      </c>
      <c r="BT14" s="39"/>
      <c r="BU14" s="39">
        <f t="shared" si="25"/>
        <v>1.654732398512754</v>
      </c>
      <c r="BX14" s="391">
        <f t="shared" si="11"/>
        <v>6415.0184422299781</v>
      </c>
      <c r="BY14" s="391">
        <f t="shared" si="12"/>
        <v>0</v>
      </c>
      <c r="BZ14" s="790">
        <f t="shared" si="26"/>
        <v>0</v>
      </c>
    </row>
    <row r="15" spans="1:78">
      <c r="A15" t="str">
        <f>INPUTS!D79</f>
        <v>N/A</v>
      </c>
      <c r="B15" s="39">
        <f>VLOOKUP(A15,'Crop parameters'!$A$2:$Z$43,13,FALSE)</f>
        <v>0</v>
      </c>
      <c r="C15" s="39"/>
      <c r="D15" s="39">
        <f>'Land requirements'!F10</f>
        <v>0</v>
      </c>
      <c r="E15" s="39"/>
      <c r="F15" s="39">
        <f>INPUTS!E103</f>
        <v>0</v>
      </c>
      <c r="G15" s="39"/>
      <c r="H15" s="39">
        <f>IFERROR(Feed!$P$175*(S15+U15)/($S$16+$U$16),0)</f>
        <v>0</v>
      </c>
      <c r="I15" s="39">
        <f>Feed!$R$175*INPUTS!F103</f>
        <v>0</v>
      </c>
      <c r="J15" s="39">
        <f>Feed!$T$175*INPUTS!F103</f>
        <v>0</v>
      </c>
      <c r="K15" s="39">
        <f t="shared" si="13"/>
        <v>0</v>
      </c>
      <c r="L15" s="39">
        <f t="shared" si="0"/>
        <v>0</v>
      </c>
      <c r="M15" s="39"/>
      <c r="N15" s="39">
        <f>VLOOKUP(INPUTS!$D79,'Crop parameters'!$A$2:$Z$43,4, FALSE)*1000</f>
        <v>0</v>
      </c>
      <c r="O15" s="39">
        <f>VLOOKUP(INPUTS!$D79,'Crop parameters'!$A$2:$Z$43,8,FALSE)*1000</f>
        <v>0</v>
      </c>
      <c r="P15" s="39">
        <f>INPUTS!F94</f>
        <v>0</v>
      </c>
      <c r="Q15" s="39">
        <f>INPUTS!E94</f>
        <v>1</v>
      </c>
      <c r="R15" s="39">
        <f t="shared" si="14"/>
        <v>0</v>
      </c>
      <c r="S15" s="39">
        <f t="shared" si="15"/>
        <v>0</v>
      </c>
      <c r="T15" s="39">
        <f t="shared" si="16"/>
        <v>0</v>
      </c>
      <c r="U15" s="39">
        <f t="shared" si="17"/>
        <v>0</v>
      </c>
      <c r="V15" s="39">
        <f>'Area Parameters'!D$2</f>
        <v>1400</v>
      </c>
      <c r="W15" s="39">
        <f>'Area Parameters'!D$5</f>
        <v>0.3</v>
      </c>
      <c r="X15" s="39">
        <f>W15*20*'Area Parameters'!D$8*10</f>
        <v>90</v>
      </c>
      <c r="Y15" s="39">
        <f t="shared" si="18"/>
        <v>2.6999999999999997</v>
      </c>
      <c r="Z15" s="39">
        <f>'Area Parameters'!D$6</f>
        <v>1.3</v>
      </c>
      <c r="AA15" s="39">
        <f>'Area Parameters'!D$7</f>
        <v>34</v>
      </c>
      <c r="AB15" s="39"/>
      <c r="AC15" s="39"/>
      <c r="AD15" s="39">
        <f>'GHG Parameters'!C$348</f>
        <v>1</v>
      </c>
      <c r="AE15" s="39"/>
      <c r="AF15" s="293">
        <f>VLOOKUP(A15,'Crop parameters'!$A$2:$Z$43,10, FALSE)</f>
        <v>0</v>
      </c>
      <c r="AG15" s="293">
        <f>VLOOKUP(A15,'Crop parameters'!$A$2:$Z$43,11, FALSE)</f>
        <v>0</v>
      </c>
      <c r="AH15" s="188"/>
      <c r="AI15" s="39">
        <f t="shared" si="1"/>
        <v>0</v>
      </c>
      <c r="AJ15" s="39" t="s">
        <v>764</v>
      </c>
      <c r="AK15" s="39">
        <f t="shared" si="19"/>
        <v>0</v>
      </c>
      <c r="AL15" s="39" t="s">
        <v>765</v>
      </c>
      <c r="AM15" s="39">
        <f t="shared" si="20"/>
        <v>0</v>
      </c>
      <c r="AN15" s="39" t="s">
        <v>766</v>
      </c>
      <c r="AO15" s="616">
        <f>IF(D15&gt;0, Non_Symbiotic_Nfixation(V15,D15),0)</f>
        <v>0</v>
      </c>
      <c r="AP15" s="195">
        <f>IFERROR(Symbiotic_Nfixation(B15,D15),0)</f>
        <v>0</v>
      </c>
      <c r="AQ15" s="39" t="s">
        <v>767</v>
      </c>
      <c r="AR15" s="188"/>
      <c r="AS15" s="39">
        <f t="shared" si="2"/>
        <v>0</v>
      </c>
      <c r="AT15" s="39" t="s">
        <v>768</v>
      </c>
      <c r="AU15" s="189" t="s">
        <v>769</v>
      </c>
      <c r="AV15" s="39">
        <f>IF(INPUTS!$E79="Main", 0, N_output_Residues(T15,AG15,D15))</f>
        <v>0</v>
      </c>
      <c r="AW15" s="39" t="s">
        <v>770</v>
      </c>
      <c r="AX15" s="313">
        <f t="shared" si="3"/>
        <v>0.79158869999999992</v>
      </c>
      <c r="AY15" s="313" t="s">
        <v>772</v>
      </c>
      <c r="AZ15" s="314">
        <f t="shared" si="4"/>
        <v>0.54836999999999991</v>
      </c>
      <c r="BA15" s="313"/>
      <c r="BB15" s="313" t="s">
        <v>771</v>
      </c>
      <c r="BC15" s="313">
        <f t="shared" si="5"/>
        <v>0.41417999999999999</v>
      </c>
      <c r="BD15" s="39" t="s">
        <v>773</v>
      </c>
      <c r="BE15" s="39">
        <f>'Area Parameters'!D$7</f>
        <v>34</v>
      </c>
      <c r="BF15" s="297">
        <f t="shared" si="6"/>
        <v>0.79158869999999992</v>
      </c>
      <c r="BG15" s="39">
        <f t="shared" si="7"/>
        <v>0</v>
      </c>
      <c r="BH15" s="39" t="s">
        <v>774</v>
      </c>
      <c r="BI15" s="39">
        <f>('Soil erosion'!I10*W15*1.5)</f>
        <v>0</v>
      </c>
      <c r="BJ15" t="s">
        <v>786</v>
      </c>
      <c r="BL15" s="39">
        <f t="shared" si="21"/>
        <v>0</v>
      </c>
      <c r="BM15" s="39">
        <f t="shared" si="22"/>
        <v>0</v>
      </c>
      <c r="BN15" s="39">
        <f t="shared" si="23"/>
        <v>0</v>
      </c>
      <c r="BO15" s="39" t="str">
        <f t="shared" si="8"/>
        <v/>
      </c>
      <c r="BP15" s="39">
        <f t="shared" si="24"/>
        <v>0</v>
      </c>
      <c r="BQ15" s="39" t="str">
        <f t="shared" si="9"/>
        <v/>
      </c>
      <c r="BS15" s="39">
        <f t="shared" si="10"/>
        <v>0</v>
      </c>
      <c r="BT15" s="39"/>
      <c r="BU15" s="39" t="str">
        <f t="shared" si="25"/>
        <v/>
      </c>
      <c r="BX15" s="391">
        <f t="shared" si="11"/>
        <v>0</v>
      </c>
      <c r="BY15" s="391">
        <f t="shared" si="12"/>
        <v>0</v>
      </c>
      <c r="BZ15" s="790" t="str">
        <f t="shared" si="26"/>
        <v/>
      </c>
    </row>
    <row r="16" spans="1:78" ht="16.5" thickBot="1">
      <c r="A16" s="190"/>
      <c r="B16" s="191"/>
      <c r="C16" s="191"/>
      <c r="D16" s="191">
        <f>SUM(D9:D15)</f>
        <v>1.693537628064723</v>
      </c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  <c r="Q16" s="191"/>
      <c r="R16" s="191"/>
      <c r="S16" s="191">
        <f>SUM(S9:S15)</f>
        <v>11496.648962405512</v>
      </c>
      <c r="T16" s="191"/>
      <c r="U16" s="191">
        <f>SUM(U9:U15)</f>
        <v>1955.032154402069</v>
      </c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2" t="s">
        <v>132</v>
      </c>
      <c r="AI16" s="192">
        <f>SUM(AI9:AI15)</f>
        <v>25.403064420970843</v>
      </c>
      <c r="AJ16" s="191"/>
      <c r="AK16" s="194">
        <f>SUM(AK9:AK15)</f>
        <v>133.16392912044626</v>
      </c>
      <c r="AL16" s="191"/>
      <c r="AM16" s="192">
        <f>SUM(AM9:AM15)</f>
        <v>8.8712926061591872</v>
      </c>
      <c r="AN16" s="192"/>
      <c r="AO16" s="192">
        <f>SUM(AO9:AO15)</f>
        <v>3.8104596631456262</v>
      </c>
      <c r="AP16" s="192">
        <f>SUM(AP9:AP15)</f>
        <v>81.734463045700153</v>
      </c>
      <c r="AQ16" s="191"/>
      <c r="AR16" s="191"/>
      <c r="AS16" s="192">
        <f>SUM(AS9:AS15)</f>
        <v>135.10537863383072</v>
      </c>
      <c r="AT16" s="191"/>
      <c r="AU16" s="191"/>
      <c r="AV16" s="192">
        <f>SUM(AV9:AV15)</f>
        <v>11.573790354060248</v>
      </c>
      <c r="AW16" s="191"/>
      <c r="AX16" s="196" t="s">
        <v>639</v>
      </c>
      <c r="AY16" s="196" t="s">
        <v>639</v>
      </c>
      <c r="AZ16" s="196" t="s">
        <v>639</v>
      </c>
      <c r="BA16" s="196" t="s">
        <v>639</v>
      </c>
      <c r="BB16" s="196" t="s">
        <v>639</v>
      </c>
      <c r="BC16" s="196" t="s">
        <v>639</v>
      </c>
      <c r="BD16" s="196" t="s">
        <v>639</v>
      </c>
      <c r="BE16" s="196" t="s">
        <v>639</v>
      </c>
      <c r="BF16" s="192">
        <f>SUM(BF9:BF15)</f>
        <v>66.570829803461564</v>
      </c>
      <c r="BG16" s="192">
        <f>SUM(BG9:BG15)</f>
        <v>14.715186971374704</v>
      </c>
      <c r="BH16" s="191"/>
      <c r="BI16" s="192">
        <f>SUM(BI9:BI15)</f>
        <v>6.1250107357408394</v>
      </c>
      <c r="BJ16" s="190"/>
      <c r="BK16" s="190"/>
      <c r="BL16" s="192">
        <f t="shared" ref="BL16:BM16" si="27">SUM(BL9:BL15)</f>
        <v>252.98320885642204</v>
      </c>
      <c r="BM16" s="192">
        <f t="shared" si="27"/>
        <v>232.50701909846805</v>
      </c>
      <c r="BN16" s="192">
        <f>SUM(BN9:BN15)</f>
        <v>20.476189757954003</v>
      </c>
      <c r="BO16" s="191">
        <f t="shared" si="8"/>
        <v>12.090779335888161</v>
      </c>
      <c r="BP16" s="192">
        <f>SUM(BP9:BP15)</f>
        <v>8.0627391451716761</v>
      </c>
      <c r="BQ16" s="191">
        <f t="shared" si="9"/>
        <v>4.7608857409240493</v>
      </c>
      <c r="BR16" s="190"/>
      <c r="BS16" s="191">
        <f>SUM(BS9:BS15)</f>
        <v>1.693537628064723</v>
      </c>
      <c r="BU16" s="39"/>
      <c r="BX16" s="796">
        <f>SUM(BX9:BX15)</f>
        <v>14282.437091228276</v>
      </c>
      <c r="BY16" s="796">
        <f>SUM(BY9:BY15)</f>
        <v>1181.4969879517134</v>
      </c>
      <c r="BZ16" s="797">
        <f t="shared" si="26"/>
        <v>8.2723766287571707E-2</v>
      </c>
    </row>
    <row r="17" spans="37:46">
      <c r="AK17" s="42" t="s">
        <v>1306</v>
      </c>
      <c r="AL17" s="42"/>
      <c r="AM17" s="42"/>
      <c r="AS17" s="42" t="s">
        <v>1305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workbookViewId="0">
      <selection activeCell="F29" sqref="F29:F30"/>
    </sheetView>
  </sheetViews>
  <sheetFormatPr defaultRowHeight="15.75"/>
  <cols>
    <col min="1" max="1" width="36.25" bestFit="1" customWidth="1"/>
    <col min="2" max="2" width="18.5" customWidth="1"/>
    <col min="3" max="3" width="15.5" customWidth="1"/>
    <col min="4" max="4" width="14.625" customWidth="1"/>
    <col min="5" max="5" width="14" customWidth="1"/>
    <col min="6" max="6" width="16.125" customWidth="1"/>
    <col min="7" max="7" width="18.375" customWidth="1"/>
    <col min="8" max="8" width="12.875" customWidth="1"/>
  </cols>
  <sheetData>
    <row r="2" spans="1:28" s="1585" customFormat="1">
      <c r="A2" s="1585" t="s">
        <v>1275</v>
      </c>
    </row>
    <row r="3" spans="1:28" s="145" customFormat="1">
      <c r="B3" s="253"/>
      <c r="C3" s="253"/>
      <c r="D3" s="253"/>
      <c r="E3" s="253"/>
      <c r="F3" s="253"/>
      <c r="G3" s="253"/>
      <c r="H3" s="253"/>
      <c r="O3" s="230"/>
      <c r="S3" s="231"/>
      <c r="V3" s="577"/>
      <c r="AB3" s="229"/>
    </row>
    <row r="4" spans="1:28" s="145" customFormat="1" ht="78.75">
      <c r="B4" s="684" t="str">
        <f>CONCATENATE("Feed Item 1 - ", INPUTS!B60)</f>
        <v>Feed Item 1 - Concentrate (commercial)</v>
      </c>
      <c r="C4" s="684" t="str">
        <f>CONCATENATE("Feed Item 2 - ", INPUTS!B61)</f>
        <v>Feed Item 2 - Pennisetum purpureum - forage</v>
      </c>
      <c r="D4" s="684" t="str">
        <f>CONCATENATE("Feed Item 3 - ", INPUTS!B62)</f>
        <v>Feed Item 3 - Rhodes grass (Chloris gayana) - forage</v>
      </c>
      <c r="E4" s="684" t="str">
        <f>CONCATENATE("Feed Item 4 - ", INPUTS!B63)</f>
        <v>Feed Item 4 - Guatemala (Tripsacum andersonii) - forage</v>
      </c>
      <c r="F4" s="684" t="str">
        <f>CONCATENATE("Feed Item 5 - ", INPUTS!B64)</f>
        <v>Feed Item 5 - Maize (Zea mays) - stover</v>
      </c>
      <c r="G4" s="684" t="str">
        <f>CONCATENATE("Feed Item 6 - ", INPUTS!B65)</f>
        <v xml:space="preserve">Feed Item 6 - Naturally occuring pasture - green fodder </v>
      </c>
      <c r="H4" s="684" t="str">
        <f>CONCATENATE("Feed Item 7 - ", INPUTS!B66)</f>
        <v>Feed Item 7 - N/A</v>
      </c>
      <c r="I4" s="224"/>
      <c r="J4" s="685" t="s">
        <v>1276</v>
      </c>
      <c r="O4" s="230"/>
      <c r="S4" s="231"/>
      <c r="V4" s="577"/>
      <c r="AB4" s="229"/>
    </row>
    <row r="5" spans="1:28" s="145" customFormat="1">
      <c r="A5" s="145" t="s">
        <v>1277</v>
      </c>
      <c r="B5" s="753">
        <f>'Land requirements'!F4/'Land requirements'!$F$11</f>
        <v>0</v>
      </c>
      <c r="C5" s="753">
        <f>'Land requirements'!F5/'Land requirements'!$F$11</f>
        <v>1.7682907536387699E-2</v>
      </c>
      <c r="D5" s="753">
        <f>'Land requirements'!F6/'Land requirements'!$F$11</f>
        <v>0.11699946426284744</v>
      </c>
      <c r="E5" s="753">
        <f>'Land requirements'!F7/'Land requirements'!$F$11</f>
        <v>3.7986863931906485E-2</v>
      </c>
      <c r="F5" s="753">
        <f>'Land requirements'!F8/'Land requirements'!$F$11</f>
        <v>0.53706718448321533</v>
      </c>
      <c r="G5" s="753">
        <f>'Land requirements'!F9/'Land requirements'!$F$11</f>
        <v>0.29026357978564293</v>
      </c>
      <c r="H5" s="753">
        <f>'Land requirements'!F10/'Land requirements'!$F$11</f>
        <v>0</v>
      </c>
      <c r="J5" s="686"/>
      <c r="O5" s="230"/>
      <c r="S5" s="231"/>
      <c r="V5" s="577"/>
      <c r="AB5" s="229"/>
    </row>
    <row r="6" spans="1:28" s="145" customFormat="1">
      <c r="A6" s="145" t="s">
        <v>1278</v>
      </c>
      <c r="B6" s="753">
        <f>VLOOKUP(INPUTS!D73,  'Crop parameters'!$A$2:$Z$43, 21, FALSE)</f>
        <v>0</v>
      </c>
      <c r="C6" s="753">
        <f>VLOOKUP(INPUTS!D74, 'Crop parameters'!$A$2:$Z$43, 21, FALSE)</f>
        <v>0.91666666666666663</v>
      </c>
      <c r="D6" s="753">
        <f>VLOOKUP(INPUTS!D75, 'Crop parameters'!$A$2:$Z$43, 21, FALSE)</f>
        <v>0.91666666666666663</v>
      </c>
      <c r="E6" s="753">
        <f>VLOOKUP(INPUTS!D76,  'Crop parameters'!$A$2:$Z$43, 21, FALSE)</f>
        <v>0.91666666666666663</v>
      </c>
      <c r="F6" s="753">
        <f>VLOOKUP(INPUTS!D77,'Crop parameters'!$A$2:$Z$43, 21, FALSE)</f>
        <v>0.64999999999999991</v>
      </c>
      <c r="G6" s="753">
        <f>VLOOKUP(INPUTS!D78,'Crop parameters'!$A$2:$Z$43, 21, FALSE)</f>
        <v>0.6</v>
      </c>
      <c r="H6" s="753">
        <f>VLOOKUP(INPUTS!D79,  'Crop parameters'!$A$2:$Z$43, 21, FALSE)</f>
        <v>0</v>
      </c>
      <c r="J6" s="686">
        <f>SUMPRODUCT(B5:H5,B6:H6)</f>
        <v>0.68153195053902216</v>
      </c>
      <c r="O6" s="230"/>
      <c r="S6" s="231"/>
      <c r="V6" s="577"/>
      <c r="AB6" s="229"/>
    </row>
    <row r="7" spans="1:28" s="145" customFormat="1">
      <c r="B7" s="753">
        <f>B5*B6</f>
        <v>0</v>
      </c>
      <c r="C7" s="753">
        <f t="shared" ref="C7:H7" si="0">C5*C6</f>
        <v>1.6209331908355391E-2</v>
      </c>
      <c r="D7" s="753">
        <f t="shared" si="0"/>
        <v>0.10724950890761015</v>
      </c>
      <c r="E7" s="753">
        <f t="shared" si="0"/>
        <v>3.4821291937580941E-2</v>
      </c>
      <c r="F7" s="753">
        <f t="shared" si="0"/>
        <v>0.34909366991408991</v>
      </c>
      <c r="G7" s="753">
        <f t="shared" si="0"/>
        <v>0.17415814787138575</v>
      </c>
      <c r="H7" s="753">
        <f t="shared" si="0"/>
        <v>0</v>
      </c>
      <c r="O7" s="230"/>
      <c r="S7" s="231"/>
      <c r="V7" s="577"/>
      <c r="AB7" s="229"/>
    </row>
    <row r="8" spans="1:28" s="145" customFormat="1">
      <c r="A8" s="145" t="s">
        <v>1280</v>
      </c>
      <c r="B8" s="787">
        <f>'Area Parameters'!$D$10*Water!B7</f>
        <v>0</v>
      </c>
      <c r="C8" s="787">
        <f>'Area Parameters'!$D$10*Water!C7</f>
        <v>23.66562458619887</v>
      </c>
      <c r="D8" s="787">
        <f>'Area Parameters'!$D$10*Water!D7</f>
        <v>156.58428300511082</v>
      </c>
      <c r="E8" s="787">
        <f>'Area Parameters'!$D$10*Water!E7</f>
        <v>50.839086228868176</v>
      </c>
      <c r="F8" s="787">
        <f>'Area Parameters'!$D$10*Water!F7</f>
        <v>509.6767580745713</v>
      </c>
      <c r="G8" s="787">
        <f>'Area Parameters'!$D$10*Water!G7</f>
        <v>254.27089589222319</v>
      </c>
      <c r="H8" s="787">
        <f>'Area Parameters'!$D$10*Water!H7</f>
        <v>0</v>
      </c>
      <c r="O8" s="230"/>
      <c r="S8" s="231"/>
      <c r="V8" s="577"/>
      <c r="AB8" s="229"/>
    </row>
    <row r="9" spans="1:28" s="145" customFormat="1">
      <c r="A9" s="145" t="s">
        <v>1357</v>
      </c>
      <c r="B9" s="789">
        <f>B8*'Land requirements'!$F$11</f>
        <v>0</v>
      </c>
      <c r="C9" s="789">
        <f>C8*'Land requirements'!$F$11</f>
        <v>40.078625728381425</v>
      </c>
      <c r="D9" s="789">
        <f>D8*'Land requirements'!$F$11</f>
        <v>265.1813752326907</v>
      </c>
      <c r="E9" s="789">
        <f>E8*'Land requirements'!$F$11</f>
        <v>86.097905505015333</v>
      </c>
      <c r="F9" s="789">
        <f>F8*'Land requirements'!$F$11</f>
        <v>863.1567679493271</v>
      </c>
      <c r="G9" s="789">
        <f>G8*'Land requirements'!$F$11</f>
        <v>430.61732991520779</v>
      </c>
      <c r="H9" s="789">
        <f>H8*'Land requirements'!$F$11</f>
        <v>0</v>
      </c>
      <c r="O9" s="230"/>
      <c r="S9" s="231"/>
      <c r="V9" s="577"/>
      <c r="AB9" s="229"/>
    </row>
    <row r="10" spans="1:28" s="145" customFormat="1">
      <c r="A10" s="145" t="s">
        <v>1358</v>
      </c>
      <c r="B10" s="789">
        <f>IFERROR(B9*(1-('Land Requirement '!L21+'Land Requirement '!M21)/('Land Requirement '!I21+'Land Requirement '!J21)),0)</f>
        <v>0</v>
      </c>
      <c r="C10" s="789">
        <f>IFERROR(C9*(1-('Land Requirement '!AB21+'Land Requirement '!AC21)/('Land Requirement '!Y21+'Land Requirement '!Z21)),0)</f>
        <v>40.078625728381425</v>
      </c>
      <c r="D10" s="789">
        <f>IFERROR(D9*(1-('Land Requirement '!AR21+'Land Requirement '!AS21)/('Land Requirement '!AO21+'Land Requirement '!AP21)),0)</f>
        <v>265.1813752326907</v>
      </c>
      <c r="E10" s="789">
        <f>IFERROR(E9*(1-('Land Requirement '!BH21+'Land Requirement '!BI21)/('Land Requirement '!BE21+'Land Requirement '!BF21)),0)</f>
        <v>86.097905505015333</v>
      </c>
      <c r="F10" s="789">
        <f>IFERROR(F9*(1-('Land Requirement '!BZ21+'Land Requirement '!CA21)/('Land Requirement '!BU21+'Land Requirement '!BY21)),0)</f>
        <v>532.78259316784329</v>
      </c>
      <c r="G10" s="789">
        <f>IFERROR(G9*(1-('Land Requirement '!CP21+'Land Requirement '!CQ21)/('Land Requirement '!CK21+'Land Requirement '!CO21)),0)</f>
        <v>0</v>
      </c>
      <c r="H10" s="789">
        <f>IFERROR(H9*(1-('Land Requirement '!DF21+'Land Requirement '!DG21)/('Land Requirement '!DD21+'Land Requirement '!DE21)),0)</f>
        <v>0</v>
      </c>
      <c r="O10" s="230"/>
      <c r="S10" s="231"/>
      <c r="V10" s="577"/>
      <c r="AB10" s="229"/>
    </row>
    <row r="11" spans="1:28" s="145" customFormat="1">
      <c r="A11" s="145" t="s">
        <v>1426</v>
      </c>
      <c r="B11" s="789">
        <f>B9-B10</f>
        <v>0</v>
      </c>
      <c r="C11" s="789">
        <f t="shared" ref="C11:H11" si="1">C9-C10</f>
        <v>0</v>
      </c>
      <c r="D11" s="789">
        <f t="shared" si="1"/>
        <v>0</v>
      </c>
      <c r="E11" s="789">
        <f t="shared" si="1"/>
        <v>0</v>
      </c>
      <c r="F11" s="789">
        <f t="shared" si="1"/>
        <v>330.37417478148382</v>
      </c>
      <c r="G11" s="789">
        <f t="shared" si="1"/>
        <v>430.61732991520779</v>
      </c>
      <c r="H11" s="789">
        <f t="shared" si="1"/>
        <v>0</v>
      </c>
      <c r="O11" s="230"/>
      <c r="S11" s="231"/>
      <c r="V11" s="577"/>
      <c r="AB11" s="229"/>
    </row>
    <row r="12" spans="1:28" s="1585" customFormat="1">
      <c r="A12" s="1585" t="s">
        <v>1279</v>
      </c>
    </row>
    <row r="13" spans="1:28" s="145" customFormat="1">
      <c r="A13" s="145" t="s">
        <v>1280</v>
      </c>
      <c r="B13" s="787">
        <f>'Area Parameters'!D10*Water!J6</f>
        <v>995.03664778697237</v>
      </c>
      <c r="C13" s="253"/>
      <c r="D13" s="253"/>
      <c r="E13" s="253"/>
      <c r="F13" s="253"/>
      <c r="G13" s="253"/>
      <c r="H13" s="253"/>
      <c r="O13" s="230"/>
      <c r="S13" s="231"/>
      <c r="V13" s="577"/>
      <c r="AB13" s="229"/>
    </row>
    <row r="14" spans="1:28" s="145" customFormat="1">
      <c r="A14" s="145" t="s">
        <v>1356</v>
      </c>
      <c r="B14" s="786">
        <f>B13/'Area Parameters'!D2</f>
        <v>0.71074046270498026</v>
      </c>
      <c r="C14" s="253"/>
      <c r="D14" s="253"/>
      <c r="E14" s="253"/>
      <c r="F14" s="253"/>
      <c r="G14" s="253"/>
      <c r="H14" s="253"/>
      <c r="O14" s="230"/>
      <c r="S14" s="231"/>
      <c r="V14" s="577"/>
      <c r="AB14" s="229"/>
    </row>
    <row r="15" spans="1:28" s="145" customFormat="1">
      <c r="A15" s="145" t="s">
        <v>1281</v>
      </c>
      <c r="B15" s="787">
        <f>B13*'Land requirements'!F11</f>
        <v>1685.1320043306223</v>
      </c>
      <c r="C15" s="253"/>
      <c r="D15" s="253"/>
      <c r="E15" s="253"/>
      <c r="F15" s="253"/>
      <c r="G15" s="253"/>
      <c r="H15" s="253"/>
      <c r="O15" s="230"/>
      <c r="S15" s="231"/>
      <c r="V15" s="577"/>
      <c r="AB15" s="229"/>
    </row>
    <row r="16" spans="1:28" s="145" customFormat="1">
      <c r="A16" s="145" t="s">
        <v>1289</v>
      </c>
      <c r="B16" s="788">
        <f>B15/'Meat &amp; Milk '!B33</f>
        <v>0.52231262667975353</v>
      </c>
      <c r="C16" s="253"/>
      <c r="D16" s="253"/>
      <c r="E16" s="253"/>
      <c r="F16" s="253"/>
      <c r="G16" s="253"/>
      <c r="H16" s="253"/>
      <c r="O16" s="230"/>
      <c r="S16" s="231"/>
      <c r="V16" s="577"/>
      <c r="AB16" s="229"/>
    </row>
    <row r="17" spans="1:28" s="145" customFormat="1">
      <c r="A17" s="145" t="s">
        <v>1449</v>
      </c>
      <c r="B17" s="788">
        <f>B15/'Meat &amp; Milk '!B29</f>
        <v>6.2081196740739104</v>
      </c>
      <c r="C17" s="253"/>
      <c r="D17" s="253"/>
      <c r="E17" s="253"/>
      <c r="F17" s="253"/>
      <c r="G17" s="253"/>
      <c r="H17" s="253"/>
      <c r="O17" s="230"/>
      <c r="S17" s="231"/>
      <c r="V17" s="577"/>
      <c r="AB17" s="229"/>
    </row>
    <row r="18" spans="1:28">
      <c r="A18" s="145" t="s">
        <v>1317</v>
      </c>
      <c r="B18" s="768">
        <f>B15/'Meat &amp; Milk '!B38</f>
        <v>8.871584447370287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3"/>
  <sheetViews>
    <sheetView topLeftCell="D1" workbookViewId="0">
      <selection activeCell="G50" sqref="G50"/>
    </sheetView>
  </sheetViews>
  <sheetFormatPr defaultColWidth="11" defaultRowHeight="15.75"/>
  <cols>
    <col min="2" max="2" width="20.125" customWidth="1"/>
    <col min="3" max="3" width="16.125" customWidth="1"/>
    <col min="4" max="4" width="21.5" customWidth="1"/>
    <col min="5" max="5" width="22.125" customWidth="1"/>
    <col min="6" max="6" width="21.875" customWidth="1"/>
    <col min="7" max="7" width="44.125" bestFit="1" customWidth="1"/>
    <col min="8" max="8" width="22" customWidth="1"/>
    <col min="9" max="9" width="32.5" customWidth="1"/>
    <col min="10" max="10" width="24.5" customWidth="1"/>
    <col min="11" max="11" width="18.875" customWidth="1"/>
    <col min="12" max="12" width="15.125" customWidth="1"/>
  </cols>
  <sheetData>
    <row r="1" spans="1:14">
      <c r="A1" t="s">
        <v>339</v>
      </c>
    </row>
    <row r="2" spans="1:14">
      <c r="E2" t="s">
        <v>380</v>
      </c>
    </row>
    <row r="3" spans="1:14">
      <c r="E3">
        <f>44/12</f>
        <v>3.6666666666666665</v>
      </c>
      <c r="G3" s="80" t="s">
        <v>889</v>
      </c>
      <c r="H3" t="s">
        <v>890</v>
      </c>
    </row>
    <row r="4" spans="1:14">
      <c r="G4" t="s">
        <v>941</v>
      </c>
      <c r="H4">
        <f>1000000*('Area Parameters'!D9/100)*'Area Parameters'!D8</f>
        <v>30000</v>
      </c>
    </row>
    <row r="5" spans="1:14">
      <c r="G5" t="s">
        <v>1405</v>
      </c>
    </row>
    <row r="6" spans="1:14">
      <c r="G6" t="s">
        <v>1406</v>
      </c>
      <c r="H6" s="39">
        <f>H4*'Area Parameters'!D6*0.001</f>
        <v>39</v>
      </c>
    </row>
    <row r="7" spans="1:14">
      <c r="B7" t="s">
        <v>311</v>
      </c>
      <c r="G7" s="37" t="s">
        <v>599</v>
      </c>
    </row>
    <row r="8" spans="1:14">
      <c r="B8" s="1604" t="s">
        <v>254</v>
      </c>
      <c r="C8" s="1604"/>
      <c r="D8" s="26" t="s">
        <v>295</v>
      </c>
      <c r="E8" s="1601" t="s">
        <v>330</v>
      </c>
      <c r="F8" s="1602"/>
      <c r="G8" s="1602"/>
      <c r="H8" s="1602"/>
      <c r="I8" s="1602"/>
      <c r="J8" s="1602"/>
      <c r="K8" s="1603"/>
      <c r="L8" s="11"/>
      <c r="M8" s="11"/>
      <c r="N8" s="11"/>
    </row>
    <row r="9" spans="1:14" ht="47.25">
      <c r="B9" s="1527" t="s">
        <v>297</v>
      </c>
      <c r="C9" s="1527"/>
      <c r="D9" s="1527" t="s">
        <v>601</v>
      </c>
      <c r="E9" s="24" t="s">
        <v>312</v>
      </c>
      <c r="F9" s="24" t="s">
        <v>313</v>
      </c>
      <c r="G9" s="24" t="s">
        <v>314</v>
      </c>
      <c r="H9" s="24" t="s">
        <v>319</v>
      </c>
      <c r="I9" s="24" t="s">
        <v>315</v>
      </c>
      <c r="J9" s="24" t="s">
        <v>316</v>
      </c>
      <c r="K9" s="31" t="s">
        <v>311</v>
      </c>
    </row>
    <row r="10" spans="1:14">
      <c r="B10" s="1527" t="s">
        <v>299</v>
      </c>
      <c r="C10" s="1527" t="s">
        <v>298</v>
      </c>
      <c r="D10" s="1527"/>
      <c r="E10" s="24" t="s">
        <v>215</v>
      </c>
      <c r="F10" s="24" t="s">
        <v>317</v>
      </c>
      <c r="G10" s="24" t="s">
        <v>318</v>
      </c>
      <c r="H10" s="24" t="s">
        <v>153</v>
      </c>
      <c r="I10" s="24" t="s">
        <v>153</v>
      </c>
      <c r="J10" s="24" t="s">
        <v>153</v>
      </c>
      <c r="K10" s="31" t="s">
        <v>320</v>
      </c>
    </row>
    <row r="11" spans="1:14" ht="31.5">
      <c r="B11" s="1527"/>
      <c r="C11" s="1527"/>
      <c r="D11" s="1527"/>
      <c r="E11" s="24"/>
      <c r="F11" s="24" t="s">
        <v>322</v>
      </c>
      <c r="G11" s="24" t="s">
        <v>892</v>
      </c>
      <c r="H11" s="24" t="s">
        <v>576</v>
      </c>
      <c r="I11" s="24" t="s">
        <v>576</v>
      </c>
      <c r="J11" s="24" t="s">
        <v>576</v>
      </c>
      <c r="K11" s="31" t="s">
        <v>329</v>
      </c>
    </row>
    <row r="12" spans="1:14">
      <c r="B12" s="1527"/>
      <c r="C12" s="1527"/>
      <c r="D12" s="1527"/>
      <c r="E12" s="24" t="s">
        <v>321</v>
      </c>
      <c r="F12" s="24" t="s">
        <v>323</v>
      </c>
      <c r="G12" s="24" t="s">
        <v>324</v>
      </c>
      <c r="H12" s="24" t="s">
        <v>325</v>
      </c>
      <c r="I12" s="24" t="s">
        <v>326</v>
      </c>
      <c r="J12" s="24" t="s">
        <v>327</v>
      </c>
      <c r="K12" s="31" t="s">
        <v>328</v>
      </c>
    </row>
    <row r="13" spans="1:14">
      <c r="B13" s="27" t="s">
        <v>310</v>
      </c>
      <c r="C13" s="27" t="s">
        <v>310</v>
      </c>
      <c r="D13" s="13" t="s">
        <v>1388</v>
      </c>
      <c r="E13" s="40">
        <f>'Land requirements'!F11-E14</f>
        <v>0.2624751786334043</v>
      </c>
      <c r="F13" s="40">
        <f>IF(H6&gt;0,H6,30)</f>
        <v>39</v>
      </c>
      <c r="G13" s="13">
        <v>20</v>
      </c>
      <c r="H13" s="166">
        <f>VLOOKUP('Area Parameters'!G13,'SOC parameters'!E6:G38,3,FALSE)</f>
        <v>0.48</v>
      </c>
      <c r="I13" s="166">
        <f>VLOOKUP('Area Parameters'!G14,'SOC parameters'!E6:G38,3, FALSE)</f>
        <v>1.1499999999999999</v>
      </c>
      <c r="J13" s="155">
        <f>VLOOKUP('Area Parameters'!G15,'SOC parameters'!E6:G38,3,FALSE)</f>
        <v>0.92</v>
      </c>
      <c r="K13" s="116">
        <f>((F13*H13*I13*J13)-F13)/G13*E13</f>
        <v>-0.25190057863662174</v>
      </c>
    </row>
    <row r="14" spans="1:14">
      <c r="B14" s="125" t="s">
        <v>379</v>
      </c>
      <c r="C14" s="125" t="s">
        <v>379</v>
      </c>
      <c r="D14" s="13" t="s">
        <v>657</v>
      </c>
      <c r="E14" s="40">
        <f>'Land requirements'!H11+'Land requirements'!I11</f>
        <v>1.4310624494313187</v>
      </c>
      <c r="F14" s="13">
        <v>40</v>
      </c>
      <c r="G14" s="13">
        <v>20</v>
      </c>
      <c r="H14" s="165">
        <f>'SOC parameters'!E44</f>
        <v>1</v>
      </c>
      <c r="I14" s="166">
        <f>VLOOKUP('Area Parameters'!G16,'SOC parameters'!D45:E52,2, FALSE)</f>
        <v>0.97</v>
      </c>
      <c r="J14" s="166">
        <f>VLOOKUP('Area Parameters'!G17,'SOC parameters'!D53:E55,2, FALSE)</f>
        <v>1</v>
      </c>
      <c r="K14" s="116">
        <f>((F14*H14*I14*J14)-F14)/G14*E14</f>
        <v>-8.5863746965879326E-2</v>
      </c>
      <c r="L14" s="39"/>
    </row>
    <row r="15" spans="1:14">
      <c r="B15" s="125" t="s">
        <v>956</v>
      </c>
      <c r="C15" s="125" t="s">
        <v>956</v>
      </c>
      <c r="D15" s="122" t="s">
        <v>913</v>
      </c>
      <c r="E15" s="215"/>
      <c r="F15" s="122">
        <v>40</v>
      </c>
      <c r="G15" s="122">
        <v>20</v>
      </c>
      <c r="H15" s="165">
        <f>'SOC parameters'!E44</f>
        <v>1</v>
      </c>
      <c r="I15" s="166"/>
      <c r="J15" s="166"/>
      <c r="K15" s="116">
        <f>((F15*H15*I15*J15)-F15)/G15*E15</f>
        <v>0</v>
      </c>
      <c r="L15" s="39"/>
    </row>
    <row r="16" spans="1:14">
      <c r="B16" s="1586" t="s">
        <v>554</v>
      </c>
      <c r="C16" s="1586"/>
      <c r="D16" s="1586"/>
      <c r="E16" s="150"/>
      <c r="F16" s="150"/>
      <c r="G16" s="150"/>
      <c r="H16" s="19"/>
      <c r="I16" s="19"/>
      <c r="J16" s="19"/>
      <c r="K16" s="114">
        <f>SUM(K13:K15)</f>
        <v>-0.33776432560250108</v>
      </c>
    </row>
    <row r="17" spans="2:12">
      <c r="B17" s="27" t="s">
        <v>379</v>
      </c>
      <c r="C17" s="27" t="s">
        <v>310</v>
      </c>
      <c r="D17" s="13"/>
      <c r="E17" s="13">
        <f>'Area Parameters'!G18</f>
        <v>0</v>
      </c>
      <c r="F17" s="13">
        <v>30</v>
      </c>
      <c r="G17" s="13">
        <v>20</v>
      </c>
      <c r="H17" s="151"/>
      <c r="I17" s="151"/>
      <c r="J17" s="151"/>
      <c r="K17" s="152">
        <f>((F17*H17*I17*J17)-F17)/G17*E17</f>
        <v>0</v>
      </c>
    </row>
    <row r="18" spans="2:12">
      <c r="B18" s="27" t="s">
        <v>310</v>
      </c>
      <c r="C18" s="27" t="s">
        <v>379</v>
      </c>
      <c r="D18" s="13"/>
      <c r="E18" s="13">
        <f>'Area Parameters'!G19</f>
        <v>0</v>
      </c>
      <c r="F18" s="13">
        <v>40</v>
      </c>
      <c r="G18" s="13">
        <v>20</v>
      </c>
      <c r="H18" s="151"/>
      <c r="I18" s="151"/>
      <c r="J18" s="151"/>
      <c r="K18" s="152">
        <f>((F18*H18*I18*J18)-F18)/G18*E18</f>
        <v>0</v>
      </c>
    </row>
    <row r="19" spans="2:12">
      <c r="B19" s="1587" t="s">
        <v>132</v>
      </c>
      <c r="C19" s="1588"/>
      <c r="D19" s="1588"/>
      <c r="E19" s="1588"/>
      <c r="F19" s="1588"/>
      <c r="G19" s="1588"/>
      <c r="H19" s="1588"/>
      <c r="I19" s="1588"/>
      <c r="J19" s="1589"/>
      <c r="K19" s="116">
        <f>K16+SUM(K17:K18)</f>
        <v>-0.33776432560250108</v>
      </c>
      <c r="L19" t="s">
        <v>1404</v>
      </c>
    </row>
    <row r="22" spans="2:12">
      <c r="B22" t="s">
        <v>331</v>
      </c>
    </row>
    <row r="23" spans="2:12">
      <c r="B23" s="1593" t="s">
        <v>254</v>
      </c>
      <c r="C23" s="1595"/>
      <c r="D23" s="26" t="s">
        <v>295</v>
      </c>
      <c r="E23" s="1593" t="s">
        <v>337</v>
      </c>
      <c r="F23" s="1594"/>
      <c r="G23" s="1595"/>
    </row>
    <row r="24" spans="2:12" ht="30" customHeight="1">
      <c r="B24" s="1523" t="s">
        <v>297</v>
      </c>
      <c r="C24" s="1525"/>
      <c r="D24" s="1528" t="s">
        <v>601</v>
      </c>
      <c r="E24" s="24" t="s">
        <v>332</v>
      </c>
      <c r="F24" s="24" t="s">
        <v>335</v>
      </c>
      <c r="G24" s="24" t="s">
        <v>336</v>
      </c>
    </row>
    <row r="25" spans="2:12" ht="15" customHeight="1">
      <c r="B25" s="1528" t="s">
        <v>299</v>
      </c>
      <c r="C25" s="1528" t="s">
        <v>298</v>
      </c>
      <c r="D25" s="1537"/>
      <c r="E25" s="24" t="s">
        <v>215</v>
      </c>
      <c r="F25" s="24" t="s">
        <v>302</v>
      </c>
      <c r="G25" s="24" t="s">
        <v>320</v>
      </c>
    </row>
    <row r="26" spans="2:12" ht="63">
      <c r="B26" s="1537"/>
      <c r="C26" s="1537"/>
      <c r="D26" s="1537"/>
      <c r="E26" s="24"/>
      <c r="F26" s="24" t="s">
        <v>338</v>
      </c>
      <c r="G26" s="24" t="s">
        <v>334</v>
      </c>
    </row>
    <row r="27" spans="2:12">
      <c r="B27" s="1529"/>
      <c r="C27" s="1529"/>
      <c r="D27" s="1529"/>
      <c r="E27" s="24" t="s">
        <v>144</v>
      </c>
      <c r="F27" s="24" t="s">
        <v>0</v>
      </c>
      <c r="G27" s="24" t="s">
        <v>333</v>
      </c>
    </row>
    <row r="28" spans="2:12">
      <c r="B28" s="1530" t="s">
        <v>310</v>
      </c>
      <c r="C28" s="1530" t="s">
        <v>310</v>
      </c>
      <c r="D28" s="13" t="s">
        <v>98</v>
      </c>
      <c r="E28" s="24"/>
      <c r="F28" s="24"/>
      <c r="G28" s="24">
        <f>E28*F28</f>
        <v>0</v>
      </c>
    </row>
    <row r="29" spans="2:12">
      <c r="B29" s="1599"/>
      <c r="C29" s="1599"/>
      <c r="D29" s="13" t="s">
        <v>99</v>
      </c>
      <c r="E29" s="24"/>
      <c r="F29" s="24"/>
      <c r="G29" s="24">
        <f>E29*F29</f>
        <v>0</v>
      </c>
    </row>
    <row r="30" spans="2:12">
      <c r="B30" s="1600"/>
      <c r="C30" s="1600"/>
      <c r="D30" s="13" t="s">
        <v>100</v>
      </c>
      <c r="E30" s="24"/>
      <c r="F30" s="24"/>
      <c r="G30" s="24">
        <f>E30*F30</f>
        <v>0</v>
      </c>
    </row>
    <row r="31" spans="2:12">
      <c r="B31" s="1596" t="s">
        <v>127</v>
      </c>
      <c r="C31" s="1597"/>
      <c r="D31" s="1598"/>
      <c r="E31" s="26"/>
      <c r="F31" s="24"/>
      <c r="G31" s="24">
        <f>SUM(G28:G30)</f>
        <v>0</v>
      </c>
    </row>
    <row r="35" spans="1:7">
      <c r="A35" t="s">
        <v>340</v>
      </c>
    </row>
    <row r="37" spans="1:7">
      <c r="B37" t="s">
        <v>341</v>
      </c>
    </row>
    <row r="39" spans="1:7">
      <c r="B39" s="1593" t="s">
        <v>254</v>
      </c>
      <c r="C39" s="1595"/>
      <c r="D39" s="25"/>
      <c r="E39" s="26"/>
      <c r="F39" s="24"/>
      <c r="G39" s="67" t="s">
        <v>348</v>
      </c>
    </row>
    <row r="40" spans="1:7" ht="47.25">
      <c r="B40" s="1593" t="s">
        <v>297</v>
      </c>
      <c r="C40" s="1595"/>
      <c r="D40" s="24" t="s">
        <v>311</v>
      </c>
      <c r="E40" s="24" t="s">
        <v>336</v>
      </c>
      <c r="F40" s="24" t="s">
        <v>342</v>
      </c>
      <c r="G40" s="31" t="s">
        <v>345</v>
      </c>
    </row>
    <row r="41" spans="1:7">
      <c r="B41" s="1590" t="s">
        <v>299</v>
      </c>
      <c r="C41" s="1590" t="s">
        <v>298</v>
      </c>
      <c r="D41" s="24" t="s">
        <v>320</v>
      </c>
      <c r="E41" s="24" t="s">
        <v>320</v>
      </c>
      <c r="F41" s="24" t="s">
        <v>320</v>
      </c>
      <c r="G41" s="31" t="s">
        <v>320</v>
      </c>
    </row>
    <row r="42" spans="1:7" ht="31.5">
      <c r="B42" s="1591"/>
      <c r="C42" s="1591"/>
      <c r="D42" s="20" t="s">
        <v>329</v>
      </c>
      <c r="E42" s="24" t="s">
        <v>334</v>
      </c>
      <c r="F42" s="24" t="s">
        <v>343</v>
      </c>
      <c r="G42" s="31" t="s">
        <v>347</v>
      </c>
    </row>
    <row r="43" spans="1:7">
      <c r="B43" s="1592"/>
      <c r="C43" s="1592"/>
      <c r="D43" s="20" t="s">
        <v>328</v>
      </c>
      <c r="E43" s="24" t="s">
        <v>333</v>
      </c>
      <c r="F43" s="24" t="s">
        <v>344</v>
      </c>
      <c r="G43" s="31" t="s">
        <v>346</v>
      </c>
    </row>
    <row r="44" spans="1:7">
      <c r="B44" s="25" t="s">
        <v>310</v>
      </c>
      <c r="C44" s="25" t="s">
        <v>310</v>
      </c>
      <c r="D44" s="40">
        <f>K16</f>
        <v>-0.33776432560250108</v>
      </c>
      <c r="E44" s="40">
        <f>G31</f>
        <v>0</v>
      </c>
      <c r="F44" s="40">
        <v>0</v>
      </c>
      <c r="G44" s="47">
        <f>D44-E44+F44</f>
        <v>-0.33776432560250108</v>
      </c>
    </row>
    <row r="45" spans="1:7" s="1224" customFormat="1">
      <c r="B45" s="1230"/>
      <c r="C45" s="1230"/>
      <c r="D45" s="1231"/>
      <c r="E45" s="1231"/>
      <c r="F45" s="1231"/>
      <c r="G45" s="1232"/>
    </row>
    <row r="46" spans="1:7">
      <c r="D46" s="12" t="s">
        <v>1741</v>
      </c>
      <c r="E46" s="1233" t="s">
        <v>1742</v>
      </c>
      <c r="G46" s="1234" t="s">
        <v>1743</v>
      </c>
    </row>
    <row r="47" spans="1:7">
      <c r="B47" t="s">
        <v>1740</v>
      </c>
      <c r="D47" s="1235">
        <f>Biomass!Q28</f>
        <v>0</v>
      </c>
      <c r="E47" s="1235">
        <f>D47/2</f>
        <v>0</v>
      </c>
      <c r="F47" s="1223"/>
      <c r="G47" s="8">
        <f>E47/1000</f>
        <v>0</v>
      </c>
    </row>
    <row r="49" spans="7:7">
      <c r="G49" s="1234" t="s">
        <v>1744</v>
      </c>
    </row>
    <row r="50" spans="7:7">
      <c r="G50" s="1236">
        <f>G44+G47+'Trees-Carbon'!P9</f>
        <v>-0.1494665100563064</v>
      </c>
    </row>
    <row r="53" spans="7:7" ht="31.5" customHeight="1"/>
    <row r="58" spans="7:7" ht="27" customHeight="1"/>
    <row r="60" spans="7:7" ht="31.5" customHeight="1"/>
    <row r="69" ht="15.75" customHeight="1"/>
    <row r="89" ht="15.75" customHeight="1"/>
    <row r="93" ht="15.75" customHeight="1"/>
    <row r="98" ht="57" customHeight="1"/>
    <row r="99" ht="31.5" customHeight="1"/>
    <row r="102" ht="24" customHeight="1"/>
    <row r="103" ht="36" customHeight="1"/>
    <row r="108" ht="15.75" customHeight="1"/>
    <row r="111" ht="46.5" customHeight="1"/>
    <row r="112" ht="59.25" customHeight="1"/>
    <row r="113" ht="96.75" customHeight="1"/>
  </sheetData>
  <mergeCells count="21">
    <mergeCell ref="E8:K8"/>
    <mergeCell ref="B8:C8"/>
    <mergeCell ref="B9:C9"/>
    <mergeCell ref="D9:D12"/>
    <mergeCell ref="B10:B12"/>
    <mergeCell ref="C10:C12"/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30"/>
  <sheetViews>
    <sheetView topLeftCell="A10" workbookViewId="0">
      <selection activeCell="D21" sqref="D21"/>
    </sheetView>
  </sheetViews>
  <sheetFormatPr defaultColWidth="11" defaultRowHeight="15.75"/>
  <cols>
    <col min="2" max="2" width="21.875" customWidth="1"/>
    <col min="5" max="5" width="15.375" customWidth="1"/>
    <col min="6" max="6" width="21.875" customWidth="1"/>
    <col min="12" max="12" width="14.625" customWidth="1"/>
  </cols>
  <sheetData>
    <row r="2" spans="1:8" s="72" customFormat="1">
      <c r="A2" s="72" t="s">
        <v>1403</v>
      </c>
    </row>
    <row r="4" spans="1:8">
      <c r="B4" t="s">
        <v>97</v>
      </c>
    </row>
    <row r="5" spans="1:8">
      <c r="B5" s="1604" t="s">
        <v>254</v>
      </c>
      <c r="C5" s="1604"/>
      <c r="D5" s="26" t="s">
        <v>295</v>
      </c>
      <c r="E5" s="1593" t="s">
        <v>296</v>
      </c>
      <c r="F5" s="1594"/>
      <c r="G5" s="1594"/>
      <c r="H5" s="1595"/>
    </row>
    <row r="6" spans="1:8" ht="110.25">
      <c r="B6" s="1527" t="s">
        <v>297</v>
      </c>
      <c r="C6" s="1527"/>
      <c r="D6" s="1527" t="s">
        <v>167</v>
      </c>
      <c r="E6" s="20" t="s">
        <v>300</v>
      </c>
      <c r="F6" s="20" t="s">
        <v>301</v>
      </c>
      <c r="G6" s="20" t="s">
        <v>307</v>
      </c>
      <c r="H6" s="20" t="s">
        <v>1403</v>
      </c>
    </row>
    <row r="7" spans="1:8" ht="31.5">
      <c r="B7" s="1527" t="s">
        <v>299</v>
      </c>
      <c r="C7" s="1527" t="s">
        <v>298</v>
      </c>
      <c r="D7" s="1527"/>
      <c r="E7" s="20" t="s">
        <v>215</v>
      </c>
      <c r="F7" s="20" t="s">
        <v>302</v>
      </c>
      <c r="G7" s="20" t="s">
        <v>302</v>
      </c>
      <c r="H7" s="20" t="s">
        <v>308</v>
      </c>
    </row>
    <row r="8" spans="1:8" ht="31.5">
      <c r="B8" s="1527"/>
      <c r="C8" s="1527"/>
      <c r="D8" s="1527"/>
      <c r="E8" s="20"/>
      <c r="F8" s="20" t="s">
        <v>303</v>
      </c>
      <c r="G8" s="20" t="s">
        <v>303</v>
      </c>
      <c r="H8" s="20" t="s">
        <v>309</v>
      </c>
    </row>
    <row r="9" spans="1:8">
      <c r="B9" s="1527"/>
      <c r="C9" s="1527"/>
      <c r="D9" s="1527"/>
      <c r="E9" s="20" t="s">
        <v>144</v>
      </c>
      <c r="F9" s="38" t="s">
        <v>305</v>
      </c>
      <c r="G9" s="20" t="s">
        <v>306</v>
      </c>
      <c r="H9" s="20" t="s">
        <v>304</v>
      </c>
    </row>
    <row r="10" spans="1:8">
      <c r="B10" s="1526" t="s">
        <v>310</v>
      </c>
      <c r="C10" s="1526" t="s">
        <v>310</v>
      </c>
      <c r="D10" s="13" t="s">
        <v>98</v>
      </c>
      <c r="E10" s="40">
        <f>'Land requirements'!I11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526"/>
      <c r="C11" s="1526"/>
      <c r="D11" s="13" t="s">
        <v>99</v>
      </c>
      <c r="E11" s="40"/>
      <c r="F11" s="40"/>
      <c r="G11" s="40"/>
      <c r="H11" s="40">
        <f>E11*(F11-G11)</f>
        <v>0</v>
      </c>
    </row>
    <row r="12" spans="1:8">
      <c r="B12" s="1526"/>
      <c r="C12" s="1526"/>
      <c r="D12" s="13" t="s">
        <v>100</v>
      </c>
      <c r="E12" s="40"/>
      <c r="F12" s="40"/>
      <c r="G12" s="40"/>
      <c r="H12" s="40">
        <f>E12*(F12-G12)</f>
        <v>0</v>
      </c>
    </row>
    <row r="13" spans="1:8">
      <c r="B13" s="1605" t="s">
        <v>127</v>
      </c>
      <c r="C13" s="1605"/>
      <c r="D13" s="1605"/>
      <c r="E13" s="19"/>
      <c r="F13" s="19"/>
      <c r="G13" s="19"/>
      <c r="H13" s="40">
        <f>SUM(H10:H12)</f>
        <v>0</v>
      </c>
    </row>
    <row r="16" spans="1:8">
      <c r="A16" t="s">
        <v>826</v>
      </c>
      <c r="B16" t="s">
        <v>482</v>
      </c>
    </row>
    <row r="17" spans="2:19" s="30" customFormat="1" ht="78.75">
      <c r="B17" s="1528" t="s">
        <v>465</v>
      </c>
      <c r="C17" s="87" t="s">
        <v>1345</v>
      </c>
      <c r="D17" s="24" t="s">
        <v>1392</v>
      </c>
      <c r="E17" s="24" t="s">
        <v>466</v>
      </c>
      <c r="F17" s="24" t="s">
        <v>483</v>
      </c>
      <c r="G17" s="24" t="s">
        <v>484</v>
      </c>
      <c r="H17" s="24" t="s">
        <v>471</v>
      </c>
      <c r="I17" s="24" t="s">
        <v>472</v>
      </c>
      <c r="J17" s="24" t="s">
        <v>1393</v>
      </c>
      <c r="K17" s="24" t="s">
        <v>1394</v>
      </c>
      <c r="L17" s="113" t="s">
        <v>1401</v>
      </c>
      <c r="M17" s="157" t="s">
        <v>660</v>
      </c>
      <c r="N17" s="157" t="s">
        <v>660</v>
      </c>
      <c r="O17" s="113" t="s">
        <v>1402</v>
      </c>
      <c r="P17" s="157" t="s">
        <v>659</v>
      </c>
      <c r="Q17" s="24" t="s">
        <v>604</v>
      </c>
      <c r="R17" s="24" t="s">
        <v>658</v>
      </c>
      <c r="S17"/>
    </row>
    <row r="18" spans="2:19" ht="31.5">
      <c r="B18" s="1537"/>
      <c r="C18" s="785" t="s">
        <v>126</v>
      </c>
      <c r="D18" s="24" t="s">
        <v>468</v>
      </c>
      <c r="E18" s="24" t="s">
        <v>469</v>
      </c>
      <c r="F18" s="24" t="s">
        <v>470</v>
      </c>
      <c r="G18" s="24" t="s">
        <v>479</v>
      </c>
      <c r="H18" s="24" t="s">
        <v>485</v>
      </c>
      <c r="I18" s="27" t="s">
        <v>474</v>
      </c>
      <c r="J18" s="24" t="s">
        <v>1395</v>
      </c>
      <c r="K18" s="24" t="s">
        <v>825</v>
      </c>
      <c r="L18" s="113" t="s">
        <v>821</v>
      </c>
      <c r="M18" s="157" t="s">
        <v>1395</v>
      </c>
      <c r="N18" s="157" t="s">
        <v>661</v>
      </c>
      <c r="O18" s="113" t="s">
        <v>1344</v>
      </c>
      <c r="P18" s="157" t="s">
        <v>822</v>
      </c>
      <c r="Q18" s="24" t="s">
        <v>825</v>
      </c>
      <c r="R18" s="24" t="s">
        <v>824</v>
      </c>
    </row>
    <row r="19" spans="2:19" ht="63">
      <c r="B19" s="1529"/>
      <c r="C19" s="34"/>
      <c r="D19" s="24"/>
      <c r="E19" s="24" t="s">
        <v>602</v>
      </c>
      <c r="F19" s="24" t="s">
        <v>463</v>
      </c>
      <c r="G19" s="24" t="s">
        <v>481</v>
      </c>
      <c r="H19" s="24"/>
      <c r="I19" s="24" t="s">
        <v>476</v>
      </c>
      <c r="J19" s="24"/>
      <c r="K19" s="24"/>
      <c r="L19" s="113"/>
      <c r="M19" s="157"/>
      <c r="N19" s="157"/>
      <c r="O19" s="113"/>
      <c r="P19" s="157"/>
      <c r="Q19" s="24" t="s">
        <v>605</v>
      </c>
      <c r="R19" s="24" t="s">
        <v>478</v>
      </c>
    </row>
    <row r="20" spans="2:19" ht="31.5">
      <c r="B20" s="24" t="s">
        <v>473</v>
      </c>
      <c r="C20" s="24"/>
      <c r="D20" s="24" t="s">
        <v>477</v>
      </c>
      <c r="E20" s="24" t="s">
        <v>467</v>
      </c>
      <c r="F20" s="24" t="s">
        <v>480</v>
      </c>
      <c r="G20" s="27" t="s">
        <v>462</v>
      </c>
      <c r="H20" s="24" t="s">
        <v>464</v>
      </c>
      <c r="I20" s="27" t="s">
        <v>475</v>
      </c>
      <c r="J20" s="24" t="s">
        <v>820</v>
      </c>
      <c r="K20" s="24"/>
      <c r="L20" s="113"/>
      <c r="M20" s="157" t="s">
        <v>823</v>
      </c>
      <c r="N20" s="157" t="s">
        <v>823</v>
      </c>
      <c r="O20" s="113"/>
      <c r="P20" s="157" t="s">
        <v>603</v>
      </c>
      <c r="Q20" s="24" t="s">
        <v>606</v>
      </c>
      <c r="R20" s="24" t="s">
        <v>606</v>
      </c>
    </row>
    <row r="21" spans="2:19">
      <c r="B21" s="24" t="str">
        <f>'Land requirements'!B4</f>
        <v>Purchased</v>
      </c>
      <c r="C21" s="45">
        <f>'Land requirements'!I4</f>
        <v>0</v>
      </c>
      <c r="D21" s="24" t="str">
        <f>IF(VLOOKUP(B21,'Crop parameters'!$A$2:$Z$43,23)&gt;0,VLOOKUP(B21,'Crop parameters'!$A$2:$Z$43,23),"")</f>
        <v/>
      </c>
      <c r="E21" s="2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24" t="str">
        <f>IF(VLOOKUP(B21,'Crop parameters'!$A$2:$Z$43,25)&gt;0,VLOOKUP(B21,'Crop parameters'!$A$2:$Z$43,25),"")</f>
        <v/>
      </c>
      <c r="M21" s="158">
        <f>IFERROR(L21*H21*D21,0)</f>
        <v>0</v>
      </c>
      <c r="N21" s="158">
        <f>M21*C21</f>
        <v>0</v>
      </c>
      <c r="O21" s="24" t="str">
        <f>IF(VLOOKUP(B21,'Crop parameters'!$A$2:$Z$43,26)&gt;0,VLOOKUP(B21,'Crop parameters'!$A$2:$Z$43,26),"")</f>
        <v/>
      </c>
      <c r="P21" s="158">
        <f>IFERROR(O21*H21,0)</f>
        <v>0</v>
      </c>
      <c r="Q21" s="120">
        <f>N21-P21</f>
        <v>0</v>
      </c>
      <c r="R21" s="120">
        <f>Q21*(44/12)</f>
        <v>0</v>
      </c>
    </row>
    <row r="22" spans="2:19">
      <c r="B22" s="24" t="str">
        <f>'Land requirements'!B5</f>
        <v>Pennisetum purpureum</v>
      </c>
      <c r="C22" s="45">
        <f>'Land requirements'!I5</f>
        <v>0</v>
      </c>
      <c r="D22" s="24" t="str">
        <f>IF(VLOOKUP(B22,'Crop parameters'!$A$2:$Z$43,23)&gt;0,VLOOKUP(B22,'Crop parameters'!$A$2:$Z$43,23),"")</f>
        <v/>
      </c>
      <c r="E22" s="2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24" t="str">
        <f>IF(VLOOKUP(B22,'Crop parameters'!$A$2:$Z$43,25)&gt;0,VLOOKUP(B22,'Crop parameters'!$A$2:$Z$43,25),"")</f>
        <v/>
      </c>
      <c r="M22" s="158">
        <f t="shared" ref="M22:M27" si="5">IFERROR(L22*H22*D22,0)</f>
        <v>0</v>
      </c>
      <c r="N22" s="158">
        <f t="shared" ref="N22:N27" si="6">M22*C22</f>
        <v>0</v>
      </c>
      <c r="O22" s="24" t="str">
        <f>IF(VLOOKUP(B22,'Crop parameters'!$A$2:$Z$43,26)&gt;0,VLOOKUP(B22,'Crop parameters'!$A$2:$Z$43,26),"")</f>
        <v/>
      </c>
      <c r="P22" s="158">
        <f t="shared" ref="P22:P27" si="7">IFERROR(O22*H22,0)</f>
        <v>0</v>
      </c>
      <c r="Q22" s="120">
        <f t="shared" ref="Q22:Q27" si="8">N22-P22</f>
        <v>0</v>
      </c>
      <c r="R22" s="120">
        <f t="shared" ref="R22:R27" si="9">Q22*(44/12)</f>
        <v>0</v>
      </c>
    </row>
    <row r="23" spans="2:19">
      <c r="B23" s="24" t="str">
        <f>'Land requirements'!B6</f>
        <v>Rhodes</v>
      </c>
      <c r="C23" s="45">
        <f>'Land requirements'!I6</f>
        <v>0</v>
      </c>
      <c r="D23" s="24" t="str">
        <f>IF(VLOOKUP(B23,'Crop parameters'!$A$2:$Z$43,23)&gt;0,VLOOKUP(B23,'Crop parameters'!$A$2:$Z$43,23),"")</f>
        <v/>
      </c>
      <c r="E23" s="2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24" t="str">
        <f>IF(VLOOKUP(B23,'Crop parameters'!$A$2:$Z$43,25)&gt;0,VLOOKUP(B23,'Crop parameters'!$A$2:$Z$43,25),"")</f>
        <v/>
      </c>
      <c r="M23" s="158">
        <f t="shared" si="5"/>
        <v>0</v>
      </c>
      <c r="N23" s="158">
        <f t="shared" si="6"/>
        <v>0</v>
      </c>
      <c r="O23" s="24" t="str">
        <f>IF(VLOOKUP(B23,'Crop parameters'!$A$2:$Z$43,26)&gt;0,VLOOKUP(B23,'Crop parameters'!$A$2:$Z$43,26),"")</f>
        <v/>
      </c>
      <c r="P23" s="158">
        <f t="shared" si="7"/>
        <v>0</v>
      </c>
      <c r="Q23" s="120">
        <f t="shared" si="8"/>
        <v>0</v>
      </c>
      <c r="R23" s="120">
        <f t="shared" si="9"/>
        <v>0</v>
      </c>
    </row>
    <row r="24" spans="2:19">
      <c r="B24" s="24" t="str">
        <f>'Land requirements'!B7</f>
        <v>Guatemala</v>
      </c>
      <c r="C24" s="45">
        <f>'Land requirements'!I7</f>
        <v>0</v>
      </c>
      <c r="D24" s="24" t="str">
        <f>IF(VLOOKUP(B24,'Crop parameters'!$A$2:$Z$43,23)&gt;0,VLOOKUP(B24,'Crop parameters'!$A$2:$Z$43,23),"")</f>
        <v/>
      </c>
      <c r="E24" s="2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24" t="str">
        <f>IF(VLOOKUP(B24,'Crop parameters'!$A$2:$Z$43,25)&gt;0,VLOOKUP(B24,'Crop parameters'!$A$2:$Z$43,25),"")</f>
        <v/>
      </c>
      <c r="M24" s="158">
        <f t="shared" si="5"/>
        <v>0</v>
      </c>
      <c r="N24" s="158">
        <f t="shared" si="6"/>
        <v>0</v>
      </c>
      <c r="O24" s="24" t="str">
        <f>IF(VLOOKUP(B24,'Crop parameters'!$A$2:$Z$43,26)&gt;0,VLOOKUP(B24,'Crop parameters'!$A$2:$Z$43,26),"")</f>
        <v/>
      </c>
      <c r="P24" s="158">
        <f t="shared" si="7"/>
        <v>0</v>
      </c>
      <c r="Q24" s="120">
        <f t="shared" si="8"/>
        <v>0</v>
      </c>
      <c r="R24" s="120">
        <f t="shared" si="9"/>
        <v>0</v>
      </c>
    </row>
    <row r="25" spans="2:19">
      <c r="B25" s="24" t="str">
        <f>'Land requirements'!B8</f>
        <v>Maize</v>
      </c>
      <c r="C25" s="45">
        <f>'Land requirements'!I8</f>
        <v>0</v>
      </c>
      <c r="D25" s="24" t="str">
        <f>IF(VLOOKUP(B25,'Crop parameters'!$A$2:$Z$43,23)&gt;0,VLOOKUP(B25,'Crop parameters'!$A$2:$Z$43,23),"")</f>
        <v/>
      </c>
      <c r="E25" s="2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24" t="str">
        <f>IF(VLOOKUP(B25,'Crop parameters'!$A$2:$Z$43,25)&gt;0,VLOOKUP(B25,'Crop parameters'!$A$2:$Z$43,25),"")</f>
        <v/>
      </c>
      <c r="M25" s="158">
        <f t="shared" si="5"/>
        <v>0</v>
      </c>
      <c r="N25" s="158">
        <f t="shared" si="6"/>
        <v>0</v>
      </c>
      <c r="O25" s="24" t="str">
        <f>IF(VLOOKUP(B25,'Crop parameters'!$A$2:$Z$43,26)&gt;0,VLOOKUP(B25,'Crop parameters'!$A$2:$Z$43,26),"")</f>
        <v/>
      </c>
      <c r="P25" s="158">
        <f t="shared" si="7"/>
        <v>0</v>
      </c>
      <c r="Q25" s="120">
        <f t="shared" si="8"/>
        <v>0</v>
      </c>
      <c r="R25" s="120">
        <f t="shared" si="9"/>
        <v>0</v>
      </c>
    </row>
    <row r="26" spans="2:19">
      <c r="B26" s="24" t="str">
        <f>'Land requirements'!B9</f>
        <v>Natural pasture</v>
      </c>
      <c r="C26" s="45">
        <f>'Land requirements'!I9</f>
        <v>0</v>
      </c>
      <c r="D26" s="24" t="str">
        <f>IF(VLOOKUP(B26,'Crop parameters'!$A$2:$Z$43,23)&gt;0,VLOOKUP(B26,'Crop parameters'!$A$2:$Z$43,23),"")</f>
        <v/>
      </c>
      <c r="E26" s="2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24" t="str">
        <f>IF(VLOOKUP(B26,'Crop parameters'!$A$2:$Z$43,25)&gt;0,VLOOKUP(B26,'Crop parameters'!$A$2:$Z$43,25),"")</f>
        <v/>
      </c>
      <c r="M26" s="158">
        <f t="shared" si="5"/>
        <v>0</v>
      </c>
      <c r="N26" s="158">
        <f t="shared" si="6"/>
        <v>0</v>
      </c>
      <c r="O26" s="24" t="str">
        <f>IF(VLOOKUP(B26,'Crop parameters'!$A$2:$Z$43,26)&gt;0,VLOOKUP(B26,'Crop parameters'!$A$2:$Z$43,26),"")</f>
        <v/>
      </c>
      <c r="P26" s="158">
        <f t="shared" si="7"/>
        <v>0</v>
      </c>
      <c r="Q26" s="120">
        <f t="shared" si="8"/>
        <v>0</v>
      </c>
      <c r="R26" s="120">
        <f t="shared" si="9"/>
        <v>0</v>
      </c>
    </row>
    <row r="27" spans="2:19" ht="17.25" customHeight="1">
      <c r="B27" s="24" t="str">
        <f>'Land requirements'!B10</f>
        <v>N/A</v>
      </c>
      <c r="C27" s="45">
        <f>'Land requirements'!I10</f>
        <v>0</v>
      </c>
      <c r="D27" s="24" t="str">
        <f>IF(VLOOKUP(B27,'Crop parameters'!$A$2:$Z$43,23)&gt;0,VLOOKUP(B27,'Crop parameters'!$A$2:$Z$43,23),"")</f>
        <v/>
      </c>
      <c r="E27" s="2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24" t="str">
        <f>IF(VLOOKUP(B27,'Crop parameters'!$A$2:$Z$43,25)&gt;0,VLOOKUP(B27,'Crop parameters'!$A$2:$Z$43,25),"")</f>
        <v/>
      </c>
      <c r="M27" s="158">
        <f t="shared" si="5"/>
        <v>0</v>
      </c>
      <c r="N27" s="158">
        <f t="shared" si="6"/>
        <v>0</v>
      </c>
      <c r="O27" s="24" t="str">
        <f>IF(VLOOKUP(B27,'Crop parameters'!$A$2:$Z$43,26)&gt;0,VLOOKUP(B27,'Crop parameters'!$A$2:$Z$43,26),"")</f>
        <v/>
      </c>
      <c r="P27" s="158">
        <f t="shared" si="7"/>
        <v>0</v>
      </c>
      <c r="Q27" s="120">
        <f t="shared" si="8"/>
        <v>0</v>
      </c>
      <c r="R27" s="120">
        <f t="shared" si="9"/>
        <v>0</v>
      </c>
    </row>
    <row r="28" spans="2:19">
      <c r="B28" s="16" t="s">
        <v>209</v>
      </c>
      <c r="C28" s="124"/>
      <c r="D28" s="124"/>
      <c r="E28" s="124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4"/>
      <c r="M28" s="124"/>
      <c r="N28" s="124"/>
      <c r="O28" s="822"/>
      <c r="P28" s="159" t="s">
        <v>1692</v>
      </c>
      <c r="Q28" s="161">
        <f>SUM(Q21:Q27)</f>
        <v>0</v>
      </c>
      <c r="R28" s="161">
        <f>SUM(R21:R27)</f>
        <v>0</v>
      </c>
    </row>
    <row r="30" spans="2:19">
      <c r="Q30" s="1249">
        <f>'Trees-Carbon'!N9</f>
        <v>0.75319126218477872</v>
      </c>
      <c r="R30" s="1249">
        <f>'Trees-Carbon'!O9</f>
        <v>2.7617012946775219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topLeftCell="A16" workbookViewId="0">
      <selection activeCell="M29" sqref="M29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7.25" customWidth="1"/>
  </cols>
  <sheetData>
    <row r="1" spans="1:17" s="1436" customFormat="1"/>
    <row r="2" spans="1:17" s="2" customFormat="1" ht="51">
      <c r="A2" s="1606" t="s">
        <v>884</v>
      </c>
      <c r="B2" s="1606" t="s">
        <v>858</v>
      </c>
      <c r="C2" s="185" t="s">
        <v>776</v>
      </c>
      <c r="D2" s="185" t="s">
        <v>777</v>
      </c>
      <c r="E2" s="185" t="s">
        <v>778</v>
      </c>
      <c r="F2" s="185" t="s">
        <v>779</v>
      </c>
      <c r="G2" s="185" t="s">
        <v>780</v>
      </c>
      <c r="H2" s="186" t="s">
        <v>929</v>
      </c>
      <c r="I2" s="186" t="s">
        <v>929</v>
      </c>
      <c r="J2" s="217" t="s">
        <v>966</v>
      </c>
      <c r="M2" s="184"/>
      <c r="N2" s="184"/>
      <c r="O2" s="184"/>
      <c r="P2" s="184" t="s">
        <v>819</v>
      </c>
      <c r="Q2" s="184" t="s">
        <v>926</v>
      </c>
    </row>
    <row r="3" spans="1:17" ht="50.25" customHeight="1">
      <c r="A3" s="1606"/>
      <c r="B3" s="1606"/>
      <c r="C3" s="218" t="s">
        <v>781</v>
      </c>
      <c r="D3" s="218" t="s">
        <v>782</v>
      </c>
      <c r="E3" s="218" t="s">
        <v>783</v>
      </c>
      <c r="F3" s="218" t="s">
        <v>784</v>
      </c>
      <c r="G3" s="218" t="s">
        <v>785</v>
      </c>
      <c r="H3" s="218" t="s">
        <v>964</v>
      </c>
      <c r="I3" s="219" t="s">
        <v>965</v>
      </c>
      <c r="J3" s="216"/>
      <c r="M3" s="193" t="s">
        <v>967</v>
      </c>
      <c r="O3" s="197">
        <f>SUM(I4:I16)</f>
        <v>13.611134968312978</v>
      </c>
      <c r="P3" s="197">
        <f>SUM(I20:I32)</f>
        <v>0</v>
      </c>
      <c r="Q3" s="197">
        <f>O3+P3</f>
        <v>13.611134968312978</v>
      </c>
    </row>
    <row r="4" spans="1:17" ht="56.25">
      <c r="A4" s="13" t="str">
        <f>INPUTS!D73</f>
        <v>Purchased</v>
      </c>
      <c r="B4" s="13" t="str">
        <f>'Area Parameters'!D$4</f>
        <v>Lixisol</v>
      </c>
      <c r="C4" s="40">
        <f>0.55*('Area Parameters'!$D$2/'Area Parameters'!$D$3)-4.7</f>
        <v>105.30000000000001</v>
      </c>
      <c r="D4" s="13">
        <f>VLOOKUP('Area Parameters'!D$4,'Soil erosion parameters'!B$12:D$20,3,FALSE)</f>
        <v>0.25</v>
      </c>
      <c r="E4" s="40">
        <f>VLOOKUP(INPUTS!J73,'Soil erosion parameters'!$B$44:$H$48,MATCH(INPUTS!K73, 'Soil erosion parameters'!$B$44:$H$44,0), FALSE)</f>
        <v>5.34</v>
      </c>
      <c r="F4" s="40">
        <f>VLOOKUP(INPUTS!I73,'Soil erosion parameters'!B$23:C$36,2,FALSE)</f>
        <v>0.15</v>
      </c>
      <c r="G4" s="13">
        <v>0.8</v>
      </c>
      <c r="H4" s="40">
        <f t="shared" ref="H4:H16" si="0">IF(ISERROR(C4*D4*E4*F4*G4),0,(C4*D4*E4*F4*G4))</f>
        <v>16.869060000000001</v>
      </c>
      <c r="I4" s="393">
        <f>H4*'Land requirements'!F4*('N balance'!C$4/365)</f>
        <v>0</v>
      </c>
      <c r="M4" s="193" t="s">
        <v>982</v>
      </c>
      <c r="O4" s="197">
        <f>AVERAGEIF(H4:H16,"&lt;&gt;0")</f>
        <v>6.7476240000000001</v>
      </c>
      <c r="P4" s="197" t="e">
        <f>AVERAGEIF(H20:H32,"&lt;&gt;0")</f>
        <v>#DIV/0!</v>
      </c>
      <c r="Q4" s="197"/>
    </row>
    <row r="5" spans="1:17">
      <c r="A5" s="13" t="str">
        <f>INPUTS!D74</f>
        <v>Pennisetum purpureum</v>
      </c>
      <c r="B5" s="13" t="str">
        <f>'Area Parameters'!D$4</f>
        <v>Lixisol</v>
      </c>
      <c r="C5" s="40">
        <f>0.55*('Area Parameters'!$D$2/'Area Parameters'!$D$3)-4.7</f>
        <v>105.30000000000001</v>
      </c>
      <c r="D5" s="13">
        <f>VLOOKUP('Area Parameters'!D$4,'Soil erosion parameters'!B$12:D$20,3,FALSE)</f>
        <v>0.25</v>
      </c>
      <c r="E5" s="40">
        <f>VLOOKUP(INPUTS!J74,'Soil erosion parameters'!$B$44:$H$48,MATCH(INPUTS!K74, 'Soil erosion parameters'!$B$44:$H$44,0), FALSE)</f>
        <v>5.34</v>
      </c>
      <c r="F5" s="40">
        <f>VLOOKUP(INPUTS!I74,'Soil erosion parameters'!B$23:C$36,2,FALSE)</f>
        <v>0.01</v>
      </c>
      <c r="G5" s="13">
        <v>0.8</v>
      </c>
      <c r="H5" s="40">
        <f t="shared" si="0"/>
        <v>1.1246040000000002</v>
      </c>
      <c r="I5" s="393">
        <f>H5*'Land requirements'!F5*('N balance'!C$4/365)</f>
        <v>3.3678144066232131E-2</v>
      </c>
    </row>
    <row r="6" spans="1:17">
      <c r="A6" s="13" t="str">
        <f>INPUTS!D75</f>
        <v>Rhodes</v>
      </c>
      <c r="B6" s="13" t="str">
        <f>'Area Parameters'!D$4</f>
        <v>Lixisol</v>
      </c>
      <c r="C6" s="40">
        <f>0.55*('Area Parameters'!$D$2/'Area Parameters'!$D$3)-4.7</f>
        <v>105.30000000000001</v>
      </c>
      <c r="D6" s="13">
        <f>VLOOKUP('Area Parameters'!D$4,'Soil erosion parameters'!B$12:D$20,3,FALSE)</f>
        <v>0.25</v>
      </c>
      <c r="E6" s="40">
        <f>VLOOKUP(INPUTS!J75,'Soil erosion parameters'!$B$44:$H$48,MATCH(INPUTS!K75, 'Soil erosion parameters'!$B$44:$H$44,0), FALSE)</f>
        <v>5.34</v>
      </c>
      <c r="F6" s="40">
        <f>VLOOKUP(INPUTS!I75,'Soil erosion parameters'!B$23:C$36,2,FALSE)</f>
        <v>0.01</v>
      </c>
      <c r="G6" s="13">
        <v>0.8</v>
      </c>
      <c r="H6" s="40">
        <f t="shared" si="0"/>
        <v>1.1246040000000002</v>
      </c>
      <c r="I6" s="393">
        <f>H6*'Land requirements'!F6*('N balance'!C$4/365)</f>
        <v>0.22283240496551801</v>
      </c>
    </row>
    <row r="7" spans="1:17">
      <c r="A7" s="13" t="str">
        <f>INPUTS!D76</f>
        <v>Guatemala</v>
      </c>
      <c r="B7" s="13" t="str">
        <f>'Area Parameters'!D$4</f>
        <v>Lixisol</v>
      </c>
      <c r="C7" s="40">
        <f>0.55*('Area Parameters'!$D$2/'Area Parameters'!$D$3)-4.7</f>
        <v>105.30000000000001</v>
      </c>
      <c r="D7" s="13">
        <f>VLOOKUP('Area Parameters'!D$4,'Soil erosion parameters'!B$12:D$20,3,FALSE)</f>
        <v>0.25</v>
      </c>
      <c r="E7" s="40">
        <f>VLOOKUP(INPUTS!J76,'Soil erosion parameters'!$B$44:$H$48,MATCH(INPUTS!K76, 'Soil erosion parameters'!$B$44:$H$44,0), FALSE)</f>
        <v>5.34</v>
      </c>
      <c r="F7" s="40">
        <f>VLOOKUP(INPUTS!I76,'Soil erosion parameters'!B$23:C$36,2,FALSE)</f>
        <v>0.05</v>
      </c>
      <c r="G7" s="13">
        <v>0.8</v>
      </c>
      <c r="H7" s="40">
        <f t="shared" si="0"/>
        <v>5.6230200000000004</v>
      </c>
      <c r="I7" s="393">
        <f>H7*'Land requirements'!F7*('N balance'!C$4/365)</f>
        <v>0.36174115413161495</v>
      </c>
      <c r="O7" s="39"/>
    </row>
    <row r="8" spans="1:17">
      <c r="A8" s="13" t="str">
        <f>INPUTS!D77</f>
        <v>Maize</v>
      </c>
      <c r="B8" s="13" t="str">
        <f>'Area Parameters'!D$4</f>
        <v>Lixisol</v>
      </c>
      <c r="C8" s="40">
        <f>0.55*('Area Parameters'!$D$2/'Area Parameters'!$D$3)-4.7</f>
        <v>105.30000000000001</v>
      </c>
      <c r="D8" s="13">
        <f>VLOOKUP('Area Parameters'!D$4,'Soil erosion parameters'!B$12:D$20,3,FALSE)</f>
        <v>0.25</v>
      </c>
      <c r="E8" s="40">
        <f>VLOOKUP(INPUTS!J77,'Soil erosion parameters'!$B$44:$H$48,MATCH(INPUTS!K77, 'Soil erosion parameters'!$B$44:$H$44,0), FALSE)</f>
        <v>5.34</v>
      </c>
      <c r="F8" s="40">
        <f>VLOOKUP(INPUTS!I77,'Soil erosion parameters'!B$23:C$36,2,FALSE)</f>
        <v>0.1</v>
      </c>
      <c r="G8" s="13">
        <v>0.8</v>
      </c>
      <c r="H8" s="40">
        <f t="shared" si="0"/>
        <v>11.246040000000001</v>
      </c>
      <c r="I8" s="393">
        <f>H8*'Land requirements'!F8*('N balance'!C$4/365)</f>
        <v>10.22876242215896</v>
      </c>
    </row>
    <row r="9" spans="1:17">
      <c r="A9" s="13" t="str">
        <f>INPUTS!D78</f>
        <v>Natural pasture</v>
      </c>
      <c r="B9" s="13" t="str">
        <f>'Area Parameters'!D$4</f>
        <v>Lixisol</v>
      </c>
      <c r="C9" s="40">
        <f>0.55*('Area Parameters'!$D$2/'Area Parameters'!$D$3)-4.7</f>
        <v>105.30000000000001</v>
      </c>
      <c r="D9" s="13">
        <f>VLOOKUP('Area Parameters'!D$4,'Soil erosion parameters'!B$12:D$20,3,FALSE)</f>
        <v>0.25</v>
      </c>
      <c r="E9" s="40">
        <f>VLOOKUP(INPUTS!J78,'Soil erosion parameters'!$B$44:$H$48,MATCH(INPUTS!K78, 'Soil erosion parameters'!$B$44:$H$44,0), FALSE)</f>
        <v>5.34</v>
      </c>
      <c r="F9" s="40">
        <f>VLOOKUP(INPUTS!I78,'Soil erosion parameters'!B$23:C$36,2,FALSE)</f>
        <v>0.05</v>
      </c>
      <c r="G9" s="13">
        <v>0.8</v>
      </c>
      <c r="H9" s="40">
        <f t="shared" si="0"/>
        <v>5.6230200000000004</v>
      </c>
      <c r="I9" s="393">
        <f>H9*'Land requirements'!F9*('N balance'!C$4/365)</f>
        <v>2.7641208429906525</v>
      </c>
    </row>
    <row r="10" spans="1:17">
      <c r="A10" s="13" t="str">
        <f>INPUTS!D79</f>
        <v>N/A</v>
      </c>
      <c r="B10" s="13" t="str">
        <f>'Area Parameters'!D$4</f>
        <v>Lixisol</v>
      </c>
      <c r="C10" s="40">
        <f>0.55*('Area Parameters'!$D$2/'Area Parameters'!$D$3)-4.7</f>
        <v>105.30000000000001</v>
      </c>
      <c r="D10" s="13">
        <f>VLOOKUP('Area Parameters'!D$4,'Soil erosion parameters'!B$12:D$20,3,FALSE)</f>
        <v>0.25</v>
      </c>
      <c r="E10" s="40">
        <f>VLOOKUP(INPUTS!J79,'Soil erosion parameters'!$B$44:$H$48,MATCH(INPUTS!K79, 'Soil erosion parameters'!$B$44:$H$44,0), FALSE)</f>
        <v>5.34</v>
      </c>
      <c r="F10" s="40">
        <f>VLOOKUP(INPUTS!I79,'Soil erosion parameters'!B$23:C$36,2,FALSE)</f>
        <v>0.05</v>
      </c>
      <c r="G10" s="13">
        <v>0.8</v>
      </c>
      <c r="H10" s="40">
        <f t="shared" si="0"/>
        <v>5.6230200000000004</v>
      </c>
      <c r="I10" s="393">
        <f>H10*'Land requirements'!F10*('N balance'!C$4/365)</f>
        <v>0</v>
      </c>
    </row>
    <row r="11" spans="1:17">
      <c r="A11" s="13" t="e">
        <f>INPUTS!#REF!</f>
        <v>#REF!</v>
      </c>
      <c r="B11" s="13" t="str">
        <f>'Area Parameters'!D$4</f>
        <v>Lixisol</v>
      </c>
      <c r="C11" s="40">
        <f>0.55*('Area Parameters'!$D$2/'Area Parameters'!$D$3)-4.7</f>
        <v>105.30000000000001</v>
      </c>
      <c r="D11" s="13">
        <f>VLOOKUP('Area Parameters'!D$4,'Soil erosion parameters'!B$12:D$20,3,FALSE)</f>
        <v>0.25</v>
      </c>
      <c r="E11" s="40" t="s">
        <v>44</v>
      </c>
      <c r="F11" s="40"/>
      <c r="G11" s="13">
        <v>0.8</v>
      </c>
      <c r="H11" s="40">
        <f t="shared" si="0"/>
        <v>0</v>
      </c>
      <c r="I11" s="393">
        <f>H11*INPUTS!F79*('N balance'!C$4/365)</f>
        <v>0</v>
      </c>
    </row>
    <row r="12" spans="1:17">
      <c r="A12" s="13" t="e">
        <f>INPUTS!#REF!</f>
        <v>#REF!</v>
      </c>
      <c r="B12" s="13" t="str">
        <f>'Area Parameters'!D$4</f>
        <v>Lixisol</v>
      </c>
      <c r="C12" s="40">
        <f>0.55*('Area Parameters'!$D$2/'Area Parameters'!$D$3)-4.7</f>
        <v>105.30000000000001</v>
      </c>
      <c r="D12" s="13">
        <f>VLOOKUP('Area Parameters'!D$4,'Soil erosion parameters'!B$12:D$20,3,FALSE)</f>
        <v>0.25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93">
        <f>H12*INPUTS!F80*('N balance'!C$4/365)</f>
        <v>0</v>
      </c>
    </row>
    <row r="13" spans="1:17">
      <c r="A13" s="13" t="e">
        <f>INPUTS!#REF!</f>
        <v>#REF!</v>
      </c>
      <c r="B13" s="13" t="str">
        <f>'Area Parameters'!D$4</f>
        <v>Lixisol</v>
      </c>
      <c r="C13" s="40">
        <f>0.55*('Area Parameters'!$D$2/'Area Parameters'!$D$3)-4.7</f>
        <v>105.30000000000001</v>
      </c>
      <c r="D13" s="13">
        <f>VLOOKUP('Area Parameters'!D$4,'Soil erosion parameters'!B$12:D$20,3,FALSE)</f>
        <v>0.25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93">
        <f>H13*INPUTS!F81*('N balance'!C$4/365)</f>
        <v>0</v>
      </c>
    </row>
    <row r="14" spans="1:17">
      <c r="A14" s="13" t="e">
        <f>INPUTS!#REF!</f>
        <v>#REF!</v>
      </c>
      <c r="B14" s="13" t="str">
        <f>'Area Parameters'!D$4</f>
        <v>Lixisol</v>
      </c>
      <c r="C14" s="40">
        <f>0.55*('Area Parameters'!$D$2/'Area Parameters'!$D$3)-4.7</f>
        <v>105.30000000000001</v>
      </c>
      <c r="D14" s="13">
        <f>VLOOKUP('Area Parameters'!D$4,'Soil erosion parameters'!B$12:D$20,3,FALSE)</f>
        <v>0.25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93">
        <f>H14*INPUTS!F82*('N balance'!C$4/365)</f>
        <v>0</v>
      </c>
    </row>
    <row r="15" spans="1:17">
      <c r="A15" s="13" t="e">
        <f>INPUTS!#REF!</f>
        <v>#REF!</v>
      </c>
      <c r="B15" s="13" t="str">
        <f>'Area Parameters'!D$4</f>
        <v>Lixisol</v>
      </c>
      <c r="C15" s="40">
        <f>0.55*('Area Parameters'!$D$2/'Area Parameters'!$D$3)-4.7</f>
        <v>105.30000000000001</v>
      </c>
      <c r="D15" s="13">
        <f>VLOOKUP('Area Parameters'!D$4,'Soil erosion parameters'!B$12:D$20,3,FALSE)</f>
        <v>0.25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93">
        <f>H15*INPUTS!F83*('N balance'!C$4/365)</f>
        <v>0</v>
      </c>
    </row>
    <row r="16" spans="1:17">
      <c r="A16" s="13" t="e">
        <f>INPUTS!#REF!</f>
        <v>#REF!</v>
      </c>
      <c r="B16" s="13" t="str">
        <f>'Area Parameters'!D$4</f>
        <v>Lixisol</v>
      </c>
      <c r="C16" s="40">
        <f>0.55*('Area Parameters'!$D$2/'Area Parameters'!$D$3)-4.7</f>
        <v>105.30000000000001</v>
      </c>
      <c r="D16" s="13">
        <f>VLOOKUP('Area Parameters'!D$4,'Soil erosion parameters'!B$12:D$20,3,FALSE)</f>
        <v>0.25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93">
        <f>H16*INPUTS!F84*('N balance'!C$4/365)</f>
        <v>0</v>
      </c>
    </row>
    <row r="17" spans="1:9" s="1607" customFormat="1" ht="15"/>
    <row r="18" spans="1:9" s="396" customFormat="1" ht="60">
      <c r="A18" s="1608" t="s">
        <v>884</v>
      </c>
      <c r="B18" s="1608" t="s">
        <v>858</v>
      </c>
      <c r="C18" s="394" t="s">
        <v>776</v>
      </c>
      <c r="D18" s="394" t="s">
        <v>777</v>
      </c>
      <c r="E18" s="394" t="s">
        <v>778</v>
      </c>
      <c r="F18" s="394" t="s">
        <v>779</v>
      </c>
      <c r="G18" s="394" t="s">
        <v>780</v>
      </c>
      <c r="H18" s="395" t="s">
        <v>929</v>
      </c>
      <c r="I18" s="395" t="s">
        <v>929</v>
      </c>
    </row>
    <row r="19" spans="1:9" s="398" customFormat="1" ht="45">
      <c r="A19" s="1608"/>
      <c r="B19" s="1608"/>
      <c r="C19" s="397" t="s">
        <v>781</v>
      </c>
      <c r="D19" s="397" t="s">
        <v>782</v>
      </c>
      <c r="E19" s="397" t="s">
        <v>783</v>
      </c>
      <c r="F19" s="397" t="s">
        <v>784</v>
      </c>
      <c r="G19" s="397" t="s">
        <v>785</v>
      </c>
      <c r="H19" s="397" t="s">
        <v>964</v>
      </c>
      <c r="I19" s="397" t="s">
        <v>1127</v>
      </c>
    </row>
    <row r="20" spans="1:9" s="398" customFormat="1" ht="15">
      <c r="A20" s="399" t="str">
        <f>A4</f>
        <v>Purchased</v>
      </c>
      <c r="B20" s="399" t="str">
        <f>'Area Parameters'!D$4</f>
        <v>Lixisol</v>
      </c>
      <c r="C20" s="400">
        <f>0.55*('Area Parameters'!$D$2/'Area Parameters'!$D$3)-4.7</f>
        <v>105.30000000000001</v>
      </c>
      <c r="D20" s="399">
        <f>VLOOKUP('Area Parameters'!D$4,'Soil erosion parameters'!B$12:D$20,3,FALSE)</f>
        <v>0.25</v>
      </c>
      <c r="E20" s="399" t="e">
        <f>VLOOKUP(INPUTS!K95,'Soil erosion parameters'!$B$44:$H$48,MATCH(INPUTS!L95, 'Soil erosion parameters'!$B$44:$H$44,0), FALSE)</f>
        <v>#N/A</v>
      </c>
      <c r="F20" s="399" t="e">
        <f>VLOOKUP(INPUTS!AI64,'Soil erosion parameters'!B$23:C$36,2,FALSE)</f>
        <v>#N/A</v>
      </c>
      <c r="G20" s="399">
        <v>0.8</v>
      </c>
      <c r="H20" s="400">
        <f t="shared" ref="H20:H32" si="1">IF(ISERROR(C20*D20*E20*F20*G20),0,(C20*D20*E20*F20*G20))</f>
        <v>0</v>
      </c>
      <c r="I20" s="401">
        <f>H20*INPUTS!AI64*(1-('N balance'!C$4/365))</f>
        <v>0</v>
      </c>
    </row>
    <row r="21" spans="1:9" s="398" customFormat="1" ht="15">
      <c r="A21" s="399" t="str">
        <f t="shared" ref="A21:A26" si="2">A5</f>
        <v>Pennisetum purpureum</v>
      </c>
      <c r="B21" s="399" t="str">
        <f>'Area Parameters'!D$4</f>
        <v>Lixisol</v>
      </c>
      <c r="C21" s="400">
        <f>0.55*('Area Parameters'!$D$2/'Area Parameters'!$D$3)-4.7</f>
        <v>105.30000000000001</v>
      </c>
      <c r="D21" s="399">
        <f>VLOOKUP('Area Parameters'!D$4,'Soil erosion parameters'!B$12:D$20,3,FALSE)</f>
        <v>0.25</v>
      </c>
      <c r="E21" s="399" t="e">
        <f>VLOOKUP(INPUTS!K96,'Soil erosion parameters'!$B$44:$H$48,MATCH(INPUTS!L96, 'Soil erosion parameters'!$B$44:$H$44,0), FALSE)</f>
        <v>#N/A</v>
      </c>
      <c r="F21" s="399" t="e">
        <f>VLOOKUP(INPUTS!AI65,'Soil erosion parameters'!B$23:C$36,2,FALSE)</f>
        <v>#N/A</v>
      </c>
      <c r="G21" s="399">
        <v>0.8</v>
      </c>
      <c r="H21" s="400">
        <f t="shared" si="1"/>
        <v>0</v>
      </c>
      <c r="I21" s="401">
        <f>H21*INPUTS!AI65*(1-('N balance'!C$4/365))</f>
        <v>0</v>
      </c>
    </row>
    <row r="22" spans="1:9" s="398" customFormat="1" ht="15">
      <c r="A22" s="399" t="str">
        <f t="shared" si="2"/>
        <v>Rhodes</v>
      </c>
      <c r="B22" s="399" t="str">
        <f>'Area Parameters'!D$4</f>
        <v>Lixisol</v>
      </c>
      <c r="C22" s="400">
        <f>0.55*('Area Parameters'!$D$2/'Area Parameters'!$D$3)-4.7</f>
        <v>105.30000000000001</v>
      </c>
      <c r="D22" s="399">
        <f>VLOOKUP('Area Parameters'!D$4,'Soil erosion parameters'!B$12:D$20,3,FALSE)</f>
        <v>0.25</v>
      </c>
      <c r="E22" s="399" t="e">
        <f>VLOOKUP(INPUTS!K97,'Soil erosion parameters'!$B$44:$H$48,MATCH(INPUTS!L97, 'Soil erosion parameters'!$B$44:$H$44,0), FALSE)</f>
        <v>#N/A</v>
      </c>
      <c r="F22" s="399" t="e">
        <f>VLOOKUP(INPUTS!AI66,'Soil erosion parameters'!B$23:C$36,2,FALSE)</f>
        <v>#N/A</v>
      </c>
      <c r="G22" s="399">
        <v>0.8</v>
      </c>
      <c r="H22" s="400">
        <f t="shared" si="1"/>
        <v>0</v>
      </c>
      <c r="I22" s="401">
        <f>H22*INPUTS!AI66*(1-('N balance'!C$4/365))</f>
        <v>0</v>
      </c>
    </row>
    <row r="23" spans="1:9" s="398" customFormat="1" ht="15">
      <c r="A23" s="399" t="str">
        <f t="shared" si="2"/>
        <v>Guatemala</v>
      </c>
      <c r="B23" s="399" t="str">
        <f>'Area Parameters'!D$4</f>
        <v>Lixisol</v>
      </c>
      <c r="C23" s="400">
        <f>0.55*('Area Parameters'!$D$2/'Area Parameters'!$D$3)-4.7</f>
        <v>105.30000000000001</v>
      </c>
      <c r="D23" s="399">
        <f>VLOOKUP('Area Parameters'!D$4,'Soil erosion parameters'!B$12:D$20,3,FALSE)</f>
        <v>0.25</v>
      </c>
      <c r="E23" s="399" t="e">
        <f>VLOOKUP(INPUTS!K98,'Soil erosion parameters'!$B$44:$H$48,MATCH(INPUTS!L98, 'Soil erosion parameters'!$B$44:$H$44,0), FALSE)</f>
        <v>#N/A</v>
      </c>
      <c r="F23" s="399" t="e">
        <f>VLOOKUP(INPUTS!AG67,'Soil erosion parameters'!B$23:C$36,2,FALSE)</f>
        <v>#N/A</v>
      </c>
      <c r="G23" s="399">
        <v>0.8</v>
      </c>
      <c r="H23" s="400">
        <f t="shared" si="1"/>
        <v>0</v>
      </c>
      <c r="I23" s="401">
        <f>H23*INPUTS!AG67*(1-('N balance'!C$4/365))</f>
        <v>0</v>
      </c>
    </row>
    <row r="24" spans="1:9" s="398" customFormat="1" ht="15">
      <c r="A24" s="399" t="str">
        <f t="shared" si="2"/>
        <v>Maize</v>
      </c>
      <c r="B24" s="399" t="str">
        <f>'Area Parameters'!D$4</f>
        <v>Lixisol</v>
      </c>
      <c r="C24" s="400">
        <f>0.55*('Area Parameters'!$D$2/'Area Parameters'!$D$3)-4.7</f>
        <v>105.30000000000001</v>
      </c>
      <c r="D24" s="399">
        <f>VLOOKUP('Area Parameters'!D$4,'Soil erosion parameters'!B$12:D$20,3,FALSE)</f>
        <v>0.25</v>
      </c>
      <c r="E24" s="399" t="e">
        <f>VLOOKUP(INPUTS!K99,'Soil erosion parameters'!$B$44:$H$48,MATCH(INPUTS!L99, 'Soil erosion parameters'!$B$44:$H$44,0), FALSE)</f>
        <v>#N/A</v>
      </c>
      <c r="F24" s="399" t="e">
        <f>VLOOKUP(INPUTS!AG68,'Soil erosion parameters'!B$23:C$36,2,FALSE)</f>
        <v>#N/A</v>
      </c>
      <c r="G24" s="399">
        <v>0.8</v>
      </c>
      <c r="H24" s="400">
        <f t="shared" si="1"/>
        <v>0</v>
      </c>
      <c r="I24" s="401">
        <f>H24*INPUTS!AG68*(1-('N balance'!C$4/365))</f>
        <v>0</v>
      </c>
    </row>
    <row r="25" spans="1:9" s="398" customFormat="1" ht="15">
      <c r="A25" s="399" t="str">
        <f t="shared" si="2"/>
        <v>Natural pasture</v>
      </c>
      <c r="B25" s="399" t="str">
        <f>'Area Parameters'!D$4</f>
        <v>Lixisol</v>
      </c>
      <c r="C25" s="400">
        <f>0.55*('Area Parameters'!$D$2/'Area Parameters'!$D$3)-4.7</f>
        <v>105.30000000000001</v>
      </c>
      <c r="D25" s="399">
        <f>VLOOKUP('Area Parameters'!D$4,'Soil erosion parameters'!B$12:D$20,3,FALSE)</f>
        <v>0.25</v>
      </c>
      <c r="E25" s="399" t="e">
        <f>VLOOKUP(INPUTS!K100,'Soil erosion parameters'!$B$44:$H$48,MATCH(INPUTS!L100, 'Soil erosion parameters'!$B$44:$H$44,0), FALSE)</f>
        <v>#N/A</v>
      </c>
      <c r="F25" s="399" t="e">
        <f>VLOOKUP(INPUTS!AG69,'Soil erosion parameters'!B$23:C$36,2,FALSE)</f>
        <v>#N/A</v>
      </c>
      <c r="G25" s="399">
        <v>0.8</v>
      </c>
      <c r="H25" s="400">
        <f t="shared" si="1"/>
        <v>0</v>
      </c>
      <c r="I25" s="401">
        <f>H25*INPUTS!AG69*(1-('N balance'!C$4/365))</f>
        <v>0</v>
      </c>
    </row>
    <row r="26" spans="1:9" s="398" customFormat="1" ht="15">
      <c r="A26" s="399" t="str">
        <f t="shared" si="2"/>
        <v>N/A</v>
      </c>
      <c r="B26" s="399" t="str">
        <f>'Area Parameters'!D$4</f>
        <v>Lixisol</v>
      </c>
      <c r="C26" s="400">
        <f>0.55*('Area Parameters'!$D$2/'Area Parameters'!$D$3)-4.7</f>
        <v>105.30000000000001</v>
      </c>
      <c r="D26" s="399">
        <f>VLOOKUP('Area Parameters'!D$4,'Soil erosion parameters'!B$12:D$20,3,FALSE)</f>
        <v>0.25</v>
      </c>
      <c r="E26" s="399" t="e">
        <f>VLOOKUP(INPUTS!K101,'Soil erosion parameters'!$B$44:$H$48,MATCH(INPUTS!L101, 'Soil erosion parameters'!$B$44:$H$44,0), FALSE)</f>
        <v>#N/A</v>
      </c>
      <c r="F26" s="399" t="e">
        <f>VLOOKUP(INPUTS!AG70,'Soil erosion parameters'!B$23:C$36,2,FALSE)</f>
        <v>#N/A</v>
      </c>
      <c r="G26" s="399">
        <v>0.8</v>
      </c>
      <c r="H26" s="400">
        <f t="shared" si="1"/>
        <v>0</v>
      </c>
      <c r="I26" s="401">
        <f>H26*INPUTS!AG70*(1-('N balance'!C$4/365))</f>
        <v>0</v>
      </c>
    </row>
    <row r="27" spans="1:9" s="398" customFormat="1" ht="15">
      <c r="A27" s="399" t="e">
        <f>INPUTS!#REF!</f>
        <v>#REF!</v>
      </c>
      <c r="B27" s="399" t="str">
        <f>'Area Parameters'!D$4</f>
        <v>Lixisol</v>
      </c>
      <c r="C27" s="400">
        <f>0.55*('Area Parameters'!$D$2/'Area Parameters'!$D$3)-4.7</f>
        <v>105.30000000000001</v>
      </c>
      <c r="D27" s="399">
        <f>VLOOKUP('Area Parameters'!D$4,'Soil erosion parameters'!B$12:D$20,3,FALSE)</f>
        <v>0.25</v>
      </c>
      <c r="E27" s="399"/>
      <c r="F27" s="399"/>
      <c r="G27" s="399">
        <v>0.8</v>
      </c>
      <c r="H27" s="400">
        <f t="shared" si="1"/>
        <v>0</v>
      </c>
      <c r="I27" s="401">
        <f>H27*INPUTS!AG71*(1-('N balance'!C$4/365))</f>
        <v>0</v>
      </c>
    </row>
    <row r="28" spans="1:9" s="398" customFormat="1" ht="15">
      <c r="A28" s="399" t="e">
        <f>INPUTS!#REF!</f>
        <v>#REF!</v>
      </c>
      <c r="B28" s="399" t="str">
        <f>'Area Parameters'!D$4</f>
        <v>Lixisol</v>
      </c>
      <c r="C28" s="400">
        <f>0.55*('Area Parameters'!$D$2/'Area Parameters'!$D$3)-4.7</f>
        <v>105.30000000000001</v>
      </c>
      <c r="D28" s="399">
        <f>VLOOKUP('Area Parameters'!D$4,'Soil erosion parameters'!B$12:D$20,3,FALSE)</f>
        <v>0.25</v>
      </c>
      <c r="E28" s="399"/>
      <c r="F28" s="399"/>
      <c r="G28" s="399">
        <v>0.8</v>
      </c>
      <c r="H28" s="400">
        <f t="shared" si="1"/>
        <v>0</v>
      </c>
      <c r="I28" s="401">
        <f>H28*INPUTS!AG72*(1-('N balance'!C$4/365))</f>
        <v>0</v>
      </c>
    </row>
    <row r="29" spans="1:9" s="398" customFormat="1" ht="15">
      <c r="A29" s="399" t="e">
        <f>INPUTS!#REF!</f>
        <v>#REF!</v>
      </c>
      <c r="B29" s="399" t="str">
        <f>'Area Parameters'!D$4</f>
        <v>Lixisol</v>
      </c>
      <c r="C29" s="400">
        <f>0.55*('Area Parameters'!$D$2/'Area Parameters'!$D$3)-4.7</f>
        <v>105.30000000000001</v>
      </c>
      <c r="D29" s="399">
        <f>VLOOKUP('Area Parameters'!D$4,'Soil erosion parameters'!B$12:D$20,3,FALSE)</f>
        <v>0.25</v>
      </c>
      <c r="E29" s="399"/>
      <c r="F29" s="399"/>
      <c r="G29" s="399">
        <v>0.8</v>
      </c>
      <c r="H29" s="400">
        <f t="shared" si="1"/>
        <v>0</v>
      </c>
      <c r="I29" s="401">
        <f>H29*INPUTS!AG73*(1-('N balance'!C$4/365))</f>
        <v>0</v>
      </c>
    </row>
    <row r="30" spans="1:9" s="398" customFormat="1" ht="15">
      <c r="A30" s="399" t="e">
        <f>INPUTS!#REF!</f>
        <v>#REF!</v>
      </c>
      <c r="B30" s="399" t="str">
        <f>'Area Parameters'!D$4</f>
        <v>Lixisol</v>
      </c>
      <c r="C30" s="400">
        <f>0.55*('Area Parameters'!$D$2/'Area Parameters'!$D$3)-4.7</f>
        <v>105.30000000000001</v>
      </c>
      <c r="D30" s="399">
        <f>VLOOKUP('Area Parameters'!D$4,'Soil erosion parameters'!B$12:D$20,3,FALSE)</f>
        <v>0.25</v>
      </c>
      <c r="E30" s="399"/>
      <c r="F30" s="399"/>
      <c r="G30" s="399">
        <v>0.8</v>
      </c>
      <c r="H30" s="400">
        <f t="shared" si="1"/>
        <v>0</v>
      </c>
      <c r="I30" s="401">
        <f>H30*INPUTS!AB68*(1-('N balance'!C$4/365))</f>
        <v>0</v>
      </c>
    </row>
    <row r="31" spans="1:9" s="398" customFormat="1" ht="15">
      <c r="A31" s="399" t="e">
        <f>INPUTS!#REF!</f>
        <v>#REF!</v>
      </c>
      <c r="B31" s="399" t="str">
        <f>'Area Parameters'!D$4</f>
        <v>Lixisol</v>
      </c>
      <c r="C31" s="400">
        <f>0.55*('Area Parameters'!$D$2/'Area Parameters'!$D$3)-4.7</f>
        <v>105.30000000000001</v>
      </c>
      <c r="D31" s="399">
        <f>VLOOKUP('Area Parameters'!D$4,'Soil erosion parameters'!B$12:D$20,3,FALSE)</f>
        <v>0.25</v>
      </c>
      <c r="E31" s="399"/>
      <c r="F31" s="399"/>
      <c r="G31" s="399">
        <v>0.8</v>
      </c>
      <c r="H31" s="400">
        <f t="shared" si="1"/>
        <v>0</v>
      </c>
      <c r="I31" s="401">
        <f>H31*INPUTS!AB69*(1-('N balance'!C$4/365))</f>
        <v>0</v>
      </c>
    </row>
    <row r="32" spans="1:9" s="398" customFormat="1" ht="15">
      <c r="A32" s="399" t="e">
        <f>INPUTS!#REF!</f>
        <v>#REF!</v>
      </c>
      <c r="B32" s="399" t="str">
        <f>'Area Parameters'!D$4</f>
        <v>Lixisol</v>
      </c>
      <c r="C32" s="400">
        <f>0.55*('Area Parameters'!$D$2/'Area Parameters'!$D$3)-4.7</f>
        <v>105.30000000000001</v>
      </c>
      <c r="D32" s="399">
        <f>VLOOKUP('Area Parameters'!D$4,'Soil erosion parameters'!B$12:D$20,3,FALSE)</f>
        <v>0.25</v>
      </c>
      <c r="E32" s="399"/>
      <c r="F32" s="399"/>
      <c r="G32" s="399">
        <v>0.8</v>
      </c>
      <c r="H32" s="400">
        <f t="shared" si="1"/>
        <v>0</v>
      </c>
      <c r="I32" s="401">
        <f>H32*INPUTS!AB70*(1-('N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H110"/>
  <sheetViews>
    <sheetView topLeftCell="A24" workbookViewId="0">
      <selection activeCell="F44" sqref="F44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6">
      <c r="A1" t="s">
        <v>101</v>
      </c>
    </row>
    <row r="2" spans="1:6">
      <c r="B2" s="1" t="s">
        <v>1</v>
      </c>
    </row>
    <row r="3" spans="1:6">
      <c r="B3" s="19" t="s">
        <v>172</v>
      </c>
      <c r="C3" s="1611" t="s">
        <v>266</v>
      </c>
      <c r="D3" s="1611"/>
      <c r="E3" s="19" t="s">
        <v>267</v>
      </c>
    </row>
    <row r="4" spans="1:6" s="30" customFormat="1" ht="63">
      <c r="B4" s="1612" t="s">
        <v>258</v>
      </c>
      <c r="C4" s="33" t="s">
        <v>259</v>
      </c>
      <c r="D4" s="33" t="s">
        <v>262</v>
      </c>
      <c r="E4" s="29" t="s">
        <v>268</v>
      </c>
      <c r="F4"/>
    </row>
    <row r="5" spans="1:6" s="30" customFormat="1" ht="31.5">
      <c r="B5" s="1613"/>
      <c r="C5" s="24" t="s">
        <v>260</v>
      </c>
      <c r="D5" s="24" t="s">
        <v>263</v>
      </c>
      <c r="E5" s="31" t="s">
        <v>269</v>
      </c>
    </row>
    <row r="6" spans="1:6" s="30" customFormat="1" ht="31.5">
      <c r="B6" s="1614"/>
      <c r="C6" s="24"/>
      <c r="D6" s="24" t="s">
        <v>264</v>
      </c>
      <c r="E6" s="31" t="s">
        <v>270</v>
      </c>
    </row>
    <row r="7" spans="1:6" s="30" customFormat="1">
      <c r="B7" s="24" t="s">
        <v>143</v>
      </c>
      <c r="C7" s="24" t="s">
        <v>261</v>
      </c>
      <c r="D7" s="24" t="s">
        <v>265</v>
      </c>
      <c r="E7" s="31" t="s">
        <v>271</v>
      </c>
    </row>
    <row r="8" spans="1:6">
      <c r="B8" s="307" t="str">
        <f>'Livestock parameters'!A2</f>
        <v>Cows (local)</v>
      </c>
      <c r="C8" s="1048">
        <f>INPUTS!D21</f>
        <v>0</v>
      </c>
      <c r="D8" s="1138">
        <f>VLOOKUP( INPUTS!$E$3&amp;"|" &amp;$B8,'GHG Parameters'!$D$10:$E$54,2,0)</f>
        <v>32</v>
      </c>
      <c r="E8" s="43">
        <f t="shared" ref="E8:E21" si="0">C8*D8</f>
        <v>0</v>
      </c>
    </row>
    <row r="9" spans="1:6">
      <c r="B9" s="307" t="str">
        <f>'Livestock parameters'!A3</f>
        <v>Cows (improved)</v>
      </c>
      <c r="C9" s="1048">
        <f>INPUTS!D22</f>
        <v>2</v>
      </c>
      <c r="D9" s="1138">
        <f>VLOOKUP( INPUTS!$E$3&amp;"|" &amp;$B9,'GHG Parameters'!$D$10:$E$54,2,0)</f>
        <v>46</v>
      </c>
      <c r="E9" s="43">
        <f t="shared" si="0"/>
        <v>92</v>
      </c>
    </row>
    <row r="10" spans="1:6">
      <c r="B10" s="307" t="str">
        <f>'Livestock parameters'!A4</f>
        <v>Adult cattle - male</v>
      </c>
      <c r="C10" s="1048">
        <f>INPUTS!D23</f>
        <v>0</v>
      </c>
      <c r="D10" s="1138">
        <f>VLOOKUP( INPUTS!$E$3&amp;"|" &amp;$B10,'GHG Parameters'!$D$10:$E$54,2,0)</f>
        <v>41</v>
      </c>
      <c r="E10" s="43">
        <f t="shared" si="0"/>
        <v>0</v>
      </c>
    </row>
    <row r="11" spans="1:6">
      <c r="B11" s="307" t="str">
        <f>'Livestock parameters'!A5</f>
        <v>Calves</v>
      </c>
      <c r="C11" s="1048">
        <f>INPUTS!D24</f>
        <v>0</v>
      </c>
      <c r="D11" s="1138">
        <f>VLOOKUP( INPUTS!$E$3&amp;"|" &amp;$B11,'GHG Parameters'!$D$10:$E$54,2,0)</f>
        <v>16</v>
      </c>
      <c r="E11" s="43">
        <f t="shared" si="0"/>
        <v>0</v>
      </c>
    </row>
    <row r="12" spans="1:6">
      <c r="B12" s="307" t="str">
        <f>'Livestock parameters'!A6</f>
        <v>Steers/heifers</v>
      </c>
      <c r="C12" s="1048">
        <f>INPUTS!D25</f>
        <v>3</v>
      </c>
      <c r="D12" s="1138">
        <f>VLOOKUP( INPUTS!$E$3&amp;"|" &amp;$B12,'GHG Parameters'!$D$10:$E$54,2,0)</f>
        <v>41</v>
      </c>
      <c r="E12" s="43">
        <f t="shared" si="0"/>
        <v>123</v>
      </c>
    </row>
    <row r="13" spans="1:6">
      <c r="B13" s="307" t="str">
        <f>'Livestock parameters'!A7</f>
        <v>Sheep/Goats - Ewes/Does</v>
      </c>
      <c r="C13" s="1048">
        <f>INPUTS!D26</f>
        <v>0</v>
      </c>
      <c r="D13" s="1138">
        <f>VLOOKUP( INPUTS!$E$3&amp;"|" &amp;$B13,'GHG Parameters'!$D$10:$E$54,2,0)</f>
        <v>5</v>
      </c>
      <c r="E13" s="43">
        <f t="shared" si="0"/>
        <v>0</v>
      </c>
    </row>
    <row r="14" spans="1:6">
      <c r="B14" s="307" t="str">
        <f>'Livestock parameters'!A8</f>
        <v>Pigs - lactating/pregnant sows</v>
      </c>
      <c r="C14" s="1048">
        <f>INPUTS!D27</f>
        <v>0</v>
      </c>
      <c r="D14" s="1138">
        <f>VLOOKUP( INPUTS!$E$3&amp;"|" &amp;$B14,'GHG Parameters'!$D$10:$E$54,2,0)</f>
        <v>1</v>
      </c>
      <c r="E14" s="43">
        <f t="shared" si="0"/>
        <v>0</v>
      </c>
    </row>
    <row r="15" spans="1:6">
      <c r="B15" s="307" t="str">
        <f>'Livestock parameters'!A9</f>
        <v>Calves</v>
      </c>
      <c r="C15" s="1048">
        <f>INPUTS!D28</f>
        <v>0</v>
      </c>
      <c r="D15" s="1138">
        <f>VLOOKUP( INPUTS!$E$3&amp;"|" &amp;$B15,'GHG Parameters'!$D$10:$E$54,2,0)</f>
        <v>16</v>
      </c>
      <c r="E15" s="43">
        <f t="shared" si="0"/>
        <v>0</v>
      </c>
    </row>
    <row r="16" spans="1:6" s="1251" customFormat="1">
      <c r="B16" s="307">
        <f>'Livestock parameters'!A10</f>
        <v>0</v>
      </c>
      <c r="C16" s="1048">
        <f>INPUTS!D29</f>
        <v>0</v>
      </c>
      <c r="D16" s="1138" t="e">
        <f>VLOOKUP( INPUTS!$E$3&amp;"|" &amp;$B16,'GHG Parameters'!$D$10:$E$54,2,0)</f>
        <v>#N/A</v>
      </c>
      <c r="E16" s="43" t="e">
        <f t="shared" si="0"/>
        <v>#N/A</v>
      </c>
    </row>
    <row r="17" spans="2:8" s="1251" customFormat="1">
      <c r="B17" s="307">
        <f>'Livestock parameters'!A11</f>
        <v>0</v>
      </c>
      <c r="C17" s="1048">
        <f>INPUTS!D30</f>
        <v>0</v>
      </c>
      <c r="D17" s="1138" t="e">
        <f>VLOOKUP( INPUTS!$E$3&amp;"|" &amp;$B17,'GHG Parameters'!$D$10:$E$54,2,0)</f>
        <v>#N/A</v>
      </c>
      <c r="E17" s="43" t="e">
        <f t="shared" si="0"/>
        <v>#N/A</v>
      </c>
    </row>
    <row r="18" spans="2:8">
      <c r="B18" s="307">
        <f>'Livestock parameters'!A12</f>
        <v>0</v>
      </c>
      <c r="C18" s="1048">
        <f>INPUTS!D31</f>
        <v>0</v>
      </c>
      <c r="D18" s="1138" t="e">
        <f>VLOOKUP( INPUTS!$E$3&amp;"|" &amp;$B18,'GHG Parameters'!$D$10:$E$54,2,0)</f>
        <v>#N/A</v>
      </c>
      <c r="E18" s="43" t="e">
        <f t="shared" si="0"/>
        <v>#N/A</v>
      </c>
    </row>
    <row r="19" spans="2:8" s="1162" customFormat="1">
      <c r="B19" s="307">
        <f>'Livestock parameters'!A13</f>
        <v>0</v>
      </c>
      <c r="C19" s="1048">
        <f>INPUTS!D32</f>
        <v>0</v>
      </c>
      <c r="D19" s="1138" t="e">
        <f>VLOOKUP( INPUTS!$E$3&amp;"|" &amp;$B19,'GHG Parameters'!$D$10:$E$54,2,0)</f>
        <v>#N/A</v>
      </c>
      <c r="E19" s="43" t="e">
        <f t="shared" si="0"/>
        <v>#N/A</v>
      </c>
    </row>
    <row r="20" spans="2:8" s="1162" customFormat="1">
      <c r="B20" s="307">
        <f>'Livestock parameters'!A14</f>
        <v>0</v>
      </c>
      <c r="C20" s="1048">
        <f>INPUTS!D33</f>
        <v>0</v>
      </c>
      <c r="D20" s="1138" t="e">
        <f>VLOOKUP( INPUTS!$E$3&amp;"|" &amp;$B20,'GHG Parameters'!$D$10:$E$54,2,0)</f>
        <v>#N/A</v>
      </c>
      <c r="E20" s="43" t="e">
        <f t="shared" si="0"/>
        <v>#N/A</v>
      </c>
    </row>
    <row r="21" spans="2:8" s="1139" customFormat="1">
      <c r="B21" s="307">
        <f>'Livestock parameters'!A15</f>
        <v>0</v>
      </c>
      <c r="C21" s="1048">
        <f>INPUTS!D34</f>
        <v>0</v>
      </c>
      <c r="D21" s="1138" t="e">
        <f>VLOOKUP( INPUTS!$E$3&amp;"|" &amp;$B21,'GHG Parameters'!$D$10:$E$54,2,0)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215</v>
      </c>
    </row>
    <row r="24" spans="2:8">
      <c r="B24" s="1" t="s">
        <v>90</v>
      </c>
    </row>
    <row r="26" spans="2:8">
      <c r="B26" s="23" t="s">
        <v>172</v>
      </c>
      <c r="C26" s="23"/>
      <c r="D26" s="23"/>
      <c r="E26" s="23" t="s">
        <v>279</v>
      </c>
      <c r="F26" s="23"/>
    </row>
    <row r="27" spans="2:8" ht="47.25">
      <c r="B27" s="1605" t="s">
        <v>258</v>
      </c>
      <c r="C27" s="27" t="s">
        <v>377</v>
      </c>
      <c r="D27" s="33" t="s">
        <v>259</v>
      </c>
      <c r="E27" s="113" t="s">
        <v>282</v>
      </c>
      <c r="F27" s="29" t="s">
        <v>1310</v>
      </c>
    </row>
    <row r="28" spans="2:8">
      <c r="B28" s="1605"/>
      <c r="C28" s="27" t="s">
        <v>278</v>
      </c>
      <c r="D28" s="24" t="s">
        <v>260</v>
      </c>
      <c r="E28" s="24" t="s">
        <v>269</v>
      </c>
      <c r="F28" s="31" t="s">
        <v>269</v>
      </c>
    </row>
    <row r="29" spans="2:8" ht="31.5">
      <c r="B29" s="1605"/>
      <c r="C29" s="27"/>
      <c r="D29" s="24"/>
      <c r="E29" s="24" t="s">
        <v>280</v>
      </c>
      <c r="F29" s="31" t="s">
        <v>270</v>
      </c>
    </row>
    <row r="30" spans="2:8">
      <c r="B30" s="23" t="s">
        <v>143</v>
      </c>
      <c r="C30" s="35" t="s">
        <v>89</v>
      </c>
      <c r="D30" s="34" t="s">
        <v>261</v>
      </c>
      <c r="E30" s="34" t="s">
        <v>281</v>
      </c>
      <c r="F30" s="44" t="s">
        <v>271</v>
      </c>
    </row>
    <row r="31" spans="2:8">
      <c r="B31" s="307" t="str">
        <f t="shared" ref="B31:B38" si="1">B8</f>
        <v>Cows (local)</v>
      </c>
      <c r="C31" s="578">
        <f>Feed!P143/365</f>
        <v>0</v>
      </c>
      <c r="D31" s="121">
        <f>INPUTS!D21</f>
        <v>0</v>
      </c>
      <c r="E31" s="68">
        <v>0</v>
      </c>
      <c r="F31" s="69">
        <f t="shared" ref="F31:F44" si="2">E31*D31</f>
        <v>0</v>
      </c>
      <c r="H31" s="72"/>
    </row>
    <row r="32" spans="2:8">
      <c r="B32" s="307" t="str">
        <f t="shared" si="1"/>
        <v>Cows (improved)</v>
      </c>
      <c r="C32" s="578">
        <f>Feed!P144/365</f>
        <v>353.77017047174763</v>
      </c>
      <c r="D32" s="121">
        <f>INPUTS!D22</f>
        <v>2</v>
      </c>
      <c r="E32" s="68">
        <f>((C32*(VLOOKUP(B32,'GHG Parameters'!$A$62:$C$76,3,FALSE)/100)*365)/55.65)/D32</f>
        <v>75.410577667944409</v>
      </c>
      <c r="F32" s="69">
        <f t="shared" si="2"/>
        <v>150.82115533588882</v>
      </c>
    </row>
    <row r="33" spans="2:7">
      <c r="B33" s="307" t="str">
        <f t="shared" si="1"/>
        <v>Adult cattle - male</v>
      </c>
      <c r="C33" s="578">
        <f>Feed!P145/365</f>
        <v>0</v>
      </c>
      <c r="D33" s="121">
        <f>INPUTS!D23</f>
        <v>0</v>
      </c>
      <c r="E33" s="68">
        <v>0</v>
      </c>
      <c r="F33" s="69">
        <f t="shared" si="2"/>
        <v>0</v>
      </c>
    </row>
    <row r="34" spans="2:7">
      <c r="B34" s="307" t="str">
        <f t="shared" si="1"/>
        <v>Calves</v>
      </c>
      <c r="C34" s="578">
        <f>Feed!P146/365</f>
        <v>0</v>
      </c>
      <c r="D34" s="121">
        <f>INPUTS!D24</f>
        <v>0</v>
      </c>
      <c r="E34" s="68">
        <v>0</v>
      </c>
      <c r="F34" s="69">
        <f t="shared" si="2"/>
        <v>0</v>
      </c>
    </row>
    <row r="35" spans="2:7">
      <c r="B35" s="307" t="str">
        <f t="shared" si="1"/>
        <v>Steers/heifers</v>
      </c>
      <c r="C35" s="578">
        <f>Feed!P147/365</f>
        <v>431.31039339707053</v>
      </c>
      <c r="D35" s="121">
        <f>INPUTS!D25</f>
        <v>3</v>
      </c>
      <c r="E35" s="68">
        <f>((C35*(VLOOKUP(B35,'GHG Parameters'!$A$62:$C$76,3,FALSE)/100)*365)/55.65)/D35</f>
        <v>61.292836677720864</v>
      </c>
      <c r="F35" s="69">
        <f t="shared" si="2"/>
        <v>183.8785100331626</v>
      </c>
    </row>
    <row r="36" spans="2:7" ht="17.45" customHeight="1">
      <c r="B36" s="307" t="str">
        <f t="shared" si="1"/>
        <v>Sheep/Goats - Ewes/Does</v>
      </c>
      <c r="C36" s="578">
        <f>Feed!P148/365</f>
        <v>0</v>
      </c>
      <c r="D36" s="121">
        <f>INPUTS!D26</f>
        <v>0</v>
      </c>
      <c r="E36" s="68">
        <v>0</v>
      </c>
      <c r="F36" s="69">
        <f t="shared" si="2"/>
        <v>0</v>
      </c>
    </row>
    <row r="37" spans="2:7">
      <c r="B37" s="307" t="str">
        <f t="shared" si="1"/>
        <v>Pigs - lactating/pregnant sows</v>
      </c>
      <c r="C37" s="578">
        <f>Feed!P149/365</f>
        <v>0</v>
      </c>
      <c r="D37" s="121">
        <f>INPUTS!D27</f>
        <v>0</v>
      </c>
      <c r="E37" s="68">
        <v>0</v>
      </c>
      <c r="F37" s="69">
        <f t="shared" si="2"/>
        <v>0</v>
      </c>
    </row>
    <row r="38" spans="2:7">
      <c r="B38" s="307" t="str">
        <f t="shared" si="1"/>
        <v>Calves</v>
      </c>
      <c r="C38" s="578">
        <f>Feed!P150/365</f>
        <v>0</v>
      </c>
      <c r="D38" s="1137">
        <f>INPUTS!D28</f>
        <v>0</v>
      </c>
      <c r="E38" s="68">
        <v>0</v>
      </c>
      <c r="F38" s="69">
        <f t="shared" si="2"/>
        <v>0</v>
      </c>
      <c r="G38" s="39"/>
    </row>
    <row r="39" spans="2:7" s="1251" customFormat="1">
      <c r="B39" s="307">
        <f t="shared" ref="B39:B40" si="3">B16</f>
        <v>0</v>
      </c>
      <c r="C39" s="578">
        <f>Feed!P151/365</f>
        <v>0</v>
      </c>
      <c r="D39" s="1137">
        <f>INPUTS!D29</f>
        <v>0</v>
      </c>
      <c r="E39" s="68">
        <v>0</v>
      </c>
      <c r="F39" s="69">
        <f t="shared" si="2"/>
        <v>0</v>
      </c>
    </row>
    <row r="40" spans="2:7" s="1251" customFormat="1">
      <c r="B40" s="307">
        <f t="shared" si="3"/>
        <v>0</v>
      </c>
      <c r="C40" s="578">
        <f>Feed!P152/365</f>
        <v>0</v>
      </c>
      <c r="D40" s="1137">
        <f>INPUTS!D30</f>
        <v>0</v>
      </c>
      <c r="E40" s="68">
        <v>0</v>
      </c>
      <c r="F40" s="69">
        <f t="shared" si="2"/>
        <v>0</v>
      </c>
    </row>
    <row r="41" spans="2:7">
      <c r="B41" s="307">
        <f t="shared" ref="B41" si="4">B18</f>
        <v>0</v>
      </c>
      <c r="C41" s="578">
        <f>Feed!P153/365</f>
        <v>0</v>
      </c>
      <c r="D41" s="1137">
        <f>INPUTS!D31</f>
        <v>0</v>
      </c>
      <c r="E41" s="68">
        <v>0</v>
      </c>
      <c r="F41" s="69">
        <f t="shared" si="2"/>
        <v>0</v>
      </c>
    </row>
    <row r="42" spans="2:7" s="1162" customFormat="1">
      <c r="B42" s="307">
        <f>B19</f>
        <v>0</v>
      </c>
      <c r="C42" s="578">
        <f>Feed!P154/365</f>
        <v>0</v>
      </c>
      <c r="D42" s="1137">
        <f>INPUTS!D32</f>
        <v>0</v>
      </c>
      <c r="E42" s="68">
        <v>0</v>
      </c>
      <c r="F42" s="69">
        <f t="shared" si="2"/>
        <v>0</v>
      </c>
    </row>
    <row r="43" spans="2:7" s="1162" customFormat="1">
      <c r="B43" s="307">
        <f>B20</f>
        <v>0</v>
      </c>
      <c r="C43" s="578">
        <f>Feed!P155/365</f>
        <v>0</v>
      </c>
      <c r="D43" s="1137">
        <f>INPUTS!D33</f>
        <v>0</v>
      </c>
      <c r="E43" s="68">
        <v>0</v>
      </c>
      <c r="F43" s="69">
        <f t="shared" si="2"/>
        <v>0</v>
      </c>
    </row>
    <row r="44" spans="2:7" s="1153" customFormat="1">
      <c r="B44" s="307">
        <f>B21</f>
        <v>0</v>
      </c>
      <c r="C44" s="578">
        <f>Feed!P156/365</f>
        <v>0</v>
      </c>
      <c r="D44" s="1137">
        <f>INPUTS!D34</f>
        <v>0</v>
      </c>
      <c r="E44" s="68">
        <v>0</v>
      </c>
      <c r="F44" s="69">
        <f t="shared" si="2"/>
        <v>0</v>
      </c>
    </row>
    <row r="45" spans="2:7">
      <c r="B45" s="19"/>
      <c r="C45" s="19"/>
      <c r="D45" s="19"/>
      <c r="E45" s="71" t="s">
        <v>2</v>
      </c>
      <c r="F45" s="79">
        <f>SUMIF(F31:F44,"&lt;&gt;#N/A")</f>
        <v>334.69966536905144</v>
      </c>
    </row>
    <row r="49" spans="2:5">
      <c r="B49" s="37"/>
    </row>
    <row r="50" spans="2:5">
      <c r="B50" s="37"/>
    </row>
    <row r="53" spans="2:5">
      <c r="B53" s="12"/>
      <c r="C53" s="1610"/>
      <c r="D53" s="1610"/>
      <c r="E53" s="1610"/>
    </row>
    <row r="54" spans="2:5">
      <c r="B54" s="2"/>
      <c r="C54" s="1055"/>
      <c r="D54" s="154"/>
      <c r="E54" s="51"/>
    </row>
    <row r="55" spans="2:5">
      <c r="B55" s="2"/>
      <c r="C55" s="30"/>
      <c r="D55" s="799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4"/>
      <c r="C58" s="1056"/>
      <c r="D58" s="63"/>
      <c r="E58" s="12"/>
    </row>
    <row r="59" spans="2:5">
      <c r="B59" s="154"/>
      <c r="C59" s="1056"/>
      <c r="D59" s="63"/>
      <c r="E59" s="12"/>
    </row>
    <row r="60" spans="2:5">
      <c r="B60" s="154"/>
      <c r="C60" s="1056"/>
      <c r="D60" s="63"/>
      <c r="E60" s="12"/>
    </row>
    <row r="61" spans="2:5">
      <c r="B61" s="154"/>
      <c r="C61" s="1056"/>
      <c r="D61" s="63"/>
      <c r="E61" s="12"/>
    </row>
    <row r="62" spans="2:5">
      <c r="B62" s="154"/>
      <c r="C62" s="1056"/>
      <c r="D62" s="63"/>
      <c r="E62" s="12"/>
    </row>
    <row r="63" spans="2:5">
      <c r="B63" s="154"/>
      <c r="C63" s="1056"/>
      <c r="D63" s="63"/>
      <c r="E63" s="12"/>
    </row>
    <row r="64" spans="2:5">
      <c r="B64" s="154"/>
      <c r="C64" s="1056"/>
      <c r="D64" s="63"/>
      <c r="E64" s="12"/>
    </row>
    <row r="65" spans="2:5">
      <c r="B65" s="154"/>
      <c r="C65" s="1056"/>
      <c r="D65" s="63"/>
      <c r="E65" s="12"/>
    </row>
    <row r="66" spans="2:5">
      <c r="B66" s="154"/>
      <c r="C66" s="1056"/>
      <c r="D66" s="63"/>
      <c r="E66" s="12"/>
    </row>
    <row r="67" spans="2:5">
      <c r="B67" s="1609"/>
      <c r="C67" s="1609"/>
      <c r="D67" s="1609"/>
      <c r="E67" s="213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220"/>
  <sheetViews>
    <sheetView topLeftCell="A133" zoomScale="70" zoomScaleNormal="70" workbookViewId="0">
      <selection activeCell="J191" sqref="J191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115</v>
      </c>
    </row>
    <row r="3" spans="1:5">
      <c r="A3" s="1" t="s">
        <v>114</v>
      </c>
    </row>
    <row r="4" spans="1:5">
      <c r="B4" s="19" t="s">
        <v>172</v>
      </c>
      <c r="C4" s="1634" t="s">
        <v>277</v>
      </c>
      <c r="D4" s="1635"/>
      <c r="E4" s="1636"/>
    </row>
    <row r="5" spans="1:5" ht="31.5">
      <c r="B5" s="1612" t="s">
        <v>258</v>
      </c>
      <c r="C5" s="33" t="s">
        <v>259</v>
      </c>
      <c r="D5" s="33" t="s">
        <v>274</v>
      </c>
      <c r="E5" s="29" t="s">
        <v>275</v>
      </c>
    </row>
    <row r="6" spans="1:5">
      <c r="B6" s="1613"/>
      <c r="C6" s="24" t="s">
        <v>260</v>
      </c>
      <c r="D6" s="24" t="s">
        <v>263</v>
      </c>
      <c r="E6" s="31" t="s">
        <v>269</v>
      </c>
    </row>
    <row r="7" spans="1:5">
      <c r="B7" s="1614"/>
      <c r="C7" s="24"/>
      <c r="D7" s="24" t="s">
        <v>276</v>
      </c>
      <c r="E7" s="31" t="s">
        <v>272</v>
      </c>
    </row>
    <row r="8" spans="1:5">
      <c r="B8" s="24" t="s">
        <v>143</v>
      </c>
      <c r="C8" s="24" t="s">
        <v>261</v>
      </c>
      <c r="D8" s="24" t="s">
        <v>265</v>
      </c>
      <c r="E8" s="31" t="s">
        <v>273</v>
      </c>
    </row>
    <row r="9" spans="1:5">
      <c r="B9" s="113" t="str">
        <f>INPUTS!C21</f>
        <v>Cows (local)</v>
      </c>
      <c r="C9" s="24">
        <f>INPUTS!D21</f>
        <v>0</v>
      </c>
      <c r="D9" s="82">
        <f>VLOOKUP( INPUTS!$E$3&amp;"|" &amp;$B9,'GHG Parameters'!$D$80:$G$124,3,0)</f>
        <v>1</v>
      </c>
      <c r="E9" s="31">
        <f t="shared" ref="E9:E16" si="0">C9*D9</f>
        <v>0</v>
      </c>
    </row>
    <row r="10" spans="1:5">
      <c r="B10" s="113" t="str">
        <f>INPUTS!C22</f>
        <v>Cows (improved)</v>
      </c>
      <c r="C10" s="24">
        <f>INPUTS!D22</f>
        <v>2</v>
      </c>
      <c r="D10" s="82">
        <f>VLOOKUP( INPUTS!$E$3&amp;"|" &amp;$B10,'GHG Parameters'!$D$80:$G$124,3,0)</f>
        <v>1</v>
      </c>
      <c r="E10" s="31">
        <f t="shared" si="0"/>
        <v>2</v>
      </c>
    </row>
    <row r="11" spans="1:5">
      <c r="B11" s="113" t="str">
        <f>INPUTS!C23</f>
        <v>Adult cattle - male</v>
      </c>
      <c r="C11" s="24">
        <f>INPUTS!D23</f>
        <v>0</v>
      </c>
      <c r="D11" s="82">
        <f>VLOOKUP( INPUTS!$E$3&amp;"|" &amp;$B11,'GHG Parameters'!$D$80:$G$124,3,0)</f>
        <v>1</v>
      </c>
      <c r="E11" s="31">
        <f t="shared" si="0"/>
        <v>0</v>
      </c>
    </row>
    <row r="12" spans="1:5">
      <c r="B12" s="113" t="str">
        <f>INPUTS!C24</f>
        <v>Calves</v>
      </c>
      <c r="C12" s="24">
        <f>INPUTS!D24</f>
        <v>0</v>
      </c>
      <c r="D12" s="82">
        <f>VLOOKUP( INPUTS!$E$3&amp;"|" &amp;$B12,'GHG Parameters'!$D$80:$G$124,3,0)</f>
        <v>1</v>
      </c>
      <c r="E12" s="31">
        <f t="shared" si="0"/>
        <v>0</v>
      </c>
    </row>
    <row r="13" spans="1:5">
      <c r="B13" s="113" t="str">
        <f>INPUTS!C25</f>
        <v>Steers/heifers</v>
      </c>
      <c r="C13" s="24">
        <f>INPUTS!D25</f>
        <v>3</v>
      </c>
      <c r="D13" s="82">
        <f>VLOOKUP( INPUTS!$E$3&amp;"|" &amp;$B13,'GHG Parameters'!$D$80:$G$124,3,0)</f>
        <v>1</v>
      </c>
      <c r="E13" s="31">
        <f t="shared" si="0"/>
        <v>3</v>
      </c>
    </row>
    <row r="14" spans="1:5" ht="17.25" customHeight="1">
      <c r="B14" s="113" t="str">
        <f>INPUTS!C26</f>
        <v>Sheep/Goats - Ewes/Does</v>
      </c>
      <c r="C14" s="24">
        <f>INPUTS!D26</f>
        <v>0</v>
      </c>
      <c r="D14" s="82">
        <f>VLOOKUP( INPUTS!$E$3&amp;"|" &amp;$B14,'GHG Parameters'!$D$80:$G$124,3,0)</f>
        <v>0.15</v>
      </c>
      <c r="E14" s="31">
        <f t="shared" si="0"/>
        <v>0</v>
      </c>
    </row>
    <row r="15" spans="1:5">
      <c r="B15" s="113" t="str">
        <f>INPUTS!C27</f>
        <v>Pigs - lactating/pregnant sows</v>
      </c>
      <c r="C15" s="24">
        <f>INPUTS!D27</f>
        <v>0</v>
      </c>
      <c r="D15" s="82">
        <f>VLOOKUP( INPUTS!$E$3&amp;"|" &amp;$B15,'GHG Parameters'!$D$80:$G$124,3,0)</f>
        <v>1</v>
      </c>
      <c r="E15" s="31">
        <f t="shared" si="0"/>
        <v>0</v>
      </c>
    </row>
    <row r="16" spans="1:5">
      <c r="B16" s="113" t="str">
        <f>INPUTS!C28</f>
        <v>Calves</v>
      </c>
      <c r="C16" s="24">
        <f>INPUTS!D28</f>
        <v>0</v>
      </c>
      <c r="D16" s="82">
        <f>VLOOKUP( INPUTS!$E$3&amp;"|" &amp;$B16,'GHG Parameters'!$D$80:$G$124,3,0)</f>
        <v>1</v>
      </c>
      <c r="E16" s="31">
        <f t="shared" si="0"/>
        <v>0</v>
      </c>
    </row>
    <row r="17" spans="2:16" s="1153" customFormat="1">
      <c r="B17" s="1152">
        <f>INPUTS!C29</f>
        <v>0</v>
      </c>
      <c r="C17" s="1151">
        <f>INPUTS!D29</f>
        <v>0</v>
      </c>
      <c r="D17" s="82" t="e">
        <f>VLOOKUP( INPUTS!$E$3&amp;"|" &amp;$B17,'GHG Parameters'!$D$80:$G$124,3,0)</f>
        <v>#N/A</v>
      </c>
      <c r="E17" s="1154" t="e">
        <f t="shared" ref="E17:E22" si="1">C17*D17</f>
        <v>#N/A</v>
      </c>
    </row>
    <row r="18" spans="2:16" s="1251" customFormat="1">
      <c r="B18" s="1285">
        <f>INPUTS!C30</f>
        <v>0</v>
      </c>
      <c r="C18" s="1284">
        <f>INPUTS!D30</f>
        <v>0</v>
      </c>
      <c r="D18" s="82" t="e">
        <f>VLOOKUP( INPUTS!$E$3&amp;"|" &amp;$B18,'GHG Parameters'!$D$80:$G$124,3,0)</f>
        <v>#N/A</v>
      </c>
      <c r="E18" s="1252" t="e">
        <f t="shared" ref="E18:E19" si="2">C18*D18</f>
        <v>#N/A</v>
      </c>
    </row>
    <row r="19" spans="2:16" s="1251" customFormat="1">
      <c r="B19" s="1285">
        <f>INPUTS!C31</f>
        <v>0</v>
      </c>
      <c r="C19" s="1284">
        <f>INPUTS!D31</f>
        <v>0</v>
      </c>
      <c r="D19" s="82" t="e">
        <f>VLOOKUP( INPUTS!$E$3&amp;"|" &amp;$B19,'GHG Parameters'!$D$80:$G$124,3,0)</f>
        <v>#N/A</v>
      </c>
      <c r="E19" s="1252" t="e">
        <f t="shared" si="2"/>
        <v>#N/A</v>
      </c>
    </row>
    <row r="20" spans="2:16" s="1162" customFormat="1" ht="15.75" customHeight="1">
      <c r="B20" s="1285">
        <f>INPUTS!C32</f>
        <v>0</v>
      </c>
      <c r="C20" s="1284">
        <f>INPUTS!D32</f>
        <v>0</v>
      </c>
      <c r="D20" s="82" t="e">
        <f>VLOOKUP( INPUTS!$E$3&amp;"|" &amp;$B20,'GHG Parameters'!$D$80:$G$124,3,0)</f>
        <v>#N/A</v>
      </c>
      <c r="E20" s="1163" t="e">
        <f t="shared" si="1"/>
        <v>#N/A</v>
      </c>
    </row>
    <row r="21" spans="2:16" s="1162" customFormat="1">
      <c r="B21" s="1285">
        <f>INPUTS!C33</f>
        <v>0</v>
      </c>
      <c r="C21" s="1284">
        <f>INPUTS!D33</f>
        <v>0</v>
      </c>
      <c r="D21" s="82" t="e">
        <f>VLOOKUP( INPUTS!$E$3&amp;"|" &amp;$B21,'GHG Parameters'!$D$80:$G$124,3,0)</f>
        <v>#N/A</v>
      </c>
      <c r="E21" s="1163" t="e">
        <f t="shared" si="1"/>
        <v>#N/A</v>
      </c>
    </row>
    <row r="22" spans="2:16">
      <c r="B22" s="1285">
        <f>INPUTS!C34</f>
        <v>0</v>
      </c>
      <c r="C22" s="1284">
        <f>INPUTS!D34</f>
        <v>0</v>
      </c>
      <c r="D22" s="82" t="e">
        <f>VLOOKUP( INPUTS!$E$3&amp;"|" &amp;$B22,'GHG Parameters'!$D$80:$G$124,3,0)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5</v>
      </c>
    </row>
    <row r="25" spans="2:16">
      <c r="B25" s="1" t="s">
        <v>609</v>
      </c>
    </row>
    <row r="26" spans="2:16" s="10" customFormat="1">
      <c r="B26" s="26" t="s">
        <v>254</v>
      </c>
      <c r="C26" s="26"/>
      <c r="D26" s="26"/>
      <c r="E26" s="26"/>
      <c r="F26" s="26"/>
      <c r="G26" s="26" t="s">
        <v>367</v>
      </c>
      <c r="H26" s="26"/>
      <c r="I26" s="26"/>
      <c r="J26" s="26"/>
      <c r="K26" s="26"/>
      <c r="L26" s="26"/>
      <c r="M26" s="26"/>
      <c r="N26" s="26"/>
      <c r="O26" s="26" t="s">
        <v>386</v>
      </c>
      <c r="P26" s="46"/>
    </row>
    <row r="27" spans="2:16" s="10" customFormat="1" ht="47.25">
      <c r="B27" s="1604" t="s">
        <v>258</v>
      </c>
      <c r="C27" s="24" t="s">
        <v>368</v>
      </c>
      <c r="D27" s="24" t="s">
        <v>369</v>
      </c>
      <c r="E27" s="24" t="s">
        <v>370</v>
      </c>
      <c r="F27" s="24" t="s">
        <v>375</v>
      </c>
      <c r="G27" s="31" t="s">
        <v>374</v>
      </c>
      <c r="H27" s="115" t="s">
        <v>383</v>
      </c>
      <c r="I27" s="1523" t="s">
        <v>662</v>
      </c>
      <c r="J27" s="1524"/>
      <c r="K27" s="1525"/>
      <c r="L27" s="1523" t="s">
        <v>393</v>
      </c>
      <c r="M27" s="1524"/>
      <c r="N27" s="1525"/>
      <c r="O27" s="24" t="s">
        <v>1324</v>
      </c>
      <c r="P27" s="31" t="s">
        <v>663</v>
      </c>
    </row>
    <row r="28" spans="2:16" s="10" customFormat="1">
      <c r="B28" s="1604"/>
      <c r="C28" s="24" t="s">
        <v>372</v>
      </c>
      <c r="D28" s="24" t="s">
        <v>120</v>
      </c>
      <c r="E28" s="24" t="s">
        <v>120</v>
      </c>
      <c r="F28" s="24" t="s">
        <v>120</v>
      </c>
      <c r="G28" s="31" t="s">
        <v>373</v>
      </c>
      <c r="H28" s="115" t="s">
        <v>384</v>
      </c>
      <c r="I28" s="1523" t="s">
        <v>153</v>
      </c>
      <c r="J28" s="1524"/>
      <c r="K28" s="1525"/>
      <c r="L28" s="1523" t="s">
        <v>120</v>
      </c>
      <c r="M28" s="1524"/>
      <c r="N28" s="1525"/>
      <c r="O28" s="24" t="s">
        <v>263</v>
      </c>
      <c r="P28" s="31" t="s">
        <v>269</v>
      </c>
    </row>
    <row r="29" spans="2:16" s="10" customFormat="1" ht="47.25" customHeight="1">
      <c r="B29" s="1604"/>
      <c r="C29" s="1527"/>
      <c r="D29" s="1527"/>
      <c r="E29" s="1527"/>
      <c r="F29" s="1552"/>
      <c r="G29" s="1632" t="s">
        <v>390</v>
      </c>
      <c r="H29" s="115" t="s">
        <v>1669</v>
      </c>
      <c r="I29" s="84"/>
      <c r="J29" s="85"/>
      <c r="K29" s="86"/>
      <c r="L29" s="1527" t="s">
        <v>392</v>
      </c>
      <c r="M29" s="1527"/>
      <c r="N29" s="1527"/>
      <c r="O29" s="24"/>
      <c r="P29" s="31"/>
    </row>
    <row r="30" spans="2:16" s="10" customFormat="1" ht="50.25" customHeight="1">
      <c r="B30" s="1604"/>
      <c r="C30" s="1527"/>
      <c r="D30" s="1527"/>
      <c r="E30" s="1527"/>
      <c r="F30" s="1552"/>
      <c r="G30" s="1632"/>
      <c r="H30" s="117"/>
      <c r="I30" s="1523" t="s">
        <v>387</v>
      </c>
      <c r="J30" s="1524"/>
      <c r="K30" s="1525"/>
      <c r="L30" s="1527" t="s">
        <v>391</v>
      </c>
      <c r="M30" s="1527"/>
      <c r="N30" s="1527"/>
      <c r="O30" s="24" t="s">
        <v>394</v>
      </c>
      <c r="P30" s="31" t="s">
        <v>272</v>
      </c>
    </row>
    <row r="31" spans="2:16" s="10" customFormat="1">
      <c r="B31" s="30" t="s">
        <v>143</v>
      </c>
      <c r="C31" s="24" t="s">
        <v>89</v>
      </c>
      <c r="D31" s="24" t="s">
        <v>371</v>
      </c>
      <c r="E31" s="24" t="s">
        <v>116</v>
      </c>
      <c r="F31" s="1161" t="s">
        <v>117</v>
      </c>
      <c r="G31" s="31" t="s">
        <v>118</v>
      </c>
      <c r="H31" s="113" t="s">
        <v>382</v>
      </c>
      <c r="I31" s="84" t="str">
        <f>INPUTS!D37</f>
        <v>solid storage</v>
      </c>
      <c r="J31" s="84" t="s">
        <v>1325</v>
      </c>
      <c r="K31" s="24" t="s">
        <v>1643</v>
      </c>
      <c r="L31" s="84" t="str">
        <f>INPUTS!D37</f>
        <v>solid storage</v>
      </c>
      <c r="M31" s="84" t="str">
        <f>INPUTS!D38</f>
        <v xml:space="preserve">dry lot </v>
      </c>
      <c r="N31" s="84" t="str">
        <f>INPUTS!D39</f>
        <v xml:space="preserve">Pasture / range / paddock </v>
      </c>
      <c r="O31" s="24" t="s">
        <v>265</v>
      </c>
      <c r="P31" s="31" t="s">
        <v>273</v>
      </c>
    </row>
    <row r="32" spans="2:16">
      <c r="B32" s="113" t="str">
        <f>INPUTS!C21</f>
        <v>Cows (local)</v>
      </c>
      <c r="C32" s="45">
        <f>Feed!P143/365</f>
        <v>0</v>
      </c>
      <c r="D32" s="585">
        <f>Feed!AE9</f>
        <v>0</v>
      </c>
      <c r="E32" s="45">
        <v>0.04</v>
      </c>
      <c r="F32" s="76">
        <v>0.08</v>
      </c>
      <c r="G32" s="73">
        <f t="shared" ref="G32:G42" si="3">(C32*(1-D32)+(E32*C32))*((1-F32)/18.65)</f>
        <v>0</v>
      </c>
      <c r="H32" s="118">
        <v>0.13</v>
      </c>
      <c r="I32" s="119">
        <f>(L32)*INPUTS!H21</f>
        <v>0</v>
      </c>
      <c r="J32" s="119">
        <f>(M32)*INPUTS!I21</f>
        <v>0</v>
      </c>
      <c r="K32" s="119">
        <f>(N32)*INPUTS!J21</f>
        <v>0</v>
      </c>
      <c r="L32" s="45">
        <f>INDEX('GHG Parameters'!$B$166:$B$168,MATCH(INPUTS!$D$37,'GHG Parameters'!$A$166:$A$168,0))</f>
        <v>0.04</v>
      </c>
      <c r="M32" s="45">
        <f>INDEX('GHG Parameters'!$B$166:$B$168,MATCH(INPUTS!$D$38,'GHG Parameters'!$A$166:$A$168,0))</f>
        <v>1.4999999999999999E-2</v>
      </c>
      <c r="N32" s="45">
        <f>INDEX('GHG Parameters'!$B$166:$B$168,MATCH(INPUTS!$D$39,'GHG Parameters'!$A$166:$A$168,0))</f>
        <v>1.4999999999999999E-2</v>
      </c>
      <c r="O32" s="45">
        <f>(G32*365)*(H32*0.67*(SUM(I32:K32)))</f>
        <v>0</v>
      </c>
      <c r="P32" s="47">
        <f>O32</f>
        <v>0</v>
      </c>
    </row>
    <row r="33" spans="1:16">
      <c r="B33" s="1285" t="str">
        <f>INPUTS!C22</f>
        <v>Cows (improved)</v>
      </c>
      <c r="C33" s="45">
        <f>Feed!P144/365</f>
        <v>353.77017047174763</v>
      </c>
      <c r="D33" s="585">
        <f>Feed!AE16</f>
        <v>0.50192295517808216</v>
      </c>
      <c r="E33" s="45">
        <v>0.04</v>
      </c>
      <c r="F33" s="76">
        <v>0.08</v>
      </c>
      <c r="G33" s="73">
        <f>(C33*(1-D33)+(E33*C33))*((1-F33)/18.65)</f>
        <v>9.3901962060963733</v>
      </c>
      <c r="H33" s="118">
        <v>0.13</v>
      </c>
      <c r="I33" s="119">
        <f>(L33)*INPUTS!H22</f>
        <v>0.04</v>
      </c>
      <c r="J33" s="119">
        <f>(M33)*INPUTS!I22</f>
        <v>0</v>
      </c>
      <c r="K33" s="119">
        <f>(N33)*INPUTS!J22</f>
        <v>0</v>
      </c>
      <c r="L33" s="45">
        <f>INDEX('GHG Parameters'!$B$166:$B$168,MATCH(INPUTS!$D$37,'GHG Parameters'!$A$166:$A$168,0))</f>
        <v>0.04</v>
      </c>
      <c r="M33" s="45">
        <f>INDEX('GHG Parameters'!$B$166:$B$168,MATCH(INPUTS!$D$38,'GHG Parameters'!$A$166:$A$168,0))</f>
        <v>1.4999999999999999E-2</v>
      </c>
      <c r="N33" s="45">
        <f>INDEX('GHG Parameters'!$B$166:$B$168,MATCH(INPUTS!$D$39,'GHG Parameters'!$A$166:$A$168,0))</f>
        <v>1.4999999999999999E-2</v>
      </c>
      <c r="O33" s="45">
        <f>(G33*365)*(H33*0.67*(SUM(I33:K33)))</f>
        <v>11.941136907444516</v>
      </c>
      <c r="P33" s="47">
        <f t="shared" ref="P33:P42" si="4">O33</f>
        <v>11.941136907444516</v>
      </c>
    </row>
    <row r="34" spans="1:16">
      <c r="B34" s="1285" t="str">
        <f>INPUTS!C23</f>
        <v>Adult cattle - male</v>
      </c>
      <c r="C34" s="45">
        <f>Feed!P145/365</f>
        <v>0</v>
      </c>
      <c r="D34" s="585">
        <f>Feed!AE23</f>
        <v>0</v>
      </c>
      <c r="E34" s="45">
        <v>0.04</v>
      </c>
      <c r="F34" s="76">
        <v>0.08</v>
      </c>
      <c r="G34" s="73">
        <f>(C34*(1-D34)+(E34*C34))*((1-F34)/18.65)</f>
        <v>0</v>
      </c>
      <c r="H34" s="118">
        <v>0.1</v>
      </c>
      <c r="I34" s="119">
        <f>(L34)*INPUTS!H23</f>
        <v>0</v>
      </c>
      <c r="J34" s="119">
        <f>(M34)*INPUTS!I23</f>
        <v>0</v>
      </c>
      <c r="K34" s="119">
        <f>(N34)*INPUTS!J23</f>
        <v>0</v>
      </c>
      <c r="L34" s="45">
        <f>INDEX('GHG Parameters'!$B$166:$B$168,MATCH(INPUTS!$D$37,'GHG Parameters'!$A$166:$A$168,0))</f>
        <v>0.04</v>
      </c>
      <c r="M34" s="45">
        <f>INDEX('GHG Parameters'!$B$166:$B$168,MATCH(INPUTS!$D$38,'GHG Parameters'!$A$166:$A$168,0))</f>
        <v>1.4999999999999999E-2</v>
      </c>
      <c r="N34" s="45">
        <f>INDEX('GHG Parameters'!$B$166:$B$168,MATCH(INPUTS!$D$39,'GHG Parameters'!$A$166:$A$168,0))</f>
        <v>1.4999999999999999E-2</v>
      </c>
      <c r="O34" s="45">
        <f>(G34*365)*(H34*0.67*(SUM(I34:K34)))</f>
        <v>0</v>
      </c>
      <c r="P34" s="47">
        <f t="shared" si="4"/>
        <v>0</v>
      </c>
    </row>
    <row r="35" spans="1:16">
      <c r="B35" s="1285" t="str">
        <f>INPUTS!C24</f>
        <v>Calves</v>
      </c>
      <c r="C35" s="45">
        <f>Feed!P146/365</f>
        <v>0</v>
      </c>
      <c r="D35" s="585">
        <f>Feed!AE30</f>
        <v>0</v>
      </c>
      <c r="E35" s="45">
        <v>0.04</v>
      </c>
      <c r="F35" s="76">
        <v>0.08</v>
      </c>
      <c r="G35" s="73">
        <f>(C35*(1-D35)+(E35*C35))*((1-F35)/18.65)</f>
        <v>0</v>
      </c>
      <c r="H35" s="118">
        <v>0.1</v>
      </c>
      <c r="I35" s="119">
        <f>(L35)*INPUTS!H24</f>
        <v>0</v>
      </c>
      <c r="J35" s="119">
        <f>(M35)*INPUTS!I24</f>
        <v>0</v>
      </c>
      <c r="K35" s="119">
        <f>(N35)*INPUTS!J24</f>
        <v>0</v>
      </c>
      <c r="L35" s="45">
        <f>INDEX('GHG Parameters'!$B$166:$B$168,MATCH(INPUTS!$D$37,'GHG Parameters'!$A$166:$A$168,0))</f>
        <v>0.04</v>
      </c>
      <c r="M35" s="45">
        <f>INDEX('GHG Parameters'!$B$166:$B$168,MATCH(INPUTS!$D$38,'GHG Parameters'!$A$166:$A$168,0))</f>
        <v>1.4999999999999999E-2</v>
      </c>
      <c r="N35" s="45">
        <f>INDEX('GHG Parameters'!$B$166:$B$168,MATCH(INPUTS!$D$39,'GHG Parameters'!$A$166:$A$168,0))</f>
        <v>1.4999999999999999E-2</v>
      </c>
      <c r="O35" s="45">
        <f>(G35*365)*(H35*0.67*(SUM(I35:K35)))</f>
        <v>0</v>
      </c>
      <c r="P35" s="47">
        <f t="shared" si="4"/>
        <v>0</v>
      </c>
    </row>
    <row r="36" spans="1:16">
      <c r="B36" s="1285" t="str">
        <f>INPUTS!C25</f>
        <v>Steers/heifers</v>
      </c>
      <c r="C36" s="45">
        <f>Feed!P147/365</f>
        <v>431.31039339707053</v>
      </c>
      <c r="D36" s="585">
        <f>Feed!AE37</f>
        <v>0.50192295517808216</v>
      </c>
      <c r="E36" s="45">
        <v>0.04</v>
      </c>
      <c r="F36" s="76">
        <v>0.08</v>
      </c>
      <c r="G36" s="73">
        <f t="shared" si="3"/>
        <v>11.448362687917887</v>
      </c>
      <c r="H36" s="118">
        <v>0.1</v>
      </c>
      <c r="I36" s="119">
        <f>(L36)*INPUTS!H25</f>
        <v>0.04</v>
      </c>
      <c r="J36" s="119">
        <f>(M36)*INPUTS!I25</f>
        <v>0</v>
      </c>
      <c r="K36" s="119">
        <f>(N36)*INPUTS!J25</f>
        <v>0</v>
      </c>
      <c r="L36" s="45">
        <f>INDEX('GHG Parameters'!$B$166:$B$168,MATCH(INPUTS!$D$37,'GHG Parameters'!$A$166:$A$168,0))</f>
        <v>0.04</v>
      </c>
      <c r="M36" s="45">
        <f>INDEX('GHG Parameters'!$B$166:$B$168,MATCH(INPUTS!$D$38,'GHG Parameters'!$A$166:$A$168,0))</f>
        <v>1.4999999999999999E-2</v>
      </c>
      <c r="N36" s="45">
        <f>INDEX('GHG Parameters'!$B$166:$B$168,MATCH(INPUTS!$D$39,'GHG Parameters'!$A$166:$A$168,0))</f>
        <v>1.4999999999999999E-2</v>
      </c>
      <c r="O36" s="45">
        <f>(G36*365)*(H36*0.67*(SUM(I36:K36)))</f>
        <v>11.198788381321277</v>
      </c>
      <c r="P36" s="47">
        <f t="shared" si="4"/>
        <v>11.198788381321277</v>
      </c>
    </row>
    <row r="37" spans="1:16">
      <c r="B37" s="1285" t="str">
        <f>INPUTS!C26</f>
        <v>Sheep/Goats - Ewes/Does</v>
      </c>
      <c r="C37" s="45">
        <f>Feed!P148/365</f>
        <v>0</v>
      </c>
      <c r="D37" s="585">
        <f>Feed!AE44</f>
        <v>0</v>
      </c>
      <c r="E37" s="45">
        <v>0.04</v>
      </c>
      <c r="F37" s="76">
        <v>0.08</v>
      </c>
      <c r="G37" s="73">
        <f t="shared" ref="G37:G38" si="5">(C37*(1-D37)+(E37*C37))*((1-F37)/18.65)</f>
        <v>0</v>
      </c>
      <c r="H37" s="118">
        <v>0.1</v>
      </c>
      <c r="I37" s="119">
        <f>(L37)*INPUTS!H26</f>
        <v>0</v>
      </c>
      <c r="J37" s="119">
        <f>(M37)*INPUTS!I26</f>
        <v>0</v>
      </c>
      <c r="K37" s="119">
        <f>(N37)*INPUTS!J26</f>
        <v>0</v>
      </c>
      <c r="L37" s="45">
        <f>INDEX('GHG Parameters'!$B$166:$B$168,MATCH(INPUTS!$D$37,'GHG Parameters'!$A$166:$A$168,0))</f>
        <v>0.04</v>
      </c>
      <c r="M37" s="45">
        <f>INDEX('GHG Parameters'!$B$166:$B$168,MATCH(INPUTS!$D$38,'GHG Parameters'!$A$166:$A$168,0))</f>
        <v>1.4999999999999999E-2</v>
      </c>
      <c r="N37" s="45">
        <f>INDEX('GHG Parameters'!$B$166:$B$168,MATCH(INPUTS!$D$39,'GHG Parameters'!$A$166:$A$168,0))</f>
        <v>1.4999999999999999E-2</v>
      </c>
      <c r="O37" s="45">
        <f t="shared" ref="O37:O42" si="6">(G37*365)*(H37*0.67*(SUM(I37:K37)))</f>
        <v>0</v>
      </c>
      <c r="P37" s="47">
        <f t="shared" si="4"/>
        <v>0</v>
      </c>
    </row>
    <row r="38" spans="1:16">
      <c r="B38" s="1285" t="str">
        <f>INPUTS!C27</f>
        <v>Pigs - lactating/pregnant sows</v>
      </c>
      <c r="C38" s="45">
        <f>Feed!P149/365</f>
        <v>0</v>
      </c>
      <c r="D38" s="585">
        <f>Feed!AE51</f>
        <v>0</v>
      </c>
      <c r="E38" s="45">
        <v>0.04</v>
      </c>
      <c r="F38" s="76">
        <v>0.08</v>
      </c>
      <c r="G38" s="73">
        <f t="shared" si="5"/>
        <v>0</v>
      </c>
      <c r="H38" s="118">
        <v>0.1</v>
      </c>
      <c r="I38" s="119">
        <f>(L38)*INPUTS!H27</f>
        <v>0</v>
      </c>
      <c r="J38" s="119">
        <f>(M38)*INPUTS!I27</f>
        <v>0</v>
      </c>
      <c r="K38" s="119">
        <f>(N38)*INPUTS!J27</f>
        <v>0</v>
      </c>
      <c r="L38" s="45">
        <f>INDEX('GHG Parameters'!$B$166:$B$168,MATCH(INPUTS!$D$37,'GHG Parameters'!$A$166:$A$168,0))</f>
        <v>0.04</v>
      </c>
      <c r="M38" s="45">
        <f>INDEX('GHG Parameters'!$B$166:$B$168,MATCH(INPUTS!$D$38,'GHG Parameters'!$A$166:$A$168,0))</f>
        <v>1.4999999999999999E-2</v>
      </c>
      <c r="N38" s="45">
        <f>INDEX('GHG Parameters'!$B$166:$B$168,MATCH(INPUTS!$D$39,'GHG Parameters'!$A$166:$A$168,0))</f>
        <v>1.4999999999999999E-2</v>
      </c>
      <c r="O38" s="45">
        <f t="shared" si="6"/>
        <v>0</v>
      </c>
      <c r="P38" s="47">
        <f t="shared" si="4"/>
        <v>0</v>
      </c>
    </row>
    <row r="39" spans="1:16">
      <c r="B39" s="1285" t="str">
        <f>INPUTS!C28</f>
        <v>Calves</v>
      </c>
      <c r="C39" s="45">
        <f>Feed!P150/365</f>
        <v>0</v>
      </c>
      <c r="D39" s="585">
        <f>Feed!AE58</f>
        <v>0</v>
      </c>
      <c r="E39" s="45">
        <v>0.04</v>
      </c>
      <c r="F39" s="45">
        <v>0.08</v>
      </c>
      <c r="G39" s="47">
        <f t="shared" si="3"/>
        <v>0</v>
      </c>
      <c r="H39" s="1068">
        <v>0.13</v>
      </c>
      <c r="I39" s="119">
        <f>(L39)*INPUTS!H28</f>
        <v>0</v>
      </c>
      <c r="J39" s="119">
        <f>(M39)*INPUTS!I28</f>
        <v>0</v>
      </c>
      <c r="K39" s="119">
        <f>(N39)*INPUTS!J28</f>
        <v>0</v>
      </c>
      <c r="L39" s="45">
        <f>INDEX('GHG Parameters'!$B$166:$B$168,MATCH(INPUTS!$D$37,'GHG Parameters'!$A$166:$A$168,0))</f>
        <v>0.04</v>
      </c>
      <c r="M39" s="45">
        <f>INDEX('GHG Parameters'!$B$166:$B$168,MATCH(INPUTS!$D$38,'GHG Parameters'!$A$166:$A$168,0))</f>
        <v>1.4999999999999999E-2</v>
      </c>
      <c r="N39" s="45">
        <f>INDEX('GHG Parameters'!$B$166:$B$168,MATCH(INPUTS!$D$39,'GHG Parameters'!$A$166:$A$168,0))</f>
        <v>1.4999999999999999E-2</v>
      </c>
      <c r="O39" s="45">
        <f t="shared" si="6"/>
        <v>0</v>
      </c>
      <c r="P39" s="47">
        <f t="shared" si="4"/>
        <v>0</v>
      </c>
    </row>
    <row r="40" spans="1:16" s="1153" customFormat="1">
      <c r="B40" s="1285">
        <f>INPUTS!C29</f>
        <v>0</v>
      </c>
      <c r="C40" s="45">
        <f>Feed!P151/365</f>
        <v>0</v>
      </c>
      <c r="D40" s="585">
        <f>Feed!AE65</f>
        <v>0</v>
      </c>
      <c r="E40" s="45">
        <v>0.04</v>
      </c>
      <c r="F40" s="45">
        <v>0.08</v>
      </c>
      <c r="G40" s="47">
        <f t="shared" si="3"/>
        <v>0</v>
      </c>
      <c r="H40" s="1068">
        <v>0.13</v>
      </c>
      <c r="I40" s="119">
        <f>(L40)*INPUTS!H29</f>
        <v>0</v>
      </c>
      <c r="J40" s="119">
        <f>(M40)*INPUTS!I29</f>
        <v>0</v>
      </c>
      <c r="K40" s="119">
        <f>(N40)*INPUTS!J29</f>
        <v>0</v>
      </c>
      <c r="L40" s="45">
        <f>INDEX('GHG Parameters'!$B$166:$B$168,MATCH(INPUTS!$D$37,'GHG Parameters'!$A$166:$A$168,0))</f>
        <v>0.04</v>
      </c>
      <c r="M40" s="45">
        <f>INDEX('GHG Parameters'!$B$166:$B$168,MATCH(INPUTS!$D$38,'GHG Parameters'!$A$166:$A$168,0))</f>
        <v>1.4999999999999999E-2</v>
      </c>
      <c r="N40" s="45">
        <f>INDEX('GHG Parameters'!$B$166:$B$168,MATCH(INPUTS!$D$39,'GHG Parameters'!$A$166:$A$168,0))</f>
        <v>1.4999999999999999E-2</v>
      </c>
      <c r="O40" s="45">
        <f t="shared" si="6"/>
        <v>0</v>
      </c>
      <c r="P40" s="47">
        <f t="shared" si="4"/>
        <v>0</v>
      </c>
    </row>
    <row r="41" spans="1:16" s="1251" customFormat="1">
      <c r="B41" s="1285">
        <f>INPUTS!C30</f>
        <v>0</v>
      </c>
      <c r="C41" s="45">
        <f>Feed!P152/365</f>
        <v>0</v>
      </c>
      <c r="D41" s="585">
        <f>Feed!AE72</f>
        <v>0</v>
      </c>
      <c r="E41" s="45">
        <v>0.04</v>
      </c>
      <c r="F41" s="45">
        <v>0.08</v>
      </c>
      <c r="G41" s="47">
        <f t="shared" si="3"/>
        <v>0</v>
      </c>
      <c r="H41" s="1068">
        <v>0.13</v>
      </c>
      <c r="I41" s="119">
        <f>(L41)*INPUTS!H30</f>
        <v>0</v>
      </c>
      <c r="J41" s="119">
        <f>(M41)*INPUTS!I30</f>
        <v>0</v>
      </c>
      <c r="K41" s="119">
        <f>(N41)*INPUTS!J30</f>
        <v>0</v>
      </c>
      <c r="L41" s="45">
        <f>INDEX('GHG Parameters'!$B$166:$B$168,MATCH(INPUTS!$D$37,'GHG Parameters'!$A$166:$A$168,0))</f>
        <v>0.04</v>
      </c>
      <c r="M41" s="45">
        <f>INDEX('GHG Parameters'!$B$166:$B$168,MATCH(INPUTS!$D$38,'GHG Parameters'!$A$166:$A$168,0))</f>
        <v>1.4999999999999999E-2</v>
      </c>
      <c r="N41" s="45">
        <f>INDEX('GHG Parameters'!$B$166:$B$168,MATCH(INPUTS!$D$39,'GHG Parameters'!$A$166:$A$168,0))</f>
        <v>1.4999999999999999E-2</v>
      </c>
      <c r="O41" s="45">
        <f t="shared" si="6"/>
        <v>0</v>
      </c>
      <c r="P41" s="47">
        <f t="shared" si="4"/>
        <v>0</v>
      </c>
    </row>
    <row r="42" spans="1:16" s="1251" customFormat="1">
      <c r="B42" s="1285">
        <f>INPUTS!C31</f>
        <v>0</v>
      </c>
      <c r="C42" s="45">
        <f>Feed!P153/365</f>
        <v>0</v>
      </c>
      <c r="D42" s="585">
        <f>Feed!AE79</f>
        <v>0</v>
      </c>
      <c r="E42" s="45">
        <v>0.04</v>
      </c>
      <c r="F42" s="45">
        <v>0.08</v>
      </c>
      <c r="G42" s="47">
        <f t="shared" si="3"/>
        <v>0</v>
      </c>
      <c r="H42" s="1068">
        <v>0.13</v>
      </c>
      <c r="I42" s="119">
        <f>(L42)*INPUTS!H31</f>
        <v>0</v>
      </c>
      <c r="J42" s="119">
        <f>(M42)*INPUTS!I31</f>
        <v>0</v>
      </c>
      <c r="K42" s="119">
        <f>(N42)*INPUTS!J31</f>
        <v>0</v>
      </c>
      <c r="L42" s="45">
        <f>INDEX('GHG Parameters'!$B$166:$B$168,MATCH(INPUTS!$D$37,'GHG Parameters'!$A$166:$A$168,0))</f>
        <v>0.04</v>
      </c>
      <c r="M42" s="45">
        <f>INDEX('GHG Parameters'!$B$166:$B$168,MATCH(INPUTS!$D$38,'GHG Parameters'!$A$166:$A$168,0))</f>
        <v>1.4999999999999999E-2</v>
      </c>
      <c r="N42" s="45">
        <f>INDEX('GHG Parameters'!$B$166:$B$168,MATCH(INPUTS!$D$39,'GHG Parameters'!$A$166:$A$168,0))</f>
        <v>1.4999999999999999E-2</v>
      </c>
      <c r="O42" s="45">
        <f t="shared" si="6"/>
        <v>0</v>
      </c>
      <c r="P42" s="47">
        <f t="shared" si="4"/>
        <v>0</v>
      </c>
    </row>
    <row r="43" spans="1:16" s="1162" customFormat="1">
      <c r="B43" s="1285">
        <f>INPUTS!C32</f>
        <v>0</v>
      </c>
      <c r="C43" s="45">
        <f>Feed!P154/365</f>
        <v>0</v>
      </c>
      <c r="D43" s="585">
        <f>Feed!AE86</f>
        <v>0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1068">
        <v>0.28999999999999998</v>
      </c>
      <c r="I43" s="119">
        <f>(L43)*INPUTS!H32</f>
        <v>0</v>
      </c>
      <c r="J43" s="119">
        <f>(M43)*INPUTS!I32</f>
        <v>0</v>
      </c>
      <c r="K43" s="119">
        <f>(N43)*INPUTS!J32</f>
        <v>0</v>
      </c>
      <c r="L43" s="45">
        <f>INDEX('GHG Parameters'!$B$166:$B$168,MATCH(INPUTS!$D$37,'GHG Parameters'!$A$166:$A$168,0))</f>
        <v>0.04</v>
      </c>
      <c r="M43" s="45">
        <f>INDEX('GHG Parameters'!$B$166:$B$168,MATCH(INPUTS!$D$38,'GHG Parameters'!$A$166:$A$168,0))</f>
        <v>1.4999999999999999E-2</v>
      </c>
      <c r="N43" s="45">
        <f>INDEX('GHG Parameters'!$B$166:$B$168,MATCH(INPUTS!$D$39,'GHG Parameters'!$A$166:$A$168,0))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1162" customFormat="1">
      <c r="B44" s="1285">
        <f>INPUTS!C33</f>
        <v>0</v>
      </c>
      <c r="C44" s="45">
        <f>Feed!P155/365</f>
        <v>0</v>
      </c>
      <c r="D44" s="585">
        <f>Feed!AE93</f>
        <v>0</v>
      </c>
      <c r="E44" s="45">
        <v>0.04</v>
      </c>
      <c r="F44" s="45">
        <v>0.08</v>
      </c>
      <c r="G44" s="47">
        <f t="shared" si="7"/>
        <v>0</v>
      </c>
      <c r="H44" s="1068">
        <v>0.28999999999999998</v>
      </c>
      <c r="I44" s="119">
        <f>(L44)*INPUTS!H33</f>
        <v>0</v>
      </c>
      <c r="J44" s="119">
        <f>(M44)*INPUTS!I33</f>
        <v>0</v>
      </c>
      <c r="K44" s="119">
        <f>(N44)*INPUTS!J33</f>
        <v>0</v>
      </c>
      <c r="L44" s="45">
        <f>INDEX('GHG Parameters'!$B$166:$B$168,MATCH(INPUTS!$D$37,'GHG Parameters'!$A$166:$A$168,0))</f>
        <v>0.04</v>
      </c>
      <c r="M44" s="45">
        <f>INDEX('GHG Parameters'!$B$166:$B$168,MATCH(INPUTS!$D$38,'GHG Parameters'!$A$166:$A$168,0))</f>
        <v>1.4999999999999999E-2</v>
      </c>
      <c r="N44" s="45">
        <f>INDEX('GHG Parameters'!$B$166:$B$168,MATCH(INPUTS!$D$39,'GHG Parameters'!$A$166:$A$168,0))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1285">
        <f>INPUTS!C34</f>
        <v>0</v>
      </c>
      <c r="C45" s="45">
        <f>Feed!P156/365</f>
        <v>0</v>
      </c>
      <c r="D45" s="585">
        <f>Feed!AE100</f>
        <v>0</v>
      </c>
      <c r="E45" s="45">
        <v>0.04</v>
      </c>
      <c r="F45" s="45">
        <v>0.08</v>
      </c>
      <c r="G45" s="47">
        <f t="shared" si="7"/>
        <v>0</v>
      </c>
      <c r="H45" s="1068">
        <v>0.28999999999999998</v>
      </c>
      <c r="I45" s="119">
        <f>(L45)*INPUTS!H34</f>
        <v>0</v>
      </c>
      <c r="J45" s="119">
        <f>(M45)*INPUTS!I34</f>
        <v>0</v>
      </c>
      <c r="K45" s="119">
        <f>(N45)*INPUTS!J34</f>
        <v>0</v>
      </c>
      <c r="L45" s="45">
        <f>INDEX('GHG Parameters'!$B$166:$B$168,MATCH(INPUTS!$D$37,'GHG Parameters'!$A$166:$A$168,0))</f>
        <v>0.04</v>
      </c>
      <c r="M45" s="45">
        <f>INDEX('GHG Parameters'!$B$166:$B$168,MATCH(INPUTS!$D$38,'GHG Parameters'!$A$166:$A$168,0))</f>
        <v>1.4999999999999999E-2</v>
      </c>
      <c r="N45" s="45">
        <f>INDEX('GHG Parameters'!$B$166:$B$168,MATCH(INPUTS!$D$39,'GHG Parameters'!$A$166:$A$168,0))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621" t="s">
        <v>2</v>
      </c>
      <c r="C46" s="1621"/>
      <c r="D46" s="1621"/>
      <c r="E46" s="1621"/>
      <c r="F46" s="1621"/>
      <c r="G46" s="1621"/>
      <c r="H46" s="1621"/>
      <c r="I46" s="1621"/>
      <c r="J46" s="1621"/>
      <c r="K46" s="1621"/>
      <c r="L46" s="1621"/>
      <c r="M46" s="1621"/>
      <c r="N46" s="1621"/>
      <c r="O46" s="1621"/>
      <c r="P46" s="47">
        <f>SUM(P32:P45)</f>
        <v>23.139925288765795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102</v>
      </c>
    </row>
    <row r="51" spans="1:19">
      <c r="A51" s="5" t="s">
        <v>103</v>
      </c>
    </row>
    <row r="52" spans="1:19">
      <c r="A52" s="1"/>
    </row>
    <row r="53" spans="1:19">
      <c r="A53" s="1"/>
      <c r="B53" s="23" t="s">
        <v>172</v>
      </c>
      <c r="C53" s="23"/>
      <c r="D53" s="1307" t="s">
        <v>1828</v>
      </c>
      <c r="E53" s="23" t="s">
        <v>293</v>
      </c>
    </row>
    <row r="54" spans="1:19" ht="31.5">
      <c r="A54" s="1"/>
      <c r="B54" s="1618" t="s">
        <v>258</v>
      </c>
      <c r="C54" s="24" t="s">
        <v>284</v>
      </c>
      <c r="D54" s="24" t="s">
        <v>285</v>
      </c>
      <c r="E54" s="31" t="s">
        <v>286</v>
      </c>
      <c r="F54" s="31" t="s">
        <v>286</v>
      </c>
    </row>
    <row r="55" spans="1:19" ht="31.5">
      <c r="A55" s="1"/>
      <c r="B55" s="1618"/>
      <c r="C55" s="24" t="s">
        <v>655</v>
      </c>
      <c r="D55" s="24" t="s">
        <v>656</v>
      </c>
      <c r="E55" s="31" t="s">
        <v>290</v>
      </c>
      <c r="F55" s="31" t="s">
        <v>214</v>
      </c>
    </row>
    <row r="56" spans="1:19">
      <c r="B56" s="1618"/>
      <c r="C56" s="24"/>
      <c r="D56" s="24" t="s">
        <v>292</v>
      </c>
      <c r="E56" s="31" t="s">
        <v>294</v>
      </c>
      <c r="F56" s="44"/>
    </row>
    <row r="57" spans="1:19">
      <c r="B57" s="26" t="s">
        <v>143</v>
      </c>
      <c r="C57" s="24" t="s">
        <v>289</v>
      </c>
      <c r="D57" s="24" t="s">
        <v>288</v>
      </c>
      <c r="E57" s="47" t="s">
        <v>287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3" t="str">
        <f>INPUTS!C21</f>
        <v>Cows (local)</v>
      </c>
      <c r="C58" s="45">
        <f>'Livestock parameters'!B2</f>
        <v>0</v>
      </c>
      <c r="D58" s="82">
        <f>VLOOKUP( INPUTS!$E$3&amp;"|" &amp;$B58,'GHG Parameters'!$D$175:$E$219,2,0)</f>
        <v>0.6</v>
      </c>
      <c r="E58" s="47">
        <f>D58*(C58/1000)*365</f>
        <v>0</v>
      </c>
      <c r="F58" s="44">
        <f>E58*INPUTS!D21</f>
        <v>0</v>
      </c>
    </row>
    <row r="59" spans="1:19">
      <c r="B59" s="1285" t="str">
        <f>INPUTS!C22</f>
        <v>Cows (improved)</v>
      </c>
      <c r="C59" s="45">
        <f>'Livestock parameters'!B3</f>
        <v>381</v>
      </c>
      <c r="D59" s="82">
        <f>VLOOKUP( INPUTS!$E$3&amp;"|" &amp;$B59,'GHG Parameters'!$D$175:$E$219,2,0)</f>
        <v>0.6</v>
      </c>
      <c r="E59" s="47">
        <f t="shared" ref="E59:E71" si="10">D59*(C59/1000)*365</f>
        <v>83.438999999999993</v>
      </c>
      <c r="F59" s="44">
        <f>E59*INPUTS!D22</f>
        <v>166.87799999999999</v>
      </c>
      <c r="G59" s="1631"/>
    </row>
    <row r="60" spans="1:19">
      <c r="B60" s="1285" t="str">
        <f>INPUTS!C23</f>
        <v>Adult cattle - male</v>
      </c>
      <c r="C60" s="45">
        <f>'Livestock parameters'!B4</f>
        <v>0</v>
      </c>
      <c r="D60" s="82">
        <f>VLOOKUP( INPUTS!$E$3&amp;"|" &amp;$B60,'GHG Parameters'!$D$175:$E$219,2,0)</f>
        <v>0.63</v>
      </c>
      <c r="E60" s="47">
        <f t="shared" si="10"/>
        <v>0</v>
      </c>
      <c r="F60" s="44">
        <f>E60*INPUTS!D23</f>
        <v>0</v>
      </c>
      <c r="G60" s="1631"/>
    </row>
    <row r="61" spans="1:19">
      <c r="B61" s="1285" t="str">
        <f>INPUTS!C24</f>
        <v>Calves</v>
      </c>
      <c r="C61" s="45">
        <f>'Livestock parameters'!B5</f>
        <v>0</v>
      </c>
      <c r="D61" s="82">
        <f>VLOOKUP( INPUTS!$E$3&amp;"|" &amp;$B61,'GHG Parameters'!$D$175:$E$219,2,0)</f>
        <v>0.63</v>
      </c>
      <c r="E61" s="47">
        <f t="shared" si="10"/>
        <v>0</v>
      </c>
      <c r="F61" s="44">
        <f>E61*INPUTS!D24</f>
        <v>0</v>
      </c>
      <c r="G61" s="1631"/>
    </row>
    <row r="62" spans="1:19">
      <c r="B62" s="1285" t="str">
        <f>INPUTS!C25</f>
        <v>Steers/heifers</v>
      </c>
      <c r="C62" s="45">
        <f>'Livestock parameters'!B6</f>
        <v>290</v>
      </c>
      <c r="D62" s="82">
        <f>VLOOKUP( INPUTS!$E$3&amp;"|" &amp;$B62,'GHG Parameters'!$D$175:$E$219,2,0)</f>
        <v>0.63</v>
      </c>
      <c r="E62" s="47">
        <f t="shared" si="10"/>
        <v>66.685500000000005</v>
      </c>
      <c r="F62" s="44">
        <f>E62*INPUTS!D25</f>
        <v>200.05650000000003</v>
      </c>
      <c r="G62" s="1631"/>
    </row>
    <row r="63" spans="1:19">
      <c r="B63" s="1285" t="str">
        <f>INPUTS!C26</f>
        <v>Sheep/Goats - Ewes/Does</v>
      </c>
      <c r="C63" s="45">
        <f>'Livestock parameters'!B7</f>
        <v>0</v>
      </c>
      <c r="D63" s="82">
        <f>VLOOKUP( INPUTS!$E$3&amp;"|" &amp;$B63,'GHG Parameters'!$D$175:$E$219,2,0)</f>
        <v>1.17</v>
      </c>
      <c r="E63" s="47">
        <f t="shared" si="10"/>
        <v>0</v>
      </c>
      <c r="F63" s="44">
        <f>E63*INPUTS!D26</f>
        <v>0</v>
      </c>
    </row>
    <row r="64" spans="1:19">
      <c r="B64" s="1285" t="str">
        <f>INPUTS!C27</f>
        <v>Pigs - lactating/pregnant sows</v>
      </c>
      <c r="C64" s="45">
        <f>'Livestock parameters'!B8</f>
        <v>0</v>
      </c>
      <c r="D64" s="82">
        <f>VLOOKUP( INPUTS!$E$3&amp;"|" &amp;$B64,'GHG Parameters'!$D$175:$E$219,2,0)</f>
        <v>1.64</v>
      </c>
      <c r="E64" s="47">
        <f t="shared" si="10"/>
        <v>0</v>
      </c>
      <c r="F64" s="44">
        <f>E64*INPUTS!D27</f>
        <v>0</v>
      </c>
    </row>
    <row r="65" spans="1:12">
      <c r="B65" s="1285" t="str">
        <f>INPUTS!C28</f>
        <v>Calves</v>
      </c>
      <c r="C65" s="45">
        <f>'Livestock parameters'!B9</f>
        <v>0</v>
      </c>
      <c r="D65" s="82">
        <f>VLOOKUP( INPUTS!$E$3&amp;"|" &amp;$B65,'GHG Parameters'!$D$175:$E$219,2,0)</f>
        <v>0.63</v>
      </c>
      <c r="E65" s="47">
        <f t="shared" si="10"/>
        <v>0</v>
      </c>
      <c r="F65" s="44">
        <f>E65*INPUTS!D28</f>
        <v>0</v>
      </c>
    </row>
    <row r="66" spans="1:12" s="1153" customFormat="1">
      <c r="B66" s="1285">
        <f>INPUTS!C29</f>
        <v>0</v>
      </c>
      <c r="C66" s="45">
        <f>'Livestock parameters'!B10</f>
        <v>0</v>
      </c>
      <c r="D66" s="82" t="e">
        <f>VLOOKUP( INPUTS!$E$3&amp;"|" &amp;$B66,'GHG Parameters'!$D$175:$E$219,2,0)</f>
        <v>#N/A</v>
      </c>
      <c r="E66" s="47" t="e">
        <f t="shared" si="10"/>
        <v>#N/A</v>
      </c>
      <c r="F66" s="44" t="e">
        <f>E66*INPUTS!D29</f>
        <v>#N/A</v>
      </c>
    </row>
    <row r="67" spans="1:12" s="1251" customFormat="1">
      <c r="B67" s="1285">
        <f>INPUTS!C30</f>
        <v>0</v>
      </c>
      <c r="C67" s="45">
        <f>'Livestock parameters'!B11</f>
        <v>0</v>
      </c>
      <c r="D67" s="82" t="e">
        <f>VLOOKUP( INPUTS!$E$3&amp;"|" &amp;$B67,'GHG Parameters'!$D$175:$E$219,2,0)</f>
        <v>#N/A</v>
      </c>
      <c r="E67" s="47" t="e">
        <f t="shared" ref="E67:E68" si="11">D67*(C67/1000)*365</f>
        <v>#N/A</v>
      </c>
      <c r="F67" s="44" t="e">
        <f>E67*INPUTS!D30</f>
        <v>#N/A</v>
      </c>
    </row>
    <row r="68" spans="1:12" s="1251" customFormat="1">
      <c r="B68" s="1285">
        <f>INPUTS!C31</f>
        <v>0</v>
      </c>
      <c r="C68" s="45">
        <f>'Livestock parameters'!B12</f>
        <v>0</v>
      </c>
      <c r="D68" s="82" t="e">
        <f>VLOOKUP( INPUTS!$E$3&amp;"|" &amp;$B68,'GHG Parameters'!$D$175:$E$219,2,0)</f>
        <v>#N/A</v>
      </c>
      <c r="E68" s="47" t="e">
        <f t="shared" si="11"/>
        <v>#N/A</v>
      </c>
      <c r="F68" s="44" t="e">
        <f>E68*INPUTS!D31</f>
        <v>#N/A</v>
      </c>
    </row>
    <row r="69" spans="1:12" s="1162" customFormat="1">
      <c r="B69" s="1285">
        <f>INPUTS!C32</f>
        <v>0</v>
      </c>
      <c r="C69" s="45">
        <f>'Livestock parameters'!B13</f>
        <v>0</v>
      </c>
      <c r="D69" s="82" t="e">
        <f>VLOOKUP( INPUTS!$E$3&amp;"|" &amp;$B69,'GHG Parameters'!$D$175:$E$219,2,0)</f>
        <v>#N/A</v>
      </c>
      <c r="E69" s="47" t="e">
        <f t="shared" si="10"/>
        <v>#N/A</v>
      </c>
      <c r="F69" s="44" t="e">
        <f>E69*INPUTS!D32</f>
        <v>#N/A</v>
      </c>
    </row>
    <row r="70" spans="1:12" s="1162" customFormat="1">
      <c r="B70" s="1285">
        <f>INPUTS!C33</f>
        <v>0</v>
      </c>
      <c r="C70" s="45">
        <f>'Livestock parameters'!B14</f>
        <v>0</v>
      </c>
      <c r="D70" s="82" t="e">
        <f>VLOOKUP( INPUTS!$E$3&amp;"|" &amp;$B70,'GHG Parameters'!$D$175:$E$219,2,0)</f>
        <v>#N/A</v>
      </c>
      <c r="E70" s="47" t="e">
        <f t="shared" si="10"/>
        <v>#N/A</v>
      </c>
      <c r="F70" s="44" t="e">
        <f>E70*INPUTS!D33</f>
        <v>#N/A</v>
      </c>
    </row>
    <row r="71" spans="1:12">
      <c r="B71" s="1285">
        <f>INPUTS!C34</f>
        <v>0</v>
      </c>
      <c r="C71" s="45">
        <f>'Livestock parameters'!B15</f>
        <v>0</v>
      </c>
      <c r="D71" s="82" t="e">
        <f>VLOOKUP( INPUTS!$E$3&amp;"|" &amp;$B71,'GHG Parameters'!$D$175:$E$219,2,0)</f>
        <v>#N/A</v>
      </c>
      <c r="E71" s="47" t="e">
        <f t="shared" si="10"/>
        <v>#N/A</v>
      </c>
      <c r="F71" s="44" t="e">
        <f>E71*INPUTS!D34</f>
        <v>#N/A</v>
      </c>
    </row>
    <row r="73" spans="1:12">
      <c r="A73" s="1" t="s">
        <v>105</v>
      </c>
    </row>
    <row r="74" spans="1:12">
      <c r="A74" s="5" t="s">
        <v>103</v>
      </c>
    </row>
    <row r="75" spans="1:12">
      <c r="B75" s="26" t="s">
        <v>172</v>
      </c>
      <c r="C75" s="21"/>
      <c r="D75" s="21"/>
      <c r="E75" s="21" t="s">
        <v>366</v>
      </c>
      <c r="F75" s="1102" t="s">
        <v>1656</v>
      </c>
      <c r="G75" s="21" t="s">
        <v>364</v>
      </c>
    </row>
    <row r="76" spans="1:12" s="10" customFormat="1" ht="47.25">
      <c r="B76" s="36" t="s">
        <v>258</v>
      </c>
      <c r="C76" s="24" t="s">
        <v>1328</v>
      </c>
      <c r="D76" s="24" t="s">
        <v>361</v>
      </c>
      <c r="E76" s="24" t="s">
        <v>1330</v>
      </c>
      <c r="F76" s="24" t="s">
        <v>427</v>
      </c>
      <c r="G76" s="31" t="s">
        <v>365</v>
      </c>
    </row>
    <row r="77" spans="1:12" ht="31.5">
      <c r="B77" s="36"/>
      <c r="C77" s="24" t="s">
        <v>1320</v>
      </c>
      <c r="D77" s="24" t="s">
        <v>360</v>
      </c>
      <c r="E77" s="24" t="s">
        <v>1329</v>
      </c>
      <c r="F77" s="24" t="s">
        <v>426</v>
      </c>
      <c r="G77" s="31" t="s">
        <v>1321</v>
      </c>
    </row>
    <row r="78" spans="1:12" ht="28.5" customHeight="1">
      <c r="B78" s="36"/>
      <c r="C78" s="24"/>
      <c r="D78" s="24"/>
      <c r="E78" s="24" t="s">
        <v>359</v>
      </c>
      <c r="F78" s="24" t="s">
        <v>1655</v>
      </c>
      <c r="G78" s="28" t="s">
        <v>428</v>
      </c>
    </row>
    <row r="79" spans="1:12">
      <c r="B79" s="26" t="s">
        <v>143</v>
      </c>
      <c r="C79" s="24" t="s">
        <v>89</v>
      </c>
      <c r="D79" s="24" t="s">
        <v>358</v>
      </c>
      <c r="E79" s="24" t="s">
        <v>363</v>
      </c>
      <c r="F79" s="24" t="s">
        <v>1323</v>
      </c>
      <c r="G79" s="31" t="s">
        <v>362</v>
      </c>
    </row>
    <row r="80" spans="1:12">
      <c r="B80" s="156" t="str">
        <f>INPUTS!C21</f>
        <v>Cows (local)</v>
      </c>
      <c r="C80" s="68">
        <f>'GHG Ent fermentation'!C31</f>
        <v>0</v>
      </c>
      <c r="D80" s="68" t="e">
        <f>Feed!AF8</f>
        <v>#DIV/0!</v>
      </c>
      <c r="E80" s="1101" t="str">
        <f>IFERROR((C80/18.45)*((D80/100)/6.25),"")</f>
        <v/>
      </c>
      <c r="F80" s="1101" t="str">
        <f>IFERROR(((((INPUTS!E21*0.034/6.38)+(INPUTS!F21*(268-(7*16))/6250))*INPUTS!D21/365)/E80),"")</f>
        <v/>
      </c>
      <c r="G80" s="69" t="str">
        <f>IFERROR(E80*(1-(F80))*365,"")</f>
        <v/>
      </c>
      <c r="I80" s="1092"/>
      <c r="J80" s="1092"/>
      <c r="K80" s="1092"/>
      <c r="L80" s="1092"/>
    </row>
    <row r="81" spans="1:19">
      <c r="B81" s="156" t="str">
        <f>INPUTS!C22</f>
        <v>Cows (improved)</v>
      </c>
      <c r="C81" s="68">
        <f>'GHG Ent fermentation'!C32</f>
        <v>353.77017047174763</v>
      </c>
      <c r="D81" s="68" t="e">
        <f>Feed!AF15</f>
        <v>#DIV/0!</v>
      </c>
      <c r="E81" s="1101" t="str">
        <f t="shared" ref="E81:E93" si="12">IFERROR((C81/18.45)*((D81/100)/6.25),"")</f>
        <v/>
      </c>
      <c r="F81" s="1101" t="str">
        <f>IFERROR(((((INPUTS!E22*0.034/6.38)+(INPUTS!F22*(268-(7*16))/6250))*INPUTS!D22/365)/E81),"")</f>
        <v/>
      </c>
      <c r="G81" s="69" t="str">
        <f t="shared" ref="G81:G93" si="13">IFERROR(E81*(1-(F81))*365,"")</f>
        <v/>
      </c>
      <c r="I81" s="1092"/>
      <c r="J81" s="1092"/>
      <c r="K81" s="1092"/>
      <c r="L81" s="1092"/>
    </row>
    <row r="82" spans="1:19">
      <c r="B82" s="156" t="str">
        <f>INPUTS!C23</f>
        <v>Adult cattle - male</v>
      </c>
      <c r="C82" s="68">
        <f>'GHG Ent fermentation'!C33</f>
        <v>0</v>
      </c>
      <c r="D82" s="68" t="e">
        <f>Feed!AF22</f>
        <v>#DIV/0!</v>
      </c>
      <c r="E82" s="1101" t="str">
        <f t="shared" si="12"/>
        <v/>
      </c>
      <c r="F82" s="1101" t="str">
        <f>IFERROR(((((INPUTS!E23*0.034/6.38)+(INPUTS!F23*(268-(7*16))/6250))*INPUTS!D23/365)/E82),"")</f>
        <v/>
      </c>
      <c r="G82" s="69" t="str">
        <f t="shared" si="13"/>
        <v/>
      </c>
      <c r="I82" s="1092"/>
      <c r="J82" s="1092"/>
      <c r="K82" s="1092"/>
      <c r="L82" s="1092"/>
    </row>
    <row r="83" spans="1:19">
      <c r="B83" s="156" t="str">
        <f>INPUTS!C24</f>
        <v>Calves</v>
      </c>
      <c r="C83" s="68">
        <f>'GHG Ent fermentation'!C34</f>
        <v>0</v>
      </c>
      <c r="D83" s="68" t="e">
        <f>Feed!AF29</f>
        <v>#DIV/0!</v>
      </c>
      <c r="E83" s="1101" t="str">
        <f t="shared" si="12"/>
        <v/>
      </c>
      <c r="F83" s="1101" t="str">
        <f>IFERROR(((((INPUTS!E24*0.034/6.38)+(INPUTS!F24*(268-(7*16))/6250))*INPUTS!D24/365)/E83),"")</f>
        <v/>
      </c>
      <c r="G83" s="69" t="str">
        <f t="shared" si="13"/>
        <v/>
      </c>
      <c r="I83" s="1092"/>
      <c r="J83" s="1092"/>
      <c r="K83" s="1092"/>
      <c r="L83" s="1092"/>
    </row>
    <row r="84" spans="1:19">
      <c r="B84" s="156" t="str">
        <f>INPUTS!C25</f>
        <v>Steers/heifers</v>
      </c>
      <c r="C84" s="68">
        <f>'GHG Ent fermentation'!C35</f>
        <v>431.31039339707053</v>
      </c>
      <c r="D84" s="68" t="e">
        <f>Feed!AF36</f>
        <v>#DIV/0!</v>
      </c>
      <c r="E84" s="1101" t="str">
        <f t="shared" si="12"/>
        <v/>
      </c>
      <c r="F84" s="1101" t="str">
        <f>IFERROR(((((INPUTS!E25*0.034/6.38)+(INPUTS!F25*(268-(7*16))/6250))*INPUTS!D25/365)/E84),"")</f>
        <v/>
      </c>
      <c r="G84" s="69" t="str">
        <f t="shared" si="13"/>
        <v/>
      </c>
      <c r="I84" s="1092"/>
      <c r="J84" s="1092"/>
      <c r="K84" s="1092"/>
      <c r="L84" s="1092"/>
    </row>
    <row r="85" spans="1:19">
      <c r="B85" s="156" t="str">
        <f>INPUTS!C26</f>
        <v>Sheep/Goats - Ewes/Does</v>
      </c>
      <c r="C85" s="68">
        <f>'GHG Ent fermentation'!C36</f>
        <v>0</v>
      </c>
      <c r="D85" s="68" t="e">
        <f>Feed!AF43</f>
        <v>#DIV/0!</v>
      </c>
      <c r="E85" s="1101" t="str">
        <f t="shared" si="12"/>
        <v/>
      </c>
      <c r="F85" s="1101" t="str">
        <f>IFERROR(((((INPUTS!E26*0.034/6.38)+(INPUTS!F26*(268-(7*16))/6250))*INPUTS!D26/365)/E85),"")</f>
        <v/>
      </c>
      <c r="G85" s="69" t="str">
        <f t="shared" si="13"/>
        <v/>
      </c>
      <c r="I85" s="1092"/>
      <c r="J85" s="1092"/>
      <c r="K85" s="1092"/>
      <c r="L85" s="1092"/>
    </row>
    <row r="86" spans="1:19">
      <c r="B86" s="156" t="str">
        <f>INPUTS!C27</f>
        <v>Pigs - lactating/pregnant sows</v>
      </c>
      <c r="C86" s="68">
        <f>'GHG Ent fermentation'!C37</f>
        <v>0</v>
      </c>
      <c r="D86" s="68" t="e">
        <f>Feed!AF50</f>
        <v>#DIV/0!</v>
      </c>
      <c r="E86" s="1101" t="str">
        <f t="shared" si="12"/>
        <v/>
      </c>
      <c r="F86" s="1101" t="str">
        <f>IFERROR(((((INPUTS!E27*0.034/6.38)+(INPUTS!F27*(268-(7*16))/6250))*INPUTS!D27/365)/E86),"")</f>
        <v/>
      </c>
      <c r="G86" s="69" t="str">
        <f t="shared" si="13"/>
        <v/>
      </c>
      <c r="I86" s="1092"/>
      <c r="J86" s="1092"/>
      <c r="K86" s="1092"/>
      <c r="L86" s="1092"/>
    </row>
    <row r="87" spans="1:19">
      <c r="B87" s="156" t="str">
        <f>INPUTS!C28</f>
        <v>Calves</v>
      </c>
      <c r="C87" s="68">
        <f>'GHG Ent fermentation'!C38</f>
        <v>0</v>
      </c>
      <c r="D87" s="68" t="e">
        <f>Feed!AF57</f>
        <v>#DIV/0!</v>
      </c>
      <c r="E87" s="1101" t="str">
        <f t="shared" si="12"/>
        <v/>
      </c>
      <c r="F87" s="1101" t="str">
        <f>IFERROR(((((INPUTS!E28*0.034/6.38)+(INPUTS!F28*(268-(7*16))/6250))*INPUTS!D28/365)/E87),"")</f>
        <v/>
      </c>
      <c r="G87" s="69" t="str">
        <f t="shared" si="13"/>
        <v/>
      </c>
      <c r="H87" s="63"/>
      <c r="I87" s="1092"/>
      <c r="J87" s="1092"/>
      <c r="K87" s="1092"/>
      <c r="L87" s="1092"/>
    </row>
    <row r="88" spans="1:19" s="1153" customFormat="1">
      <c r="B88" s="156">
        <f>INPUTS!C29</f>
        <v>0</v>
      </c>
      <c r="C88" s="68">
        <f>'GHG Ent fermentation'!C39</f>
        <v>0</v>
      </c>
      <c r="D88" s="68" t="e">
        <f>Feed!AF64</f>
        <v>#DIV/0!</v>
      </c>
      <c r="E88" s="1101" t="str">
        <f t="shared" si="12"/>
        <v/>
      </c>
      <c r="F88" s="1101" t="str">
        <f>IFERROR(((((INPUTS!E29*0.034/6.38)+(INPUTS!F29*(268-(7*16))/6250))*INPUTS!D29/365)/E88),"")</f>
        <v/>
      </c>
      <c r="G88" s="69" t="str">
        <f t="shared" si="13"/>
        <v/>
      </c>
      <c r="H88" s="63"/>
      <c r="I88" s="1092"/>
      <c r="J88" s="1092"/>
      <c r="K88" s="1092"/>
      <c r="L88" s="1092"/>
    </row>
    <row r="89" spans="1:19" s="1251" customFormat="1">
      <c r="B89" s="156">
        <f>INPUTS!C30</f>
        <v>0</v>
      </c>
      <c r="C89" s="68">
        <f>'GHG Ent fermentation'!C40</f>
        <v>0</v>
      </c>
      <c r="D89" s="68" t="e">
        <f>Feed!AF71</f>
        <v>#DIV/0!</v>
      </c>
      <c r="E89" s="1101" t="str">
        <f t="shared" ref="E89:E90" si="14">IFERROR((C89/18.45)*((D89/100)/6.25),"")</f>
        <v/>
      </c>
      <c r="F89" s="1101" t="str">
        <f>IFERROR(((((INPUTS!E30*0.034/6.38)+(INPUTS!F30*(268-(7*16))/6250))*INPUTS!D30/365)/E89),"")</f>
        <v/>
      </c>
      <c r="G89" s="69" t="str">
        <f t="shared" ref="G89:G90" si="15">IFERROR(E89*(1-(F89))*365,"")</f>
        <v/>
      </c>
      <c r="H89" s="1250"/>
      <c r="I89" s="1092"/>
      <c r="J89" s="1092"/>
      <c r="K89" s="1092"/>
      <c r="L89" s="1092"/>
    </row>
    <row r="90" spans="1:19" s="1251" customFormat="1">
      <c r="B90" s="156">
        <f>INPUTS!C31</f>
        <v>0</v>
      </c>
      <c r="C90" s="68">
        <f>'GHG Ent fermentation'!C41</f>
        <v>0</v>
      </c>
      <c r="D90" s="68" t="e">
        <f>Feed!AF78</f>
        <v>#DIV/0!</v>
      </c>
      <c r="E90" s="1101" t="str">
        <f t="shared" si="14"/>
        <v/>
      </c>
      <c r="F90" s="1101" t="str">
        <f>IFERROR(((((INPUTS!E31*0.034/6.38)+(INPUTS!F31*(268-(7*16))/6250))*INPUTS!D31/365)/E90),"")</f>
        <v/>
      </c>
      <c r="G90" s="69" t="str">
        <f t="shared" si="15"/>
        <v/>
      </c>
      <c r="H90" s="1250"/>
      <c r="I90" s="1092"/>
      <c r="J90" s="1092"/>
      <c r="K90" s="1092"/>
      <c r="L90" s="1092"/>
    </row>
    <row r="91" spans="1:19" s="1162" customFormat="1">
      <c r="B91" s="156">
        <f>INPUTS!C32</f>
        <v>0</v>
      </c>
      <c r="C91" s="68">
        <f>'GHG Ent fermentation'!C42</f>
        <v>0</v>
      </c>
      <c r="D91" s="68" t="e">
        <f>Feed!AF85</f>
        <v>#DIV/0!</v>
      </c>
      <c r="E91" s="1101" t="str">
        <f t="shared" si="12"/>
        <v/>
      </c>
      <c r="F91" s="1101" t="str">
        <f>IFERROR(((((INPUTS!E32*0.034/6.38)+(INPUTS!F32*(268-(7*16))/6250))*INPUTS!D32/365)/E91),"")</f>
        <v/>
      </c>
      <c r="G91" s="69" t="str">
        <f t="shared" si="13"/>
        <v/>
      </c>
      <c r="H91" s="63"/>
      <c r="I91" s="1092"/>
      <c r="J91" s="1092"/>
      <c r="K91" s="1092"/>
      <c r="L91" s="1092"/>
    </row>
    <row r="92" spans="1:19" s="1162" customFormat="1">
      <c r="B92" s="156">
        <f>INPUTS!C33</f>
        <v>0</v>
      </c>
      <c r="C92" s="68">
        <f>'GHG Ent fermentation'!C43</f>
        <v>0</v>
      </c>
      <c r="D92" s="68" t="e">
        <f>Feed!AF92</f>
        <v>#DIV/0!</v>
      </c>
      <c r="E92" s="1101" t="str">
        <f t="shared" si="12"/>
        <v/>
      </c>
      <c r="F92" s="1101" t="str">
        <f>IFERROR(((((INPUTS!E33*0.034/6.38)+(INPUTS!F33*(268-(7*16))/6250))*INPUTS!D33/365)/E92),"")</f>
        <v/>
      </c>
      <c r="G92" s="69" t="str">
        <f t="shared" si="13"/>
        <v/>
      </c>
      <c r="H92" s="63"/>
      <c r="I92" s="1092"/>
      <c r="J92" s="1092"/>
      <c r="K92" s="1092"/>
      <c r="L92" s="1092"/>
    </row>
    <row r="93" spans="1:19">
      <c r="B93" s="156">
        <f>INPUTS!C34</f>
        <v>0</v>
      </c>
      <c r="C93" s="68">
        <f>'GHG Ent fermentation'!C44</f>
        <v>0</v>
      </c>
      <c r="D93" s="68" t="e">
        <f>Feed!AF99</f>
        <v>#DIV/0!</v>
      </c>
      <c r="E93" s="1101" t="str">
        <f t="shared" si="12"/>
        <v/>
      </c>
      <c r="F93" s="1101" t="str">
        <f>IFERROR(((((INPUTS!E34*0.034/6.38)+(INPUTS!F34*(268-(7*16))/6250))*INPUTS!D34/365)/E93),"")</f>
        <v/>
      </c>
      <c r="G93" s="69" t="str">
        <f t="shared" si="13"/>
        <v/>
      </c>
      <c r="I93" s="1092"/>
      <c r="J93" s="1092"/>
      <c r="K93" s="1092"/>
      <c r="L93" s="1092"/>
    </row>
    <row r="95" spans="1:19">
      <c r="A95" s="6" t="s">
        <v>108</v>
      </c>
      <c r="P95" s="8"/>
      <c r="Q95" s="7"/>
      <c r="R95" s="8"/>
      <c r="S95" s="7"/>
    </row>
    <row r="96" spans="1:19">
      <c r="A96" s="1" t="s">
        <v>109</v>
      </c>
      <c r="F96" t="s">
        <v>106</v>
      </c>
      <c r="P96" s="8"/>
      <c r="Q96" s="7"/>
      <c r="R96" s="8"/>
      <c r="S96" s="7"/>
    </row>
    <row r="97" spans="1:19">
      <c r="A97" t="s">
        <v>110</v>
      </c>
      <c r="F97" t="s">
        <v>107</v>
      </c>
      <c r="P97" s="8"/>
      <c r="Q97" s="7"/>
      <c r="R97" s="8"/>
      <c r="S97" s="7"/>
    </row>
    <row r="98" spans="1:19">
      <c r="A98" t="s">
        <v>111</v>
      </c>
    </row>
    <row r="99" spans="1:19">
      <c r="A99" t="s">
        <v>112</v>
      </c>
    </row>
    <row r="100" spans="1:19">
      <c r="A100" t="s">
        <v>113</v>
      </c>
      <c r="G100" s="51"/>
    </row>
    <row r="101" spans="1:19">
      <c r="A101" s="5"/>
    </row>
    <row r="102" spans="1:19">
      <c r="A102" s="5"/>
      <c r="B102" s="23" t="s">
        <v>254</v>
      </c>
      <c r="C102" s="67"/>
      <c r="D102" s="67"/>
      <c r="E102" s="67" t="s">
        <v>410</v>
      </c>
      <c r="F102" s="67"/>
      <c r="G102" s="67" t="s">
        <v>409</v>
      </c>
      <c r="H102" s="67"/>
      <c r="I102" s="46" t="s">
        <v>817</v>
      </c>
      <c r="J102" s="67" t="s">
        <v>818</v>
      </c>
      <c r="L102" s="172" t="s">
        <v>907</v>
      </c>
    </row>
    <row r="103" spans="1:19">
      <c r="A103" s="11"/>
      <c r="B103" s="1586" t="s">
        <v>258</v>
      </c>
      <c r="C103" s="1523" t="s">
        <v>1326</v>
      </c>
      <c r="D103" s="1525"/>
      <c r="E103" s="1601" t="s">
        <v>957</v>
      </c>
      <c r="F103" s="1603"/>
      <c r="G103" s="1601" t="s">
        <v>957</v>
      </c>
      <c r="H103" s="1603"/>
      <c r="I103" s="24" t="s">
        <v>399</v>
      </c>
      <c r="J103" s="31" t="s">
        <v>399</v>
      </c>
      <c r="L103" s="211" t="s">
        <v>401</v>
      </c>
      <c r="M103" s="1078"/>
    </row>
    <row r="104" spans="1:19">
      <c r="B104" s="1619"/>
      <c r="C104" s="1629" t="s">
        <v>397</v>
      </c>
      <c r="D104" s="1630"/>
      <c r="E104" s="1601" t="s">
        <v>402</v>
      </c>
      <c r="F104" s="1603"/>
      <c r="G104" s="1601" t="s">
        <v>402</v>
      </c>
      <c r="H104" s="1603"/>
      <c r="I104" s="24" t="s">
        <v>257</v>
      </c>
      <c r="J104" s="31" t="s">
        <v>257</v>
      </c>
      <c r="L104" s="211" t="s">
        <v>402</v>
      </c>
      <c r="M104" s="1078"/>
    </row>
    <row r="105" spans="1:19" ht="47.25" customHeight="1">
      <c r="B105" s="1620"/>
      <c r="C105" s="92" t="s">
        <v>396</v>
      </c>
      <c r="D105" s="27" t="s">
        <v>396</v>
      </c>
      <c r="E105" s="1615" t="s">
        <v>412</v>
      </c>
      <c r="F105" s="1616"/>
      <c r="G105" s="1615" t="s">
        <v>411</v>
      </c>
      <c r="H105" s="1616"/>
      <c r="I105" s="24" t="s">
        <v>400</v>
      </c>
      <c r="J105" s="31" t="s">
        <v>400</v>
      </c>
      <c r="L105" s="1079" t="s">
        <v>411</v>
      </c>
      <c r="M105" s="1080"/>
    </row>
    <row r="106" spans="1:19" ht="15.75" customHeight="1">
      <c r="B106" s="49" t="s">
        <v>143</v>
      </c>
      <c r="C106" s="14" t="str">
        <f>INPUTS!D37</f>
        <v>solid storage</v>
      </c>
      <c r="D106" s="14" t="str">
        <f>INPUTS!D38</f>
        <v xml:space="preserve">dry lot </v>
      </c>
      <c r="E106" s="14" t="str">
        <f>INPUTS!D37</f>
        <v>solid storage</v>
      </c>
      <c r="F106" s="14" t="str">
        <f>INPUTS!D38</f>
        <v xml:space="preserve">dry lot </v>
      </c>
      <c r="G106" s="14" t="str">
        <f>INPUTS!D37</f>
        <v>solid storage</v>
      </c>
      <c r="H106" s="14" t="str">
        <f>INPUTS!D38</f>
        <v xml:space="preserve">dry lot </v>
      </c>
      <c r="I106" s="52" t="s">
        <v>398</v>
      </c>
      <c r="J106" s="48" t="s">
        <v>398</v>
      </c>
    </row>
    <row r="107" spans="1:19">
      <c r="B107" s="156" t="str">
        <f>INPUTS!C21</f>
        <v>Cows (local)</v>
      </c>
      <c r="C107" s="131">
        <f>VLOOKUP(C$106,'GHG Parameters'!A$227:B$229, 2,FALSE)</f>
        <v>5.0000000000000001E-3</v>
      </c>
      <c r="D107" s="131">
        <f>VLOOKUP(D$106,'GHG Parameters'!A$227:B$229,2,FALSE)</f>
        <v>0.02</v>
      </c>
      <c r="E107" s="68">
        <f>'GHG Manure'!E58*INPUTS!H21*C107</f>
        <v>0</v>
      </c>
      <c r="F107" s="68">
        <f>'GHG Manure'!E58*INPUTS!I21*D107</f>
        <v>0</v>
      </c>
      <c r="G107" s="61" t="str">
        <f>IFERROR('GHG Manure'!G80*INPUTS!H21*C107,"")</f>
        <v/>
      </c>
      <c r="H107" s="61">
        <f>IFERROR(IFERROR('GHG Manure'!G80*INPUTS!I21*D107,"")/INPUTS!D21,0)</f>
        <v>0</v>
      </c>
      <c r="I107" s="68">
        <f>SUM(E107:F107)*(44/28)*INPUTS!D21</f>
        <v>0</v>
      </c>
      <c r="J107" s="66">
        <f>SUM(G107:H107)*(44/28)*INPUTS!D21</f>
        <v>0</v>
      </c>
    </row>
    <row r="108" spans="1:19">
      <c r="B108" s="156" t="str">
        <f>INPUTS!C22</f>
        <v>Cows (improved)</v>
      </c>
      <c r="C108" s="131">
        <f>VLOOKUP(C$106,'GHG Parameters'!A$227:B$229, 2,FALSE)</f>
        <v>5.0000000000000001E-3</v>
      </c>
      <c r="D108" s="131">
        <f>VLOOKUP(D$106,'GHG Parameters'!A$227:B$229,2,FALSE)</f>
        <v>0.02</v>
      </c>
      <c r="E108" s="68">
        <f>'GHG Manure'!E59*INPUTS!H22*C108</f>
        <v>0.41719499999999998</v>
      </c>
      <c r="F108" s="68">
        <f>'GHG Manure'!E59*INPUTS!I22*D108</f>
        <v>0</v>
      </c>
      <c r="G108" s="61" t="str">
        <f>IFERROR('GHG Manure'!G81*INPUTS!H22*C108,"")</f>
        <v/>
      </c>
      <c r="H108" s="61">
        <f>IFERROR(IFERROR('GHG Manure'!G81*INPUTS!I22*D108,"")/INPUTS!D22,0)</f>
        <v>0</v>
      </c>
      <c r="I108" s="68">
        <f>SUM(E108:F108)*(44/28)*INPUTS!D22</f>
        <v>1.3111842857142857</v>
      </c>
      <c r="J108" s="66">
        <f>SUM(G108:H108)*(44/28)*INPUTS!D22</f>
        <v>0</v>
      </c>
    </row>
    <row r="109" spans="1:19">
      <c r="B109" s="156" t="str">
        <f>INPUTS!C23</f>
        <v>Adult cattle - male</v>
      </c>
      <c r="C109" s="131">
        <f>VLOOKUP(C$106,'GHG Parameters'!A$227:B$229, 2,FALSE)</f>
        <v>5.0000000000000001E-3</v>
      </c>
      <c r="D109" s="131">
        <f>VLOOKUP(D$106,'GHG Parameters'!A$227:B$229,2,FALSE)</f>
        <v>0.02</v>
      </c>
      <c r="E109" s="68">
        <f>'GHG Manure'!E60*INPUTS!H23*C109</f>
        <v>0</v>
      </c>
      <c r="F109" s="68">
        <f>'GHG Manure'!E60*INPUTS!I23*D109</f>
        <v>0</v>
      </c>
      <c r="G109" s="61" t="str">
        <f>IFERROR('GHG Manure'!G82*INPUTS!H23*C109,"")</f>
        <v/>
      </c>
      <c r="H109" s="61">
        <f>IFERROR(IFERROR('GHG Manure'!G82*INPUTS!I23*D109,"")/INPUTS!D23,0)</f>
        <v>0</v>
      </c>
      <c r="I109" s="68">
        <f>SUM(E109:F109)*(44/28)*INPUTS!D23</f>
        <v>0</v>
      </c>
      <c r="J109" s="66">
        <f>SUM(G109:H109)*(44/28)*INPUTS!D23</f>
        <v>0</v>
      </c>
    </row>
    <row r="110" spans="1:19">
      <c r="B110" s="156" t="str">
        <f>INPUTS!C24</f>
        <v>Calves</v>
      </c>
      <c r="C110" s="131">
        <f>VLOOKUP(C$106,'GHG Parameters'!A$227:B$229, 2,FALSE)</f>
        <v>5.0000000000000001E-3</v>
      </c>
      <c r="D110" s="131">
        <f>VLOOKUP(D$106,'GHG Parameters'!A$227:B$229,2,FALSE)</f>
        <v>0.02</v>
      </c>
      <c r="E110" s="68">
        <f>'GHG Manure'!E61*INPUTS!H24*C110</f>
        <v>0</v>
      </c>
      <c r="F110" s="68">
        <f>'GHG Manure'!E61*INPUTS!I24*D110</f>
        <v>0</v>
      </c>
      <c r="G110" s="61" t="str">
        <f>IFERROR('GHG Manure'!G83*INPUTS!H24*C110,"")</f>
        <v/>
      </c>
      <c r="H110" s="61">
        <f>IFERROR(IFERROR('GHG Manure'!G83*INPUTS!I24*D110,"")/INPUTS!D24,0)</f>
        <v>0</v>
      </c>
      <c r="I110" s="68">
        <f>SUM(E110:F110)*(44/28)*INPUTS!D24</f>
        <v>0</v>
      </c>
      <c r="J110" s="66">
        <f>SUM(G110:H110)*(44/28)*INPUTS!D24</f>
        <v>0</v>
      </c>
    </row>
    <row r="111" spans="1:19">
      <c r="B111" s="156" t="str">
        <f>INPUTS!C25</f>
        <v>Steers/heifers</v>
      </c>
      <c r="C111" s="131">
        <f>VLOOKUP(C$106,'GHG Parameters'!A$227:B$229, 2,FALSE)</f>
        <v>5.0000000000000001E-3</v>
      </c>
      <c r="D111" s="131">
        <f>VLOOKUP(D$106,'GHG Parameters'!A$227:B$229,2,FALSE)</f>
        <v>0.02</v>
      </c>
      <c r="E111" s="68">
        <f>'GHG Manure'!E62*INPUTS!H25*C111</f>
        <v>0.33342750000000004</v>
      </c>
      <c r="F111" s="68">
        <f>'GHG Manure'!E62*INPUTS!I25*D111</f>
        <v>0</v>
      </c>
      <c r="G111" s="61" t="str">
        <f>IFERROR('GHG Manure'!G84*INPUTS!H25*C111,"")</f>
        <v/>
      </c>
      <c r="H111" s="61">
        <f>IFERROR(IFERROR('GHG Manure'!G84*INPUTS!I25*D111,"")/INPUTS!D25,0)</f>
        <v>0</v>
      </c>
      <c r="I111" s="68">
        <f>SUM(E111:F111)*(44/28)*INPUTS!D25</f>
        <v>1.5718725000000002</v>
      </c>
      <c r="J111" s="66">
        <f>SUM(G111:H111)*(44/28)*INPUTS!D25</f>
        <v>0</v>
      </c>
    </row>
    <row r="112" spans="1:19">
      <c r="B112" s="156" t="str">
        <f>INPUTS!C26</f>
        <v>Sheep/Goats - Ewes/Does</v>
      </c>
      <c r="C112" s="131">
        <f>VLOOKUP(C$106,'GHG Parameters'!A$227:B$229, 2,FALSE)</f>
        <v>5.0000000000000001E-3</v>
      </c>
      <c r="D112" s="131">
        <f>VLOOKUP(D$106,'GHG Parameters'!A$227:B$229,2,FALSE)</f>
        <v>0.02</v>
      </c>
      <c r="E112" s="68">
        <f>'GHG Manure'!E63*INPUTS!H26*C112</f>
        <v>0</v>
      </c>
      <c r="F112" s="68">
        <f>'GHG Manure'!E63*INPUTS!I26*D112</f>
        <v>0</v>
      </c>
      <c r="G112" s="61" t="str">
        <f>IFERROR('GHG Manure'!G85*INPUTS!H26*C112,"")</f>
        <v/>
      </c>
      <c r="H112" s="61">
        <f>IFERROR(IFERROR('GHG Manure'!G85*INPUTS!I26*D112,"")/INPUTS!D26,0)</f>
        <v>0</v>
      </c>
      <c r="I112" s="68">
        <f>SUM(E112:F112)*(44/28)*INPUTS!D26</f>
        <v>0</v>
      </c>
      <c r="J112" s="66">
        <f>SUM(G112:H112)*(44/28)*INPUTS!D26</f>
        <v>0</v>
      </c>
    </row>
    <row r="113" spans="1:13">
      <c r="B113" s="156" t="str">
        <f>INPUTS!C27</f>
        <v>Pigs - lactating/pregnant sows</v>
      </c>
      <c r="C113" s="131">
        <f>VLOOKUP(C$106,'GHG Parameters'!A$227:B$229, 2,FALSE)</f>
        <v>5.0000000000000001E-3</v>
      </c>
      <c r="D113" s="131">
        <f>VLOOKUP(D$106,'GHG Parameters'!A$227:B$229,2,FALSE)</f>
        <v>0.02</v>
      </c>
      <c r="E113" s="68">
        <f>'GHG Manure'!E64*INPUTS!H27*C113</f>
        <v>0</v>
      </c>
      <c r="F113" s="68">
        <f>'GHG Manure'!E64*INPUTS!I27*D113</f>
        <v>0</v>
      </c>
      <c r="G113" s="61" t="str">
        <f>IFERROR('GHG Manure'!G86*INPUTS!H27*C113,"")</f>
        <v/>
      </c>
      <c r="H113" s="61">
        <f>IFERROR(IFERROR('GHG Manure'!G86*INPUTS!I27*D113,"")/INPUTS!D27,0)</f>
        <v>0</v>
      </c>
      <c r="I113" s="68">
        <f>SUM(E113:F113)*(44/28)*INPUTS!D27</f>
        <v>0</v>
      </c>
      <c r="J113" s="66">
        <f>SUM(G113:H113)*(44/28)*INPUTS!D27</f>
        <v>0</v>
      </c>
    </row>
    <row r="114" spans="1:13">
      <c r="B114" s="156" t="str">
        <f>INPUTS!C28</f>
        <v>Calves</v>
      </c>
      <c r="C114" s="131">
        <f>VLOOKUP(C$106,'GHG Parameters'!A$227:B$229, 2,FALSE)</f>
        <v>5.0000000000000001E-3</v>
      </c>
      <c r="D114" s="131">
        <f>VLOOKUP(D$106,'GHG Parameters'!A$227:B$229,2,FALSE)</f>
        <v>0.02</v>
      </c>
      <c r="E114" s="68">
        <f>'GHG Manure'!E65*INPUTS!H28*C114</f>
        <v>0</v>
      </c>
      <c r="F114" s="68">
        <f>'GHG Manure'!E65*INPUTS!I28*D114</f>
        <v>0</v>
      </c>
      <c r="G114" s="61" t="str">
        <f>IFERROR('GHG Manure'!G87*INPUTS!H28*C114,"")</f>
        <v/>
      </c>
      <c r="H114" s="61">
        <f>IFERROR(IFERROR('GHG Manure'!G87*INPUTS!I28*D114,"")/INPUTS!D28,0)</f>
        <v>0</v>
      </c>
      <c r="I114" s="68">
        <f>SUM(E114:F114)*(44/28)*INPUTS!D28</f>
        <v>0</v>
      </c>
      <c r="J114" s="66">
        <f>SUM(G114:H114)*(44/28)*INPUTS!D28</f>
        <v>0</v>
      </c>
    </row>
    <row r="115" spans="1:13" s="1153" customFormat="1">
      <c r="B115" s="156">
        <f>INPUTS!C29</f>
        <v>0</v>
      </c>
      <c r="C115" s="131">
        <f>VLOOKUP(C$106,'GHG Parameters'!A$227:B$229, 2,FALSE)</f>
        <v>5.0000000000000001E-3</v>
      </c>
      <c r="D115" s="131">
        <f>VLOOKUP(D$106,'GHG Parameters'!A$227:B$229,2,FALSE)</f>
        <v>0.02</v>
      </c>
      <c r="E115" s="68" t="e">
        <f>'GHG Manure'!E66*INPUTS!H29*C115</f>
        <v>#N/A</v>
      </c>
      <c r="F115" s="68" t="e">
        <f>'GHG Manure'!E66*INPUTS!I29*D115</f>
        <v>#N/A</v>
      </c>
      <c r="G115" s="61" t="str">
        <f>IFERROR('GHG Manure'!G88*INPUTS!H29*C115,"")</f>
        <v/>
      </c>
      <c r="H115" s="61">
        <f>IFERROR(IFERROR('GHG Manure'!G88*INPUTS!I29*D115,"")/INPUTS!D29,0)</f>
        <v>0</v>
      </c>
      <c r="I115" s="68" t="e">
        <f>SUM(E115:F115)*(44/28)*INPUTS!D29</f>
        <v>#N/A</v>
      </c>
      <c r="J115" s="66">
        <f>SUM(G115:H115)*(44/28)*INPUTS!D29</f>
        <v>0</v>
      </c>
    </row>
    <row r="116" spans="1:13" s="1251" customFormat="1">
      <c r="B116" s="156">
        <f>INPUTS!C30</f>
        <v>0</v>
      </c>
      <c r="C116" s="131">
        <f>VLOOKUP(C$106,'GHG Parameters'!A$227:B$229, 2,FALSE)</f>
        <v>5.0000000000000001E-3</v>
      </c>
      <c r="D116" s="131">
        <f>VLOOKUP(D$106,'GHG Parameters'!A$227:B$229,2,FALSE)</f>
        <v>0.02</v>
      </c>
      <c r="E116" s="68" t="e">
        <f>'GHG Manure'!E67*INPUTS!H30*C116</f>
        <v>#N/A</v>
      </c>
      <c r="F116" s="68" t="e">
        <f>'GHG Manure'!E67*INPUTS!I30*D116</f>
        <v>#N/A</v>
      </c>
      <c r="G116" s="61" t="str">
        <f>IFERROR('GHG Manure'!G89*INPUTS!H30*C116,"")</f>
        <v/>
      </c>
      <c r="H116" s="61">
        <f>IFERROR(IFERROR('GHG Manure'!G89*INPUTS!I30*D116,"")/INPUTS!D30,0)</f>
        <v>0</v>
      </c>
      <c r="I116" s="68" t="e">
        <f>SUM(E116:F116)*(44/28)*INPUTS!D30</f>
        <v>#N/A</v>
      </c>
      <c r="J116" s="66">
        <f>SUM(G116:H116)*(44/28)*INPUTS!D30</f>
        <v>0</v>
      </c>
    </row>
    <row r="117" spans="1:13" s="1251" customFormat="1">
      <c r="B117" s="156">
        <f>INPUTS!C31</f>
        <v>0</v>
      </c>
      <c r="C117" s="131">
        <f>VLOOKUP(C$106,'GHG Parameters'!A$227:B$229, 2,FALSE)</f>
        <v>5.0000000000000001E-3</v>
      </c>
      <c r="D117" s="131">
        <f>VLOOKUP(D$106,'GHG Parameters'!A$227:B$229,2,FALSE)</f>
        <v>0.02</v>
      </c>
      <c r="E117" s="68" t="e">
        <f>'GHG Manure'!E68*INPUTS!H31*C117</f>
        <v>#N/A</v>
      </c>
      <c r="F117" s="68" t="e">
        <f>'GHG Manure'!E68*INPUTS!I31*D117</f>
        <v>#N/A</v>
      </c>
      <c r="G117" s="61" t="str">
        <f>IFERROR('GHG Manure'!G90*INPUTS!H31*C117,"")</f>
        <v/>
      </c>
      <c r="H117" s="61">
        <f>IFERROR(IFERROR('GHG Manure'!G90*INPUTS!I31*D117,"")/INPUTS!D31,0)</f>
        <v>0</v>
      </c>
      <c r="I117" s="68" t="e">
        <f>SUM(E117:F117)*(44/28)*INPUTS!D31</f>
        <v>#N/A</v>
      </c>
      <c r="J117" s="66">
        <f>SUM(G117:H117)*(44/28)*INPUTS!D31</f>
        <v>0</v>
      </c>
    </row>
    <row r="118" spans="1:13" s="1162" customFormat="1">
      <c r="B118" s="156">
        <f>INPUTS!C32</f>
        <v>0</v>
      </c>
      <c r="C118" s="131">
        <f>VLOOKUP(C$106,'GHG Parameters'!A$227:B$229, 2,FALSE)</f>
        <v>5.0000000000000001E-3</v>
      </c>
      <c r="D118" s="131">
        <f>VLOOKUP(D$106,'GHG Parameters'!A$227:B$229,2,FALSE)</f>
        <v>0.02</v>
      </c>
      <c r="E118" s="68" t="e">
        <f>'GHG Manure'!E69*INPUTS!H32*C118</f>
        <v>#N/A</v>
      </c>
      <c r="F118" s="68" t="e">
        <f>'GHG Manure'!E69*INPUTS!I32*D118</f>
        <v>#N/A</v>
      </c>
      <c r="G118" s="61" t="str">
        <f>IFERROR('GHG Manure'!G91*INPUTS!H32*C118,"")</f>
        <v/>
      </c>
      <c r="H118" s="61">
        <f>IFERROR(IFERROR('GHG Manure'!G91*INPUTS!I32*D118,"")/INPUTS!D32,0)</f>
        <v>0</v>
      </c>
      <c r="I118" s="68" t="e">
        <f>SUM(E118:F118)*(44/28)*INPUTS!D32</f>
        <v>#N/A</v>
      </c>
      <c r="J118" s="66">
        <f>SUM(G118:H118)*(44/28)*INPUTS!D32</f>
        <v>0</v>
      </c>
    </row>
    <row r="119" spans="1:13" s="1162" customFormat="1">
      <c r="B119" s="156">
        <f>INPUTS!C33</f>
        <v>0</v>
      </c>
      <c r="C119" s="131">
        <f>VLOOKUP(C$106,'GHG Parameters'!A$227:B$229, 2,FALSE)</f>
        <v>5.0000000000000001E-3</v>
      </c>
      <c r="D119" s="131">
        <f>VLOOKUP(D$106,'GHG Parameters'!A$227:B$229,2,FALSE)</f>
        <v>0.02</v>
      </c>
      <c r="E119" s="68" t="e">
        <f>'GHG Manure'!E70*INPUTS!H33*C119</f>
        <v>#N/A</v>
      </c>
      <c r="F119" s="68" t="e">
        <f>'GHG Manure'!E70*INPUTS!I33*D119</f>
        <v>#N/A</v>
      </c>
      <c r="G119" s="61" t="str">
        <f>IFERROR('GHG Manure'!G92*INPUTS!H33*C119,"")</f>
        <v/>
      </c>
      <c r="H119" s="61">
        <f>IFERROR(IFERROR('GHG Manure'!G92*INPUTS!I33*D119,"")/INPUTS!D33,0)</f>
        <v>0</v>
      </c>
      <c r="I119" s="68" t="e">
        <f>SUM(E119:F119)*(44/28)*INPUTS!D33</f>
        <v>#N/A</v>
      </c>
      <c r="J119" s="66">
        <f>SUM(G119:H119)*(44/28)*INPUTS!D33</f>
        <v>0</v>
      </c>
    </row>
    <row r="120" spans="1:13">
      <c r="B120" s="156">
        <f>INPUTS!C34</f>
        <v>0</v>
      </c>
      <c r="C120" s="131">
        <f>VLOOKUP(C$106,'GHG Parameters'!A$227:B$229, 2,FALSE)</f>
        <v>5.0000000000000001E-3</v>
      </c>
      <c r="D120" s="131">
        <f>VLOOKUP(D$106,'GHG Parameters'!A$227:B$229,2,FALSE)</f>
        <v>0.02</v>
      </c>
      <c r="E120" s="68" t="e">
        <f>'GHG Manure'!E71*INPUTS!H34*C120</f>
        <v>#N/A</v>
      </c>
      <c r="F120" s="68" t="e">
        <f>'GHG Manure'!E71*INPUTS!I34*D120</f>
        <v>#N/A</v>
      </c>
      <c r="G120" s="61" t="str">
        <f>IFERROR('GHG Manure'!G93*INPUTS!H34*C120,"")</f>
        <v/>
      </c>
      <c r="H120" s="61">
        <f>IFERROR(IFERROR('GHG Manure'!G93*INPUTS!I34*D120,"")/INPUTS!D34,0)</f>
        <v>0</v>
      </c>
      <c r="I120" s="68" t="e">
        <f>SUM(E120:F120)*(44/28)*INPUTS!D34</f>
        <v>#N/A</v>
      </c>
      <c r="J120" s="66">
        <f>SUM(G120:H120)*(44/28)*INPUTS!D34</f>
        <v>0</v>
      </c>
    </row>
    <row r="121" spans="1:13">
      <c r="H121" s="50" t="s">
        <v>122</v>
      </c>
      <c r="I121" s="47">
        <f>SUMIF(I107:I120,"&lt;&gt;#N/A")</f>
        <v>2.8830567857142859</v>
      </c>
      <c r="J121" s="66">
        <f>SUM(J107:J120)</f>
        <v>0</v>
      </c>
    </row>
    <row r="124" spans="1:13">
      <c r="A124" s="5" t="s">
        <v>425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424</v>
      </c>
      <c r="J125" s="23" t="s">
        <v>424</v>
      </c>
      <c r="K125" s="23"/>
      <c r="L125" s="23" t="s">
        <v>423</v>
      </c>
      <c r="M125" s="67" t="s">
        <v>423</v>
      </c>
    </row>
    <row r="126" spans="1:13" ht="47.25" customHeight="1">
      <c r="A126" s="10"/>
      <c r="B126" s="1640" t="s">
        <v>258</v>
      </c>
      <c r="C126" s="1617" t="s">
        <v>419</v>
      </c>
      <c r="D126" s="1550"/>
      <c r="E126" s="1523" t="s">
        <v>420</v>
      </c>
      <c r="F126" s="1525"/>
      <c r="G126" s="1523" t="s">
        <v>420</v>
      </c>
      <c r="H126" s="1525"/>
      <c r="I126" s="56" t="s">
        <v>418</v>
      </c>
      <c r="J126" s="56" t="s">
        <v>418</v>
      </c>
      <c r="K126" s="58" t="s">
        <v>404</v>
      </c>
      <c r="L126" s="24" t="s">
        <v>421</v>
      </c>
      <c r="M126" s="31" t="s">
        <v>421</v>
      </c>
    </row>
    <row r="127" spans="1:13" ht="31.5">
      <c r="B127" s="1641"/>
      <c r="C127" s="1643" t="s">
        <v>360</v>
      </c>
      <c r="D127" s="1644"/>
      <c r="E127" s="1615" t="s">
        <v>403</v>
      </c>
      <c r="F127" s="1616"/>
      <c r="G127" s="1615" t="s">
        <v>403</v>
      </c>
      <c r="H127" s="1616"/>
      <c r="I127" s="56" t="s">
        <v>214</v>
      </c>
      <c r="J127" s="56" t="s">
        <v>214</v>
      </c>
      <c r="K127" s="52" t="s">
        <v>406</v>
      </c>
      <c r="L127" s="60" t="s">
        <v>407</v>
      </c>
      <c r="M127" s="60" t="s">
        <v>407</v>
      </c>
    </row>
    <row r="128" spans="1:13" ht="47.25">
      <c r="B128" s="1642"/>
      <c r="C128" s="1615" t="s">
        <v>123</v>
      </c>
      <c r="D128" s="1616"/>
      <c r="E128" s="1615" t="s">
        <v>413</v>
      </c>
      <c r="F128" s="1616"/>
      <c r="G128" s="1615" t="s">
        <v>414</v>
      </c>
      <c r="H128" s="1616"/>
      <c r="I128" s="56"/>
      <c r="J128" s="56"/>
      <c r="K128" s="59" t="s">
        <v>405</v>
      </c>
      <c r="L128" s="54" t="s">
        <v>408</v>
      </c>
      <c r="M128" s="54" t="s">
        <v>408</v>
      </c>
    </row>
    <row r="129" spans="1:13" s="10" customFormat="1" ht="78.75" customHeight="1">
      <c r="A129"/>
      <c r="B129" s="62" t="s">
        <v>385</v>
      </c>
      <c r="C129" s="163" t="str">
        <f>INPUTS!D37</f>
        <v>solid storage</v>
      </c>
      <c r="D129" s="163" t="str">
        <f>INPUTS!D38</f>
        <v xml:space="preserve">dry lot </v>
      </c>
      <c r="E129" s="52" t="str">
        <f>INPUTS!D37</f>
        <v>solid storage</v>
      </c>
      <c r="F129" s="52" t="str">
        <f>INPUTS!D38</f>
        <v xml:space="preserve">dry lot </v>
      </c>
      <c r="G129" s="52" t="str">
        <f>INPUTS!D37</f>
        <v>solid storage</v>
      </c>
      <c r="H129" s="52" t="str">
        <f>INPUTS!D38</f>
        <v xml:space="preserve">dry lot </v>
      </c>
      <c r="I129" s="56" t="s">
        <v>415</v>
      </c>
      <c r="J129" s="56" t="s">
        <v>416</v>
      </c>
      <c r="K129" s="59" t="s">
        <v>125</v>
      </c>
      <c r="L129" s="54" t="s">
        <v>417</v>
      </c>
      <c r="M129" s="54" t="s">
        <v>422</v>
      </c>
    </row>
    <row r="130" spans="1:13" ht="17.100000000000001" customHeight="1">
      <c r="B130" s="156" t="str">
        <f>INPUTS!C21</f>
        <v>Cows (local)</v>
      </c>
      <c r="C130" s="162">
        <f>VLOOKUP($C$129,'GHG Parameters'!$B$133:$C$137,2,FALSE)</f>
        <v>0.3</v>
      </c>
      <c r="D130" s="162">
        <f>VLOOKUP($D$129,'GHG Parameters'!$B$132:$C$133,2,FALSE)</f>
        <v>0.2</v>
      </c>
      <c r="E130" s="53">
        <f>'GHG Manure'!E58*INPUTS!H21*C130</f>
        <v>0</v>
      </c>
      <c r="F130" s="53">
        <f>'GHG Manure'!E59*INPUTS!I21*D130</f>
        <v>0</v>
      </c>
      <c r="G130" s="53" t="str">
        <f>IFERROR((('GHG Manure'!G80*INPUTS!H21)*'GHG Manure'!C130),"")</f>
        <v/>
      </c>
      <c r="H130" s="53">
        <f>IFERROR(IFERROR('GHG Manure'!G80*INPUTS!I21*'GHG Manure'!D130,"")/INPUTS!D21,0)</f>
        <v>0</v>
      </c>
      <c r="I130" s="57">
        <f>(SUM(E130:F130))*INPUTS!D21</f>
        <v>0</v>
      </c>
      <c r="J130" s="57">
        <f>(SUM(G130:H130))*INPUTS!D21</f>
        <v>0</v>
      </c>
      <c r="K130" s="52">
        <f>'GHG Parameters'!D$241</f>
        <v>0.01</v>
      </c>
      <c r="L130" s="68">
        <f t="shared" ref="L130:L143" si="16">(I130*K130)*(44/28)</f>
        <v>0</v>
      </c>
      <c r="M130" s="55">
        <f t="shared" ref="M130:M143" si="17">(J130*K130)*(44/28)</f>
        <v>0</v>
      </c>
    </row>
    <row r="131" spans="1:13">
      <c r="B131" s="156" t="str">
        <f>INPUTS!C22</f>
        <v>Cows (improved)</v>
      </c>
      <c r="C131" s="162">
        <f>VLOOKUP($C$129,'GHG Parameters'!$B$133:$C$137,2,FALSE)</f>
        <v>0.3</v>
      </c>
      <c r="D131" s="162">
        <f>VLOOKUP($D$129,'GHG Parameters'!$B$132:$C$133,2,FALSE)</f>
        <v>0.2</v>
      </c>
      <c r="E131" s="53">
        <f>'GHG Manure'!E59*INPUTS!H22*C131</f>
        <v>25.031699999999997</v>
      </c>
      <c r="F131" s="53">
        <f>'GHG Manure'!E60*INPUTS!I22*D131</f>
        <v>0</v>
      </c>
      <c r="G131" s="53" t="str">
        <f>IFERROR((('GHG Manure'!G81*INPUTS!H22)*'GHG Manure'!C131),"")</f>
        <v/>
      </c>
      <c r="H131" s="53">
        <f>IFERROR(IFERROR('GHG Manure'!G81*INPUTS!I22*'GHG Manure'!D131,"")/INPUTS!D22,0)</f>
        <v>0</v>
      </c>
      <c r="I131" s="57">
        <f>(SUM(E131:F131))*INPUTS!D22</f>
        <v>50.063399999999994</v>
      </c>
      <c r="J131" s="57">
        <f>(SUM(G131:H131))*INPUTS!D22</f>
        <v>0</v>
      </c>
      <c r="K131" s="52">
        <f>'GHG Parameters'!D$241</f>
        <v>0.01</v>
      </c>
      <c r="L131" s="68">
        <f t="shared" si="16"/>
        <v>0.78671057142857126</v>
      </c>
      <c r="M131" s="55">
        <f t="shared" si="17"/>
        <v>0</v>
      </c>
    </row>
    <row r="132" spans="1:13">
      <c r="B132" s="156" t="str">
        <f>INPUTS!C23</f>
        <v>Adult cattle - male</v>
      </c>
      <c r="C132" s="162">
        <f>VLOOKUP($C$129,'GHG Parameters'!$B$133:$C$137,2,FALSE)</f>
        <v>0.3</v>
      </c>
      <c r="D132" s="162">
        <f>VLOOKUP($D$129,'GHG Parameters'!$B$132:$C$133,2,FALSE)</f>
        <v>0.2</v>
      </c>
      <c r="E132" s="53">
        <f>'GHG Manure'!E60*INPUTS!H23*C132</f>
        <v>0</v>
      </c>
      <c r="F132" s="53">
        <f>'GHG Manure'!E61*INPUTS!I23*D132</f>
        <v>0</v>
      </c>
      <c r="G132" s="53" t="str">
        <f>IFERROR((('GHG Manure'!G82*INPUTS!H23)*'GHG Manure'!C132),"")</f>
        <v/>
      </c>
      <c r="H132" s="53">
        <f>IFERROR(IFERROR('GHG Manure'!G82*INPUTS!I23*'GHG Manure'!D132,"")/INPUTS!D23,0)</f>
        <v>0</v>
      </c>
      <c r="I132" s="57">
        <f>(SUM(E132:F132))*INPUTS!D23</f>
        <v>0</v>
      </c>
      <c r="J132" s="57">
        <f>(SUM(G132:H132))*INPUTS!D23</f>
        <v>0</v>
      </c>
      <c r="K132" s="52">
        <f>'GHG Parameters'!D$241</f>
        <v>0.01</v>
      </c>
      <c r="L132" s="68">
        <f t="shared" si="16"/>
        <v>0</v>
      </c>
      <c r="M132" s="55">
        <f t="shared" si="17"/>
        <v>0</v>
      </c>
    </row>
    <row r="133" spans="1:13">
      <c r="B133" s="156" t="str">
        <f>INPUTS!C24</f>
        <v>Calves</v>
      </c>
      <c r="C133" s="162">
        <f>VLOOKUP($C$129,'GHG Parameters'!$B$133:$C$137,2,FALSE)</f>
        <v>0.3</v>
      </c>
      <c r="D133" s="162">
        <f>VLOOKUP($D$129,'GHG Parameters'!$B$132:$C$133,2,FALSE)</f>
        <v>0.2</v>
      </c>
      <c r="E133" s="53">
        <f>'GHG Manure'!E61*INPUTS!H24*C133</f>
        <v>0</v>
      </c>
      <c r="F133" s="53">
        <f>'GHG Manure'!E62*INPUTS!I24*D133</f>
        <v>0</v>
      </c>
      <c r="G133" s="53" t="str">
        <f>IFERROR((('GHG Manure'!G83*INPUTS!H24)*'GHG Manure'!C133),"")</f>
        <v/>
      </c>
      <c r="H133" s="53">
        <f>IFERROR(IFERROR('GHG Manure'!G83*INPUTS!I24*'GHG Manure'!D133,"")/INPUTS!D24,0)</f>
        <v>0</v>
      </c>
      <c r="I133" s="57">
        <f>(SUM(E133:F133))*INPUTS!D24</f>
        <v>0</v>
      </c>
      <c r="J133" s="57">
        <f>(SUM(G133:H133))*INPUTS!D24</f>
        <v>0</v>
      </c>
      <c r="K133" s="52">
        <f>'GHG Parameters'!D$241</f>
        <v>0.01</v>
      </c>
      <c r="L133" s="68">
        <f t="shared" si="16"/>
        <v>0</v>
      </c>
      <c r="M133" s="55">
        <f t="shared" si="17"/>
        <v>0</v>
      </c>
    </row>
    <row r="134" spans="1:13">
      <c r="B134" s="156" t="str">
        <f>INPUTS!C25</f>
        <v>Steers/heifers</v>
      </c>
      <c r="C134" s="162">
        <f>VLOOKUP($C$129,'GHG Parameters'!$B$133:$C$137,2,FALSE)</f>
        <v>0.3</v>
      </c>
      <c r="D134" s="162">
        <f>VLOOKUP($D$129,'GHG Parameters'!$B$132:$C$133,2,FALSE)</f>
        <v>0.2</v>
      </c>
      <c r="E134" s="53">
        <f>'GHG Manure'!E62*INPUTS!H25*C134</f>
        <v>20.005649999999999</v>
      </c>
      <c r="F134" s="53">
        <f>'GHG Manure'!E63*INPUTS!I25*D134</f>
        <v>0</v>
      </c>
      <c r="G134" s="53" t="str">
        <f>IFERROR((('GHG Manure'!G84*INPUTS!H25)*'GHG Manure'!C134),"")</f>
        <v/>
      </c>
      <c r="H134" s="53">
        <f>IFERROR(IFERROR('GHG Manure'!G84*INPUTS!I25*'GHG Manure'!D134,"")/INPUTS!D25,0)</f>
        <v>0</v>
      </c>
      <c r="I134" s="57">
        <f>(SUM(E134:F134))*INPUTS!D25</f>
        <v>60.016949999999994</v>
      </c>
      <c r="J134" s="57">
        <f>(SUM(G134:H134))*INPUTS!D25</f>
        <v>0</v>
      </c>
      <c r="K134" s="52">
        <f>'GHG Parameters'!D$241</f>
        <v>0.01</v>
      </c>
      <c r="L134" s="68">
        <f t="shared" si="16"/>
        <v>0.94312349999999989</v>
      </c>
      <c r="M134" s="55">
        <f t="shared" si="17"/>
        <v>0</v>
      </c>
    </row>
    <row r="135" spans="1:13">
      <c r="B135" s="156" t="str">
        <f>INPUTS!C26</f>
        <v>Sheep/Goats - Ewes/Does</v>
      </c>
      <c r="C135" s="162">
        <f>VLOOKUP($C$129,'GHG Parameters'!$B$133:$C$137,2,FALSE)</f>
        <v>0.3</v>
      </c>
      <c r="D135" s="162">
        <f>VLOOKUP($D$129,'GHG Parameters'!$B$132:$C$133,2,FALSE)</f>
        <v>0.2</v>
      </c>
      <c r="E135" s="53">
        <f>'GHG Manure'!E63*INPUTS!H26*C135</f>
        <v>0</v>
      </c>
      <c r="F135" s="53">
        <f>'GHG Manure'!E64*INPUTS!I26*D135</f>
        <v>0</v>
      </c>
      <c r="G135" s="53" t="str">
        <f>IFERROR((('GHG Manure'!G85*INPUTS!H26)*'GHG Manure'!C135),"")</f>
        <v/>
      </c>
      <c r="H135" s="53">
        <f>IFERROR(IFERROR('GHG Manure'!G85*INPUTS!I26*'GHG Manure'!D135,"")/INPUTS!D26,0)</f>
        <v>0</v>
      </c>
      <c r="I135" s="57">
        <f>(SUM(E135:F135))*INPUTS!D26</f>
        <v>0</v>
      </c>
      <c r="J135" s="57">
        <f>(SUM(G135:H135))*INPUTS!D26</f>
        <v>0</v>
      </c>
      <c r="K135" s="52">
        <f>'GHG Parameters'!D$241</f>
        <v>0.01</v>
      </c>
      <c r="L135" s="68">
        <f t="shared" si="16"/>
        <v>0</v>
      </c>
      <c r="M135" s="55">
        <f t="shared" si="17"/>
        <v>0</v>
      </c>
    </row>
    <row r="136" spans="1:13">
      <c r="B136" s="156" t="str">
        <f>INPUTS!C27</f>
        <v>Pigs - lactating/pregnant sows</v>
      </c>
      <c r="C136" s="162">
        <f>VLOOKUP($C$129,'GHG Parameters'!$B$133:$C$137,2,FALSE)</f>
        <v>0.3</v>
      </c>
      <c r="D136" s="162">
        <f>VLOOKUP($D$129,'GHG Parameters'!$B$132:$C$133,2,FALSE)</f>
        <v>0.2</v>
      </c>
      <c r="E136" s="53">
        <f>'GHG Manure'!E64*INPUTS!H27*C136</f>
        <v>0</v>
      </c>
      <c r="F136" s="53">
        <f>'GHG Manure'!E65*INPUTS!I27*D136</f>
        <v>0</v>
      </c>
      <c r="G136" s="53" t="str">
        <f>IFERROR((('GHG Manure'!G86*INPUTS!H27)*'GHG Manure'!C136),"")</f>
        <v/>
      </c>
      <c r="H136" s="53">
        <f>IFERROR(IFERROR('GHG Manure'!G86*INPUTS!I27*'GHG Manure'!D136,"")/INPUTS!D27,0)</f>
        <v>0</v>
      </c>
      <c r="I136" s="57">
        <f>(SUM(E136:F136))*INPUTS!D27</f>
        <v>0</v>
      </c>
      <c r="J136" s="57">
        <f>(SUM(G136:H136))*INPUTS!D27</f>
        <v>0</v>
      </c>
      <c r="K136" s="52">
        <f>'GHG Parameters'!D$241</f>
        <v>0.01</v>
      </c>
      <c r="L136" s="68">
        <f t="shared" si="16"/>
        <v>0</v>
      </c>
      <c r="M136" s="55">
        <f t="shared" si="17"/>
        <v>0</v>
      </c>
    </row>
    <row r="137" spans="1:13" s="1153" customFormat="1">
      <c r="B137" s="156" t="str">
        <f>INPUTS!C28</f>
        <v>Calves</v>
      </c>
      <c r="C137" s="162">
        <f>VLOOKUP($C$129,'GHG Parameters'!$B$133:$C$137,2,FALSE)</f>
        <v>0.3</v>
      </c>
      <c r="D137" s="162">
        <f>VLOOKUP($D$129,'GHG Parameters'!$B$132:$C$133,2,FALSE)</f>
        <v>0.2</v>
      </c>
      <c r="E137" s="53">
        <f>'GHG Manure'!E65*INPUTS!H28*C137</f>
        <v>0</v>
      </c>
      <c r="F137" s="53" t="e">
        <f>'GHG Manure'!E66*INPUTS!I28*D137</f>
        <v>#N/A</v>
      </c>
      <c r="G137" s="53" t="str">
        <f>IFERROR((('GHG Manure'!G87*INPUTS!H28)*'GHG Manure'!C137),"")</f>
        <v/>
      </c>
      <c r="H137" s="53">
        <f>IFERROR(IFERROR('GHG Manure'!G87*INPUTS!I28*'GHG Manure'!D137,"")/INPUTS!D28,0)</f>
        <v>0</v>
      </c>
      <c r="I137" s="57" t="e">
        <f>(SUM(E137:F137))*INPUTS!D28</f>
        <v>#N/A</v>
      </c>
      <c r="J137" s="57">
        <f>(SUM(G137:H137))*INPUTS!D28</f>
        <v>0</v>
      </c>
      <c r="K137" s="52">
        <f>'GHG Parameters'!D$241</f>
        <v>0.01</v>
      </c>
      <c r="L137" s="68" t="e">
        <f t="shared" si="16"/>
        <v>#N/A</v>
      </c>
      <c r="M137" s="55">
        <f t="shared" si="17"/>
        <v>0</v>
      </c>
    </row>
    <row r="138" spans="1:13" s="1251" customFormat="1">
      <c r="B138" s="156">
        <f>INPUTS!C29</f>
        <v>0</v>
      </c>
      <c r="C138" s="162">
        <f>VLOOKUP($C$129,'GHG Parameters'!$B$133:$C$137,2,FALSE)</f>
        <v>0.3</v>
      </c>
      <c r="D138" s="162">
        <f>VLOOKUP($D$129,'GHG Parameters'!$B$132:$C$133,2,FALSE)</f>
        <v>0.2</v>
      </c>
      <c r="E138" s="53" t="e">
        <f>'GHG Manure'!E66*INPUTS!H29*C138</f>
        <v>#N/A</v>
      </c>
      <c r="F138" s="53" t="e">
        <f>'GHG Manure'!E67*INPUTS!I29*D138</f>
        <v>#N/A</v>
      </c>
      <c r="G138" s="53" t="str">
        <f>IFERROR((('GHG Manure'!G88*INPUTS!H29)*'GHG Manure'!C138),"")</f>
        <v/>
      </c>
      <c r="H138" s="53">
        <f>IFERROR(IFERROR('GHG Manure'!G88*INPUTS!I29*'GHG Manure'!D138,"")/INPUTS!D29,0)</f>
        <v>0</v>
      </c>
      <c r="I138" s="57" t="e">
        <f>(SUM(E138:F138))*INPUTS!D29</f>
        <v>#N/A</v>
      </c>
      <c r="J138" s="57">
        <f>(SUM(G138:H138))*INPUTS!D29</f>
        <v>0</v>
      </c>
      <c r="K138" s="52">
        <f>'GHG Parameters'!D$241</f>
        <v>0.01</v>
      </c>
      <c r="L138" s="68" t="e">
        <f t="shared" si="16"/>
        <v>#N/A</v>
      </c>
      <c r="M138" s="55">
        <f t="shared" si="17"/>
        <v>0</v>
      </c>
    </row>
    <row r="139" spans="1:13" s="1251" customFormat="1">
      <c r="B139" s="156">
        <f>INPUTS!C30</f>
        <v>0</v>
      </c>
      <c r="C139" s="162">
        <f>VLOOKUP($C$129,'GHG Parameters'!$B$133:$C$137,2,FALSE)</f>
        <v>0.3</v>
      </c>
      <c r="D139" s="162">
        <f>VLOOKUP($D$129,'GHG Parameters'!$B$132:$C$133,2,FALSE)</f>
        <v>0.2</v>
      </c>
      <c r="E139" s="53" t="e">
        <f>'GHG Manure'!E67*INPUTS!H30*C139</f>
        <v>#N/A</v>
      </c>
      <c r="F139" s="53" t="e">
        <f>'GHG Manure'!E68*INPUTS!I30*D139</f>
        <v>#N/A</v>
      </c>
      <c r="G139" s="53" t="str">
        <f>IFERROR((('GHG Manure'!G89*INPUTS!H30)*'GHG Manure'!C139),"")</f>
        <v/>
      </c>
      <c r="H139" s="53">
        <f>IFERROR(IFERROR('GHG Manure'!G89*INPUTS!I30*'GHG Manure'!D139,"")/INPUTS!D30,0)</f>
        <v>0</v>
      </c>
      <c r="I139" s="57" t="e">
        <f>(SUM(E139:F139))*INPUTS!D30</f>
        <v>#N/A</v>
      </c>
      <c r="J139" s="57">
        <f>(SUM(G139:H139))*INPUTS!D30</f>
        <v>0</v>
      </c>
      <c r="K139" s="52">
        <f>'GHG Parameters'!D$241</f>
        <v>0.01</v>
      </c>
      <c r="L139" s="68" t="e">
        <f t="shared" si="16"/>
        <v>#N/A</v>
      </c>
      <c r="M139" s="55">
        <f t="shared" si="17"/>
        <v>0</v>
      </c>
    </row>
    <row r="140" spans="1:13" s="1162" customFormat="1">
      <c r="B140" s="156">
        <f>INPUTS!C31</f>
        <v>0</v>
      </c>
      <c r="C140" s="162">
        <f>VLOOKUP($C$129,'GHG Parameters'!$B$133:$C$137,2,FALSE)</f>
        <v>0.3</v>
      </c>
      <c r="D140" s="162">
        <f>VLOOKUP($D$129,'GHG Parameters'!$B$132:$C$133,2,FALSE)</f>
        <v>0.2</v>
      </c>
      <c r="E140" s="53" t="e">
        <f>'GHG Manure'!E68*INPUTS!H31*C140</f>
        <v>#N/A</v>
      </c>
      <c r="F140" s="53" t="e">
        <f>'GHG Manure'!E69*INPUTS!I31*D140</f>
        <v>#N/A</v>
      </c>
      <c r="G140" s="53" t="str">
        <f>IFERROR((('GHG Manure'!G90*INPUTS!H31)*'GHG Manure'!C140),"")</f>
        <v/>
      </c>
      <c r="H140" s="53">
        <f>IFERROR(IFERROR('GHG Manure'!G90*INPUTS!I31*'GHG Manure'!D140,"")/INPUTS!D31,0)</f>
        <v>0</v>
      </c>
      <c r="I140" s="57" t="e">
        <f>(SUM(E140:F140))*INPUTS!D31</f>
        <v>#N/A</v>
      </c>
      <c r="J140" s="57">
        <f>(SUM(G140:H140))*INPUTS!D31</f>
        <v>0</v>
      </c>
      <c r="K140" s="52">
        <f>'GHG Parameters'!D$241</f>
        <v>0.01</v>
      </c>
      <c r="L140" s="68" t="e">
        <f t="shared" si="16"/>
        <v>#N/A</v>
      </c>
      <c r="M140" s="55">
        <f t="shared" si="17"/>
        <v>0</v>
      </c>
    </row>
    <row r="141" spans="1:13" s="1162" customFormat="1">
      <c r="B141" s="156">
        <f>INPUTS!C32</f>
        <v>0</v>
      </c>
      <c r="C141" s="162">
        <f>VLOOKUP($C$129,'GHG Parameters'!$B$133:$C$137,2,FALSE)</f>
        <v>0.3</v>
      </c>
      <c r="D141" s="162">
        <f>VLOOKUP($D$129,'GHG Parameters'!$B$132:$C$133,2,FALSE)</f>
        <v>0.2</v>
      </c>
      <c r="E141" s="53" t="e">
        <f>'GHG Manure'!E69*INPUTS!H32*C141</f>
        <v>#N/A</v>
      </c>
      <c r="F141" s="53" t="e">
        <f>'GHG Manure'!E70*INPUTS!I32*D141</f>
        <v>#N/A</v>
      </c>
      <c r="G141" s="53" t="str">
        <f>IFERROR((('GHG Manure'!G91*INPUTS!H32)*'GHG Manure'!C141),"")</f>
        <v/>
      </c>
      <c r="H141" s="53">
        <f>IFERROR(IFERROR('GHG Manure'!G91*INPUTS!I32*'GHG Manure'!D141,"")/INPUTS!D32,0)</f>
        <v>0</v>
      </c>
      <c r="I141" s="57" t="e">
        <f>(SUM(E141:F141))*INPUTS!D32</f>
        <v>#N/A</v>
      </c>
      <c r="J141" s="57">
        <f>(SUM(G141:H141))*INPUTS!D32</f>
        <v>0</v>
      </c>
      <c r="K141" s="52">
        <f>'GHG Parameters'!D$241</f>
        <v>0.01</v>
      </c>
      <c r="L141" s="68" t="e">
        <f t="shared" si="16"/>
        <v>#N/A</v>
      </c>
      <c r="M141" s="55">
        <f t="shared" si="17"/>
        <v>0</v>
      </c>
    </row>
    <row r="142" spans="1:13">
      <c r="B142" s="156">
        <f>INPUTS!C33</f>
        <v>0</v>
      </c>
      <c r="C142" s="162">
        <f>VLOOKUP($C$129,'GHG Parameters'!$B$133:$C$137,2,FALSE)</f>
        <v>0.3</v>
      </c>
      <c r="D142" s="162">
        <f>VLOOKUP($D$129,'GHG Parameters'!$B$132:$C$133,2,FALSE)</f>
        <v>0.2</v>
      </c>
      <c r="E142" s="53" t="e">
        <f>'GHG Manure'!E70*INPUTS!H33*C142</f>
        <v>#N/A</v>
      </c>
      <c r="F142" s="53" t="e">
        <f>'GHG Manure'!E71*INPUTS!I33*D142</f>
        <v>#N/A</v>
      </c>
      <c r="G142" s="53" t="str">
        <f>IFERROR((('GHG Manure'!G92*INPUTS!H33)*'GHG Manure'!C142),"")</f>
        <v/>
      </c>
      <c r="H142" s="53">
        <f>IFERROR(IFERROR('GHG Manure'!G92*INPUTS!I33*'GHG Manure'!D142,"")/INPUTS!D33,0)</f>
        <v>0</v>
      </c>
      <c r="I142" s="57" t="e">
        <f>(SUM(E142:F142))*INPUTS!D33</f>
        <v>#N/A</v>
      </c>
      <c r="J142" s="57">
        <f>(SUM(G142:H142))*INPUTS!D33</f>
        <v>0</v>
      </c>
      <c r="K142" s="52">
        <f>'GHG Parameters'!D$241</f>
        <v>0.01</v>
      </c>
      <c r="L142" s="68" t="e">
        <f t="shared" si="16"/>
        <v>#N/A</v>
      </c>
      <c r="M142" s="55">
        <f t="shared" si="17"/>
        <v>0</v>
      </c>
    </row>
    <row r="143" spans="1:13" s="1286" customFormat="1">
      <c r="B143" s="156">
        <f>INPUTS!C34</f>
        <v>0</v>
      </c>
      <c r="C143" s="162">
        <f>VLOOKUP($C$129,'GHG Parameters'!$B$133:$C$137,2,FALSE)</f>
        <v>0.3</v>
      </c>
      <c r="D143" s="162">
        <f>VLOOKUP($D$129,'GHG Parameters'!$B$132:$C$133,2,FALSE)</f>
        <v>0.2</v>
      </c>
      <c r="E143" s="53" t="e">
        <f>'GHG Manure'!E71*INPUTS!H34*C143</f>
        <v>#N/A</v>
      </c>
      <c r="F143" s="53">
        <f>'GHG Manure'!E72*INPUTS!I34*D143</f>
        <v>0</v>
      </c>
      <c r="G143" s="53" t="str">
        <f>IFERROR((('GHG Manure'!G93*INPUTS!H34)*'GHG Manure'!C143),"")</f>
        <v/>
      </c>
      <c r="H143" s="53">
        <f>IFERROR(IFERROR('GHG Manure'!G93*INPUTS!I34*'GHG Manure'!D143,"")/INPUTS!D34,0)</f>
        <v>0</v>
      </c>
      <c r="I143" s="57" t="e">
        <f>(SUM(E143:F143))*INPUTS!D34</f>
        <v>#N/A</v>
      </c>
      <c r="J143" s="57">
        <f>(SUM(G143:H143))*INPUTS!D34</f>
        <v>0</v>
      </c>
      <c r="K143" s="52">
        <f>'GHG Parameters'!D$241</f>
        <v>0.01</v>
      </c>
      <c r="L143" s="68" t="e">
        <f t="shared" si="16"/>
        <v>#N/A</v>
      </c>
      <c r="M143" s="55">
        <f t="shared" si="17"/>
        <v>0</v>
      </c>
    </row>
    <row r="144" spans="1:13">
      <c r="B144" s="1637" t="s">
        <v>124</v>
      </c>
      <c r="C144" s="1638"/>
      <c r="D144" s="1638"/>
      <c r="E144" s="1638"/>
      <c r="F144" s="1638"/>
      <c r="G144" s="1638"/>
      <c r="H144" s="1639"/>
      <c r="I144" s="47">
        <f>SUMIF(I130:I143,"&lt;&gt;#N/A")</f>
        <v>110.08034999999998</v>
      </c>
      <c r="J144" s="57">
        <f>SUM(J130:J143)</f>
        <v>0</v>
      </c>
      <c r="K144" s="62" t="s">
        <v>122</v>
      </c>
      <c r="L144" s="47">
        <f>SUMIF(L130:L143,"&lt;&gt;#N/A")</f>
        <v>1.7298340714285712</v>
      </c>
      <c r="M144" s="55">
        <f>SUM(M130:M143)</f>
        <v>0</v>
      </c>
    </row>
    <row r="145" spans="1:13">
      <c r="B145" s="1062"/>
      <c r="C145" s="1062"/>
      <c r="D145" s="1062"/>
      <c r="E145" s="1062"/>
      <c r="F145" s="1062"/>
      <c r="G145" s="1062"/>
      <c r="H145" s="1062"/>
      <c r="I145" s="63"/>
    </row>
    <row r="146" spans="1:13">
      <c r="A146" s="37" t="s">
        <v>515</v>
      </c>
    </row>
    <row r="147" spans="1:13" ht="47.25">
      <c r="A147" t="s">
        <v>608</v>
      </c>
      <c r="J147" s="26" t="s">
        <v>497</v>
      </c>
      <c r="K147" s="10" t="s">
        <v>498</v>
      </c>
      <c r="L147" s="10"/>
      <c r="M147" s="10"/>
    </row>
    <row r="148" spans="1:13" ht="47.25">
      <c r="A148" s="1590" t="s">
        <v>492</v>
      </c>
      <c r="B148" s="46" t="s">
        <v>494</v>
      </c>
      <c r="C148" s="46" t="s">
        <v>493</v>
      </c>
      <c r="D148" s="1593" t="s">
        <v>495</v>
      </c>
      <c r="E148" s="1595"/>
      <c r="F148" s="89" t="s">
        <v>918</v>
      </c>
      <c r="G148" s="89" t="s">
        <v>919</v>
      </c>
      <c r="H148" s="1593" t="s">
        <v>496</v>
      </c>
      <c r="I148" s="1595"/>
      <c r="J148" s="26" t="s">
        <v>233</v>
      </c>
      <c r="K148" s="10"/>
      <c r="L148" s="10"/>
      <c r="M148" s="10"/>
    </row>
    <row r="149" spans="1:13">
      <c r="A149" s="1592"/>
      <c r="B149" s="46" t="s">
        <v>290</v>
      </c>
      <c r="C149" s="26" t="s">
        <v>233</v>
      </c>
      <c r="D149" s="26" t="s">
        <v>233</v>
      </c>
      <c r="E149" s="26" t="s">
        <v>233</v>
      </c>
      <c r="F149" s="26" t="s">
        <v>233</v>
      </c>
      <c r="G149" s="26" t="s">
        <v>233</v>
      </c>
      <c r="H149" s="26" t="s">
        <v>233</v>
      </c>
      <c r="I149" s="26" t="s">
        <v>233</v>
      </c>
      <c r="J149" s="26" t="s">
        <v>509</v>
      </c>
      <c r="K149" s="10"/>
      <c r="L149" s="10"/>
      <c r="M149" s="10"/>
    </row>
    <row r="150" spans="1:13" ht="31.5">
      <c r="A150" s="1626" t="s">
        <v>143</v>
      </c>
      <c r="B150" s="1625"/>
      <c r="C150" s="1622" t="s">
        <v>499</v>
      </c>
      <c r="D150" s="1593" t="s">
        <v>500</v>
      </c>
      <c r="E150" s="1595"/>
      <c r="F150" s="26" t="s">
        <v>502</v>
      </c>
      <c r="G150" s="26" t="s">
        <v>502</v>
      </c>
      <c r="H150" s="26" t="s">
        <v>506</v>
      </c>
      <c r="I150" s="26" t="s">
        <v>507</v>
      </c>
      <c r="J150" s="26" t="s">
        <v>508</v>
      </c>
      <c r="K150" s="10"/>
      <c r="L150" s="10"/>
      <c r="M150" s="10"/>
    </row>
    <row r="151" spans="1:13" s="10" customFormat="1">
      <c r="A151" s="1627"/>
      <c r="B151" s="1625"/>
      <c r="C151" s="1624"/>
      <c r="D151" s="75" t="s">
        <v>812</v>
      </c>
      <c r="E151" s="22" t="s">
        <v>813</v>
      </c>
      <c r="F151" s="26" t="s">
        <v>501</v>
      </c>
      <c r="G151" s="26" t="s">
        <v>501</v>
      </c>
      <c r="H151" s="26" t="s">
        <v>505</v>
      </c>
      <c r="I151" s="26" t="s">
        <v>505</v>
      </c>
      <c r="J151" s="26" t="s">
        <v>510</v>
      </c>
    </row>
    <row r="152" spans="1:13" s="10" customFormat="1">
      <c r="A152" s="1628"/>
      <c r="B152" s="94" t="s">
        <v>491</v>
      </c>
      <c r="C152" s="26" t="s">
        <v>489</v>
      </c>
      <c r="D152" s="26" t="str">
        <f>INPUTS!D37</f>
        <v>solid storage</v>
      </c>
      <c r="E152" s="26" t="str">
        <f>INPUTS!D38</f>
        <v xml:space="preserve">dry lot </v>
      </c>
      <c r="F152" s="26" t="s">
        <v>395</v>
      </c>
      <c r="G152" s="26" t="s">
        <v>395</v>
      </c>
      <c r="H152" s="26" t="str">
        <f>INPUTS!D37</f>
        <v>solid storage</v>
      </c>
      <c r="I152" s="26" t="str">
        <f>INPUTS!D38</f>
        <v xml:space="preserve">dry lot </v>
      </c>
      <c r="J152" s="45"/>
      <c r="K152"/>
      <c r="L152"/>
      <c r="M152"/>
    </row>
    <row r="153" spans="1:13" s="10" customFormat="1">
      <c r="A153" s="156" t="str">
        <f>INPUTS!C21</f>
        <v>Cows (local)</v>
      </c>
      <c r="B153" s="45">
        <f>'GHG Manure'!E58</f>
        <v>0</v>
      </c>
      <c r="C153" s="45">
        <f>B153*INPUTS!D21</f>
        <v>0</v>
      </c>
      <c r="D153" s="45">
        <f>C153*INPUTS!H21</f>
        <v>0</v>
      </c>
      <c r="E153" s="45">
        <f>C153*INPUTS!I21</f>
        <v>0</v>
      </c>
      <c r="F153" s="45">
        <f>(INPUTS!J21*C153)</f>
        <v>0</v>
      </c>
      <c r="G153" s="45">
        <f>(INPUTS!K21*C153)</f>
        <v>0</v>
      </c>
      <c r="H153" s="45">
        <f>(D153*(1-C130)) *INPUTS!M21*INPUTS!Q21</f>
        <v>0</v>
      </c>
      <c r="I153" s="45">
        <f>(E153*(1-D130))*INPUTS!N21*INPUTS!Q21</f>
        <v>0</v>
      </c>
      <c r="J153" s="45">
        <f t="shared" ref="J153:J166" si="18">(H153+I153)-(I107*(28/44))</f>
        <v>0</v>
      </c>
      <c r="K153"/>
      <c r="L153"/>
      <c r="M153"/>
    </row>
    <row r="154" spans="1:13" s="10" customFormat="1">
      <c r="A154" s="156" t="str">
        <f>INPUTS!C22</f>
        <v>Cows (improved)</v>
      </c>
      <c r="B154" s="45">
        <f>'GHG Manure'!E59</f>
        <v>83.438999999999993</v>
      </c>
      <c r="C154" s="45">
        <f>B154*INPUTS!D22</f>
        <v>166.87799999999999</v>
      </c>
      <c r="D154" s="45">
        <f>C154*INPUTS!H22</f>
        <v>166.87799999999999</v>
      </c>
      <c r="E154" s="45">
        <f>C154*INPUTS!I22</f>
        <v>0</v>
      </c>
      <c r="F154" s="45">
        <f>(INPUTS!J22*C154)</f>
        <v>0</v>
      </c>
      <c r="G154" s="45">
        <f>(INPUTS!K22*C154)</f>
        <v>0</v>
      </c>
      <c r="H154" s="45">
        <f>(D154*(1-C131)) *INPUTS!M22*INPUTS!Q22</f>
        <v>105.13313999999998</v>
      </c>
      <c r="I154" s="45">
        <f>(E154*(1-D131))*INPUTS!N22*INPUTS!Q22</f>
        <v>0</v>
      </c>
      <c r="J154" s="45">
        <f t="shared" si="18"/>
        <v>104.29874999999998</v>
      </c>
      <c r="K154"/>
      <c r="L154"/>
      <c r="M154"/>
    </row>
    <row r="155" spans="1:13" s="10" customFormat="1">
      <c r="A155" s="156" t="str">
        <f>INPUTS!C23</f>
        <v>Adult cattle - male</v>
      </c>
      <c r="B155" s="45">
        <f>'GHG Manure'!E60</f>
        <v>0</v>
      </c>
      <c r="C155" s="45">
        <f>B155*INPUTS!D23</f>
        <v>0</v>
      </c>
      <c r="D155" s="45">
        <f>C155*INPUTS!H23</f>
        <v>0</v>
      </c>
      <c r="E155" s="45">
        <f>C155*INPUTS!I23</f>
        <v>0</v>
      </c>
      <c r="F155" s="45">
        <f>(INPUTS!J23*C155)</f>
        <v>0</v>
      </c>
      <c r="G155" s="45">
        <f>(INPUTS!K23*C155)</f>
        <v>0</v>
      </c>
      <c r="H155" s="45">
        <f>(D155*(1-C132)) *INPUTS!M23*INPUTS!Q23</f>
        <v>0</v>
      </c>
      <c r="I155" s="45">
        <f>(E155*(1-D132))*INPUTS!N23*INPUTS!Q23</f>
        <v>0</v>
      </c>
      <c r="J155" s="45">
        <f t="shared" si="18"/>
        <v>0</v>
      </c>
      <c r="K155"/>
      <c r="L155"/>
      <c r="M155"/>
    </row>
    <row r="156" spans="1:13">
      <c r="A156" s="156" t="str">
        <f>INPUTS!C24</f>
        <v>Calves</v>
      </c>
      <c r="B156" s="45">
        <f>'GHG Manure'!E61</f>
        <v>0</v>
      </c>
      <c r="C156" s="45">
        <f>B156*INPUTS!D24</f>
        <v>0</v>
      </c>
      <c r="D156" s="45">
        <f>C156*INPUTS!H24</f>
        <v>0</v>
      </c>
      <c r="E156" s="45">
        <f>C156*INPUTS!I24</f>
        <v>0</v>
      </c>
      <c r="F156" s="45">
        <f>(INPUTS!J24*C156)</f>
        <v>0</v>
      </c>
      <c r="G156" s="45">
        <f>(INPUTS!K24*C156)</f>
        <v>0</v>
      </c>
      <c r="H156" s="45">
        <f>(D156*(1-C133)) *INPUTS!M24*INPUTS!Q24</f>
        <v>0</v>
      </c>
      <c r="I156" s="45">
        <f>(E156*(1-D133))*INPUTS!N24*INPUTS!Q24</f>
        <v>0</v>
      </c>
      <c r="J156" s="45">
        <f t="shared" si="18"/>
        <v>0</v>
      </c>
    </row>
    <row r="157" spans="1:13">
      <c r="A157" s="156" t="str">
        <f>INPUTS!C25</f>
        <v>Steers/heifers</v>
      </c>
      <c r="B157" s="45">
        <f>'GHG Manure'!E62</f>
        <v>66.685500000000005</v>
      </c>
      <c r="C157" s="45">
        <f>B157*INPUTS!D25</f>
        <v>200.05650000000003</v>
      </c>
      <c r="D157" s="45">
        <f>C157*INPUTS!H25</f>
        <v>200.05650000000003</v>
      </c>
      <c r="E157" s="45">
        <f>C157*INPUTS!I25</f>
        <v>0</v>
      </c>
      <c r="F157" s="45">
        <f>(INPUTS!J25*C157)</f>
        <v>0</v>
      </c>
      <c r="G157" s="45">
        <f>(INPUTS!K25*C157)</f>
        <v>0</v>
      </c>
      <c r="H157" s="45">
        <f>(D157*(1-C134)) *INPUTS!M25*INPUTS!Q25</f>
        <v>126.03559500000001</v>
      </c>
      <c r="I157" s="45">
        <f>(E157*(1-D134))*INPUTS!N25*INPUTS!Q25</f>
        <v>0</v>
      </c>
      <c r="J157" s="45">
        <f t="shared" si="18"/>
        <v>125.03531250000002</v>
      </c>
    </row>
    <row r="158" spans="1:13">
      <c r="A158" s="156" t="str">
        <f>INPUTS!C26</f>
        <v>Sheep/Goats - Ewes/Does</v>
      </c>
      <c r="B158" s="45">
        <f>'GHG Manure'!E63</f>
        <v>0</v>
      </c>
      <c r="C158" s="45">
        <f>B158*INPUTS!D26</f>
        <v>0</v>
      </c>
      <c r="D158" s="45">
        <f>C158*INPUTS!H26</f>
        <v>0</v>
      </c>
      <c r="E158" s="45">
        <f>C158*INPUTS!I26</f>
        <v>0</v>
      </c>
      <c r="F158" s="45">
        <f>(INPUTS!J26*C158)</f>
        <v>0</v>
      </c>
      <c r="G158" s="45">
        <f>(INPUTS!K26*C158)</f>
        <v>0</v>
      </c>
      <c r="H158" s="45">
        <f>(D158*(1-C135)) *INPUTS!M26*INPUTS!Q26</f>
        <v>0</v>
      </c>
      <c r="I158" s="45">
        <f>(E158*(1-D135))*INPUTS!N26*INPUTS!Q26</f>
        <v>0</v>
      </c>
      <c r="J158" s="45">
        <f t="shared" si="18"/>
        <v>0</v>
      </c>
    </row>
    <row r="159" spans="1:13">
      <c r="A159" s="156" t="str">
        <f>INPUTS!C27</f>
        <v>Pigs - lactating/pregnant sows</v>
      </c>
      <c r="B159" s="45">
        <f>'GHG Manure'!E64</f>
        <v>0</v>
      </c>
      <c r="C159" s="45">
        <f>B159*INPUTS!D27</f>
        <v>0</v>
      </c>
      <c r="D159" s="45">
        <f>C159*INPUTS!H27</f>
        <v>0</v>
      </c>
      <c r="E159" s="45">
        <f>C159*INPUTS!I27</f>
        <v>0</v>
      </c>
      <c r="F159" s="45">
        <f>(INPUTS!J27*C159)</f>
        <v>0</v>
      </c>
      <c r="G159" s="45">
        <f>(INPUTS!K27*C159)</f>
        <v>0</v>
      </c>
      <c r="H159" s="45">
        <f>(D159*(1-C136)) *INPUTS!M27*INPUTS!Q27</f>
        <v>0</v>
      </c>
      <c r="I159" s="45">
        <f>(E159*(1-D136))*INPUTS!N27*INPUTS!Q27</f>
        <v>0</v>
      </c>
      <c r="J159" s="45">
        <f t="shared" si="18"/>
        <v>0</v>
      </c>
    </row>
    <row r="160" spans="1:13" s="1251" customFormat="1">
      <c r="A160" s="156" t="str">
        <f>INPUTS!C28</f>
        <v>Calves</v>
      </c>
      <c r="B160" s="45">
        <f>'GHG Manure'!E65</f>
        <v>0</v>
      </c>
      <c r="C160" s="45">
        <f>B160*INPUTS!D28</f>
        <v>0</v>
      </c>
      <c r="D160" s="45">
        <f>C160*INPUTS!H28</f>
        <v>0</v>
      </c>
      <c r="E160" s="45">
        <f>C160*INPUTS!I28</f>
        <v>0</v>
      </c>
      <c r="F160" s="45">
        <f>(INPUTS!J28*C160)</f>
        <v>0</v>
      </c>
      <c r="G160" s="45">
        <f>(INPUTS!K28*C160)</f>
        <v>0</v>
      </c>
      <c r="H160" s="45">
        <f>(D160*(1-C137)) *INPUTS!M28*INPUTS!Q28</f>
        <v>0</v>
      </c>
      <c r="I160" s="45">
        <f>(E160*(1-D137))*INPUTS!N28*INPUTS!Q28</f>
        <v>0</v>
      </c>
      <c r="J160" s="45">
        <f t="shared" si="18"/>
        <v>0</v>
      </c>
    </row>
    <row r="161" spans="1:13" s="1251" customFormat="1">
      <c r="A161" s="156">
        <f>INPUTS!C29</f>
        <v>0</v>
      </c>
      <c r="B161" s="45" t="e">
        <f>'GHG Manure'!E66</f>
        <v>#N/A</v>
      </c>
      <c r="C161" s="45" t="e">
        <f>B161*INPUTS!D29</f>
        <v>#N/A</v>
      </c>
      <c r="D161" s="45" t="e">
        <f>C161*INPUTS!H29</f>
        <v>#N/A</v>
      </c>
      <c r="E161" s="45" t="e">
        <f>C161*INPUTS!I29</f>
        <v>#N/A</v>
      </c>
      <c r="F161" s="45" t="e">
        <f>(INPUTS!J29*C161)</f>
        <v>#N/A</v>
      </c>
      <c r="G161" s="45" t="e">
        <f>(INPUTS!K29*C161)</f>
        <v>#N/A</v>
      </c>
      <c r="H161" s="45" t="e">
        <f>(D161*(1-C138)) *INPUTS!M29*INPUTS!Q29</f>
        <v>#N/A</v>
      </c>
      <c r="I161" s="45" t="e">
        <f>(E161*(1-D138))*INPUTS!N29*INPUTS!Q29</f>
        <v>#N/A</v>
      </c>
      <c r="J161" s="45" t="e">
        <f t="shared" si="18"/>
        <v>#N/A</v>
      </c>
    </row>
    <row r="162" spans="1:13" s="1251" customFormat="1">
      <c r="A162" s="156">
        <f>INPUTS!C30</f>
        <v>0</v>
      </c>
      <c r="B162" s="45" t="e">
        <f>'GHG Manure'!E67</f>
        <v>#N/A</v>
      </c>
      <c r="C162" s="45" t="e">
        <f>B162*INPUTS!D30</f>
        <v>#N/A</v>
      </c>
      <c r="D162" s="45" t="e">
        <f>C162*INPUTS!H30</f>
        <v>#N/A</v>
      </c>
      <c r="E162" s="45" t="e">
        <f>C162*INPUTS!I30</f>
        <v>#N/A</v>
      </c>
      <c r="F162" s="45" t="e">
        <f>(INPUTS!J30*C162)</f>
        <v>#N/A</v>
      </c>
      <c r="G162" s="45" t="e">
        <f>(INPUTS!K30*C162)</f>
        <v>#N/A</v>
      </c>
      <c r="H162" s="45" t="e">
        <f>(D162*(1-C139)) *INPUTS!M30*INPUTS!Q30</f>
        <v>#N/A</v>
      </c>
      <c r="I162" s="45" t="e">
        <f>(E162*(1-D139))*INPUTS!N30*INPUTS!Q30</f>
        <v>#N/A</v>
      </c>
      <c r="J162" s="45" t="e">
        <f t="shared" si="18"/>
        <v>#N/A</v>
      </c>
    </row>
    <row r="163" spans="1:13" s="1251" customFormat="1">
      <c r="A163" s="156">
        <f>INPUTS!C31</f>
        <v>0</v>
      </c>
      <c r="B163" s="45" t="e">
        <f>'GHG Manure'!E68</f>
        <v>#N/A</v>
      </c>
      <c r="C163" s="45" t="e">
        <f>B163*INPUTS!D31</f>
        <v>#N/A</v>
      </c>
      <c r="D163" s="45" t="e">
        <f>C163*INPUTS!H31</f>
        <v>#N/A</v>
      </c>
      <c r="E163" s="45" t="e">
        <f>C163*INPUTS!I31</f>
        <v>#N/A</v>
      </c>
      <c r="F163" s="45" t="e">
        <f>(INPUTS!J31*C163)</f>
        <v>#N/A</v>
      </c>
      <c r="G163" s="45" t="e">
        <f>(INPUTS!K31*C163)</f>
        <v>#N/A</v>
      </c>
      <c r="H163" s="45" t="e">
        <f>(D163*(1-C140)) *INPUTS!M31*INPUTS!Q31</f>
        <v>#N/A</v>
      </c>
      <c r="I163" s="45" t="e">
        <f>(E163*(1-D140))*INPUTS!N31*INPUTS!Q31</f>
        <v>#N/A</v>
      </c>
      <c r="J163" s="45" t="e">
        <f t="shared" si="18"/>
        <v>#N/A</v>
      </c>
    </row>
    <row r="164" spans="1:13">
      <c r="A164" s="156">
        <f>INPUTS!C32</f>
        <v>0</v>
      </c>
      <c r="B164" s="45" t="e">
        <f>'GHG Manure'!E69</f>
        <v>#N/A</v>
      </c>
      <c r="C164" s="45" t="e">
        <f>B164*INPUTS!D32</f>
        <v>#N/A</v>
      </c>
      <c r="D164" s="45" t="e">
        <f>C164*INPUTS!H32</f>
        <v>#N/A</v>
      </c>
      <c r="E164" s="45" t="e">
        <f>C164*INPUTS!I32</f>
        <v>#N/A</v>
      </c>
      <c r="F164" s="45" t="e">
        <f>(INPUTS!J32*C164)</f>
        <v>#N/A</v>
      </c>
      <c r="G164" s="45" t="e">
        <f>(INPUTS!K32*C164)</f>
        <v>#N/A</v>
      </c>
      <c r="H164" s="45" t="e">
        <f>(D164*(1-C141)) *INPUTS!M32*INPUTS!Q32</f>
        <v>#N/A</v>
      </c>
      <c r="I164" s="45" t="e">
        <f>(E164*(1-D141))*INPUTS!N32*INPUTS!Q32</f>
        <v>#N/A</v>
      </c>
      <c r="J164" s="45" t="e">
        <f t="shared" si="18"/>
        <v>#N/A</v>
      </c>
    </row>
    <row r="165" spans="1:13" s="1153" customFormat="1">
      <c r="A165" s="156">
        <f>INPUTS!C33</f>
        <v>0</v>
      </c>
      <c r="B165" s="45" t="e">
        <f>'GHG Manure'!E70</f>
        <v>#N/A</v>
      </c>
      <c r="C165" s="45" t="e">
        <f>B165*INPUTS!D33</f>
        <v>#N/A</v>
      </c>
      <c r="D165" s="45" t="e">
        <f>C165*INPUTS!H33</f>
        <v>#N/A</v>
      </c>
      <c r="E165" s="45" t="e">
        <f>C165*INPUTS!I33</f>
        <v>#N/A</v>
      </c>
      <c r="F165" s="45" t="e">
        <f>(INPUTS!J33*C165)</f>
        <v>#N/A</v>
      </c>
      <c r="G165" s="45" t="e">
        <f>(INPUTS!K33*C165)</f>
        <v>#N/A</v>
      </c>
      <c r="H165" s="45" t="e">
        <f>(D165*(1-C142)) *INPUTS!M33*INPUTS!Q33</f>
        <v>#N/A</v>
      </c>
      <c r="I165" s="45" t="e">
        <f>(E165*(1-D142))*INPUTS!N33*INPUTS!Q33</f>
        <v>#N/A</v>
      </c>
      <c r="J165" s="45" t="e">
        <f t="shared" si="18"/>
        <v>#N/A</v>
      </c>
    </row>
    <row r="166" spans="1:13">
      <c r="A166" s="156">
        <f>INPUTS!C34</f>
        <v>0</v>
      </c>
      <c r="B166" s="45" t="e">
        <f>'GHG Manure'!E71</f>
        <v>#N/A</v>
      </c>
      <c r="C166" s="45" t="e">
        <f>B166*INPUTS!D34</f>
        <v>#N/A</v>
      </c>
      <c r="D166" s="45" t="e">
        <f>C166*INPUTS!H34</f>
        <v>#N/A</v>
      </c>
      <c r="E166" s="45" t="e">
        <f>C166*INPUTS!I34</f>
        <v>#N/A</v>
      </c>
      <c r="F166" s="45" t="e">
        <f>(INPUTS!J34*C166)</f>
        <v>#N/A</v>
      </c>
      <c r="G166" s="45" t="e">
        <f>(INPUTS!K34*C166)</f>
        <v>#N/A</v>
      </c>
      <c r="H166" s="45" t="e">
        <f>(D166*(1-C143)) *INPUTS!M34*INPUTS!Q34</f>
        <v>#N/A</v>
      </c>
      <c r="I166" s="45" t="e">
        <f>(E166*(1-D143))*INPUTS!N34*INPUTS!Q34</f>
        <v>#N/A</v>
      </c>
      <c r="J166" s="45" t="e">
        <f t="shared" si="18"/>
        <v>#N/A</v>
      </c>
    </row>
    <row r="167" spans="1:13">
      <c r="A167" s="26" t="s">
        <v>253</v>
      </c>
      <c r="B167" s="1305">
        <f t="shared" ref="B167:J167" si="19">SUMIF(B153:B166,"&lt;&gt;#N/A")</f>
        <v>150.12450000000001</v>
      </c>
      <c r="C167" s="1305">
        <f t="shared" si="19"/>
        <v>366.93450000000001</v>
      </c>
      <c r="D167" s="1305">
        <f t="shared" si="19"/>
        <v>366.93450000000001</v>
      </c>
      <c r="E167" s="1305">
        <f t="shared" si="19"/>
        <v>0</v>
      </c>
      <c r="F167" s="1305">
        <f t="shared" si="19"/>
        <v>0</v>
      </c>
      <c r="G167" s="1305">
        <f t="shared" si="19"/>
        <v>0</v>
      </c>
      <c r="H167" s="1305">
        <f t="shared" si="19"/>
        <v>231.168735</v>
      </c>
      <c r="I167" s="1305">
        <f t="shared" si="19"/>
        <v>0</v>
      </c>
      <c r="J167" s="1305">
        <f t="shared" si="19"/>
        <v>229.33406250000002</v>
      </c>
    </row>
    <row r="170" spans="1:13">
      <c r="A170" s="37" t="s">
        <v>515</v>
      </c>
    </row>
    <row r="171" spans="1:13" ht="47.25">
      <c r="A171" t="s">
        <v>607</v>
      </c>
      <c r="J171" s="26" t="s">
        <v>635</v>
      </c>
      <c r="K171" s="10" t="s">
        <v>498</v>
      </c>
      <c r="L171" s="10"/>
      <c r="M171" s="10"/>
    </row>
    <row r="172" spans="1:13" ht="47.25">
      <c r="A172" s="1590" t="s">
        <v>492</v>
      </c>
      <c r="B172" s="46" t="s">
        <v>511</v>
      </c>
      <c r="C172" s="46" t="s">
        <v>512</v>
      </c>
      <c r="D172" s="1593" t="s">
        <v>495</v>
      </c>
      <c r="E172" s="1595"/>
      <c r="F172" s="89" t="s">
        <v>918</v>
      </c>
      <c r="G172" s="89" t="s">
        <v>919</v>
      </c>
      <c r="H172" s="1593" t="s">
        <v>496</v>
      </c>
      <c r="I172" s="1595"/>
      <c r="J172" s="26" t="s">
        <v>233</v>
      </c>
      <c r="K172" s="10"/>
      <c r="L172" s="10"/>
      <c r="M172" s="10"/>
    </row>
    <row r="173" spans="1:13">
      <c r="A173" s="1592"/>
      <c r="B173" s="46" t="s">
        <v>1322</v>
      </c>
      <c r="C173" s="26" t="s">
        <v>233</v>
      </c>
      <c r="D173" s="26" t="s">
        <v>233</v>
      </c>
      <c r="E173" s="26" t="s">
        <v>233</v>
      </c>
      <c r="F173" s="26" t="s">
        <v>233</v>
      </c>
      <c r="G173" s="26" t="s">
        <v>233</v>
      </c>
      <c r="H173" s="26" t="s">
        <v>233</v>
      </c>
      <c r="I173" s="26" t="s">
        <v>233</v>
      </c>
      <c r="J173" s="26" t="s">
        <v>509</v>
      </c>
      <c r="K173" s="10"/>
      <c r="L173" s="10"/>
      <c r="M173" s="10"/>
    </row>
    <row r="174" spans="1:13" ht="31.5">
      <c r="A174" s="1622" t="s">
        <v>143</v>
      </c>
      <c r="B174" s="1625" t="s">
        <v>514</v>
      </c>
      <c r="C174" s="1622" t="s">
        <v>513</v>
      </c>
      <c r="D174" s="1593" t="s">
        <v>500</v>
      </c>
      <c r="E174" s="1595"/>
      <c r="F174" s="26" t="s">
        <v>502</v>
      </c>
      <c r="G174" s="26" t="s">
        <v>502</v>
      </c>
      <c r="H174" s="26" t="s">
        <v>506</v>
      </c>
      <c r="I174" s="26" t="s">
        <v>507</v>
      </c>
      <c r="J174" s="26" t="s">
        <v>508</v>
      </c>
      <c r="K174" s="10"/>
      <c r="L174" s="10"/>
      <c r="M174" s="10"/>
    </row>
    <row r="175" spans="1:13" s="10" customFormat="1">
      <c r="A175" s="1623"/>
      <c r="B175" s="1625"/>
      <c r="C175" s="1624"/>
      <c r="D175" s="75" t="s">
        <v>503</v>
      </c>
      <c r="E175" s="22" t="s">
        <v>504</v>
      </c>
      <c r="F175" s="26" t="s">
        <v>501</v>
      </c>
      <c r="G175" s="26" t="s">
        <v>501</v>
      </c>
      <c r="H175" s="26" t="s">
        <v>505</v>
      </c>
      <c r="I175" s="26" t="s">
        <v>505</v>
      </c>
      <c r="J175" s="26" t="s">
        <v>510</v>
      </c>
    </row>
    <row r="176" spans="1:13" s="10" customFormat="1">
      <c r="A176" s="1624"/>
      <c r="B176" s="94" t="s">
        <v>490</v>
      </c>
      <c r="C176" s="26" t="s">
        <v>489</v>
      </c>
      <c r="D176" s="26" t="str">
        <f>INPUTS!D37</f>
        <v>solid storage</v>
      </c>
      <c r="E176" s="26" t="str">
        <f>INPUTS!D38</f>
        <v xml:space="preserve">dry lot </v>
      </c>
      <c r="F176" s="26" t="s">
        <v>395</v>
      </c>
      <c r="G176" s="26" t="s">
        <v>395</v>
      </c>
      <c r="H176" s="26" t="str">
        <f>INPUTS!D37</f>
        <v>solid storage</v>
      </c>
      <c r="I176" s="26" t="str">
        <f>INPUTS!D38</f>
        <v xml:space="preserve">dry lot </v>
      </c>
      <c r="J176" s="76"/>
    </row>
    <row r="177" spans="1:13" s="10" customFormat="1">
      <c r="A177" s="156" t="str">
        <f>INPUTS!C21</f>
        <v>Cows (local)</v>
      </c>
      <c r="B177" s="53" t="str">
        <f>'GHG Manure'!G80</f>
        <v/>
      </c>
      <c r="C177" s="76" t="str">
        <f t="shared" ref="C177" si="20">IFERROR(B177,"")</f>
        <v/>
      </c>
      <c r="D177" s="53" t="str">
        <f>IFERROR(C177*INPUTS!H21,"")</f>
        <v/>
      </c>
      <c r="E177" s="53" t="str">
        <f>IFERROR(C177*INPUTS!I21,"")</f>
        <v/>
      </c>
      <c r="F177" s="53" t="str">
        <f>IFERROR(INPUTS!J21*C177,"")</f>
        <v/>
      </c>
      <c r="G177" s="53" t="str">
        <f>IFERROR(INPUTS!K21*C177,"")</f>
        <v/>
      </c>
      <c r="H177" s="53" t="str">
        <f>IFERROR(((D177*(1-C130))*INPUTS!M21*INPUTS!Q21),"")</f>
        <v/>
      </c>
      <c r="I177" s="53" t="str">
        <f>IFERROR(((E177*(1-D130))*INPUTS!N21*INPUTS!Q21),"")</f>
        <v/>
      </c>
      <c r="J177" s="76" t="str">
        <f>IFERROR(((H177+I177)-(J107*(28/44))),"")</f>
        <v/>
      </c>
      <c r="K177"/>
      <c r="L177"/>
      <c r="M177"/>
    </row>
    <row r="178" spans="1:13" s="10" customFormat="1">
      <c r="A178" s="156" t="str">
        <f>INPUTS!C22</f>
        <v>Cows (improved)</v>
      </c>
      <c r="B178" s="53" t="str">
        <f>'GHG Manure'!G81</f>
        <v/>
      </c>
      <c r="C178" s="76" t="str">
        <f t="shared" ref="C178:C190" si="21">IFERROR(B178,"")</f>
        <v/>
      </c>
      <c r="D178" s="53" t="str">
        <f>IFERROR(C178*INPUTS!H22,"")</f>
        <v/>
      </c>
      <c r="E178" s="53" t="str">
        <f>IFERROR(C178*INPUTS!I22,"")</f>
        <v/>
      </c>
      <c r="F178" s="53" t="str">
        <f>IFERROR(INPUTS!J22*C178,"")</f>
        <v/>
      </c>
      <c r="G178" s="53" t="str">
        <f>IFERROR(INPUTS!K22*C178,"")</f>
        <v/>
      </c>
      <c r="H178" s="53" t="str">
        <f>IFERROR(((D178*(1-C131))*INPUTS!M22*INPUTS!Q22),"")</f>
        <v/>
      </c>
      <c r="I178" s="53" t="str">
        <f>IFERROR(((E178*(1-D131))*INPUTS!N22*INPUTS!Q22),"")</f>
        <v/>
      </c>
      <c r="J178" s="76" t="str">
        <f t="shared" ref="J178:J190" si="22">IFERROR(((H178+I178)-(J108*(28/44))),"")</f>
        <v/>
      </c>
      <c r="K178"/>
      <c r="L178"/>
      <c r="M178"/>
    </row>
    <row r="179" spans="1:13" s="10" customFormat="1">
      <c r="A179" s="156" t="str">
        <f>INPUTS!C23</f>
        <v>Adult cattle - male</v>
      </c>
      <c r="B179" s="53" t="str">
        <f>'GHG Manure'!G82</f>
        <v/>
      </c>
      <c r="C179" s="76" t="str">
        <f t="shared" si="21"/>
        <v/>
      </c>
      <c r="D179" s="53" t="str">
        <f>IFERROR(C179*INPUTS!H23,"")</f>
        <v/>
      </c>
      <c r="E179" s="53" t="str">
        <f>IFERROR(C179*INPUTS!I23,"")</f>
        <v/>
      </c>
      <c r="F179" s="53" t="str">
        <f>IFERROR(INPUTS!J23*C179,"")</f>
        <v/>
      </c>
      <c r="G179" s="53" t="str">
        <f>IFERROR(INPUTS!K23*C179,"")</f>
        <v/>
      </c>
      <c r="H179" s="53" t="str">
        <f>IFERROR(((D179*(1-C132))*INPUTS!M23*INPUTS!Q23),"")</f>
        <v/>
      </c>
      <c r="I179" s="53" t="str">
        <f>IFERROR(((E179*(1-D132))*INPUTS!N23*INPUTS!Q23),"")</f>
        <v/>
      </c>
      <c r="J179" s="76" t="str">
        <f t="shared" si="22"/>
        <v/>
      </c>
      <c r="K179"/>
      <c r="L179"/>
      <c r="M179"/>
    </row>
    <row r="180" spans="1:13" s="10" customFormat="1">
      <c r="A180" s="156" t="str">
        <f>INPUTS!C24</f>
        <v>Calves</v>
      </c>
      <c r="B180" s="53" t="str">
        <f>'GHG Manure'!G83</f>
        <v/>
      </c>
      <c r="C180" s="76" t="str">
        <f t="shared" si="21"/>
        <v/>
      </c>
      <c r="D180" s="53" t="str">
        <f>IFERROR(C180*INPUTS!H24,"")</f>
        <v/>
      </c>
      <c r="E180" s="53" t="str">
        <f>IFERROR(C180*INPUTS!I24,"")</f>
        <v/>
      </c>
      <c r="F180" s="53" t="str">
        <f>IFERROR(INPUTS!J24*C180,"")</f>
        <v/>
      </c>
      <c r="G180" s="53" t="str">
        <f>IFERROR(INPUTS!K24*C180,"")</f>
        <v/>
      </c>
      <c r="H180" s="53" t="str">
        <f>IFERROR(((D180*(1-C133))*INPUTS!M24*INPUTS!Q24),"")</f>
        <v/>
      </c>
      <c r="I180" s="53" t="str">
        <f>IFERROR(((E180*(1-D133))*INPUTS!N24*INPUTS!Q24),"")</f>
        <v/>
      </c>
      <c r="J180" s="76" t="str">
        <f t="shared" si="22"/>
        <v/>
      </c>
      <c r="K180" s="12" t="s">
        <v>410</v>
      </c>
      <c r="L180"/>
      <c r="M180"/>
    </row>
    <row r="181" spans="1:13">
      <c r="A181" s="156" t="str">
        <f>INPUTS!C25</f>
        <v>Steers/heifers</v>
      </c>
      <c r="B181" s="53" t="str">
        <f>'GHG Manure'!G84</f>
        <v/>
      </c>
      <c r="C181" s="76" t="str">
        <f t="shared" si="21"/>
        <v/>
      </c>
      <c r="D181" s="53" t="str">
        <f>IFERROR(C181*INPUTS!H25,"")</f>
        <v/>
      </c>
      <c r="E181" s="53" t="str">
        <f>IFERROR(C181*INPUTS!I25,"")</f>
        <v/>
      </c>
      <c r="F181" s="53" t="str">
        <f>IFERROR(INPUTS!J25*C181,"")</f>
        <v/>
      </c>
      <c r="G181" s="53" t="str">
        <f>IFERROR(INPUTS!K25*C181,"")</f>
        <v/>
      </c>
      <c r="H181" s="53" t="str">
        <f>IFERROR(((D181*(1-C134))*INPUTS!M25*INPUTS!Q25),"")</f>
        <v/>
      </c>
      <c r="I181" s="53" t="str">
        <f>IFERROR(((E181*(1-D134))*INPUTS!N25*INPUTS!Q25),"")</f>
        <v/>
      </c>
      <c r="J181" s="76" t="str">
        <f t="shared" si="22"/>
        <v/>
      </c>
      <c r="K181" s="12"/>
    </row>
    <row r="182" spans="1:13">
      <c r="A182" s="156" t="str">
        <f>INPUTS!C26</f>
        <v>Sheep/Goats - Ewes/Does</v>
      </c>
      <c r="B182" s="53" t="str">
        <f>'GHG Manure'!G85</f>
        <v/>
      </c>
      <c r="C182" s="76" t="str">
        <f t="shared" si="21"/>
        <v/>
      </c>
      <c r="D182" s="53" t="str">
        <f>IFERROR(C182*INPUTS!H26,"")</f>
        <v/>
      </c>
      <c r="E182" s="53" t="str">
        <f>IFERROR(C182*INPUTS!I26,"")</f>
        <v/>
      </c>
      <c r="F182" s="53" t="str">
        <f>IFERROR(INPUTS!J26*C182,"")</f>
        <v/>
      </c>
      <c r="G182" s="53" t="str">
        <f>IFERROR(INPUTS!K26*C182,"")</f>
        <v/>
      </c>
      <c r="H182" s="53" t="str">
        <f>IFERROR(((D182*(1-C135))*INPUTS!M26*INPUTS!Q26),"")</f>
        <v/>
      </c>
      <c r="I182" s="53" t="str">
        <f>IFERROR(((E182*(1-D135))*INPUTS!N26*INPUTS!Q26),"")</f>
        <v/>
      </c>
      <c r="J182" s="76" t="str">
        <f t="shared" si="22"/>
        <v/>
      </c>
      <c r="K182" s="179">
        <f>J158</f>
        <v>0</v>
      </c>
      <c r="L182" s="178"/>
      <c r="M182" s="178"/>
    </row>
    <row r="183" spans="1:13">
      <c r="A183" s="156" t="str">
        <f>INPUTS!C27</f>
        <v>Pigs - lactating/pregnant sows</v>
      </c>
      <c r="B183" s="53" t="str">
        <f>'GHG Manure'!G86</f>
        <v/>
      </c>
      <c r="C183" s="76" t="str">
        <f t="shared" si="21"/>
        <v/>
      </c>
      <c r="D183" s="53" t="str">
        <f>IFERROR(C183*INPUTS!H27,"")</f>
        <v/>
      </c>
      <c r="E183" s="53" t="str">
        <f>IFERROR(C183*INPUTS!I27,"")</f>
        <v/>
      </c>
      <c r="F183" s="53" t="str">
        <f>IFERROR(INPUTS!J27*C183,"")</f>
        <v/>
      </c>
      <c r="G183" s="53" t="str">
        <f>IFERROR(INPUTS!K27*C183,"")</f>
        <v/>
      </c>
      <c r="H183" s="53" t="str">
        <f>IFERROR(((D183*(1-C136))*INPUTS!M27*INPUTS!Q27),"")</f>
        <v/>
      </c>
      <c r="I183" s="53" t="str">
        <f>IFERROR(((E183*(1-D136))*INPUTS!N27*INPUTS!Q27),"")</f>
        <v/>
      </c>
      <c r="J183" s="76" t="str">
        <f t="shared" si="22"/>
        <v/>
      </c>
      <c r="K183" s="179">
        <f>J159</f>
        <v>0</v>
      </c>
      <c r="L183" s="178"/>
      <c r="M183" s="178"/>
    </row>
    <row r="184" spans="1:13">
      <c r="A184" s="156" t="str">
        <f>INPUTS!C28</f>
        <v>Calves</v>
      </c>
      <c r="B184" s="53" t="str">
        <f>'GHG Manure'!G87</f>
        <v/>
      </c>
      <c r="C184" s="76" t="str">
        <f t="shared" si="21"/>
        <v/>
      </c>
      <c r="D184" s="53" t="str">
        <f>IFERROR(C184*INPUTS!H28,"")</f>
        <v/>
      </c>
      <c r="E184" s="53" t="str">
        <f>IFERROR(C184*INPUTS!I28,"")</f>
        <v/>
      </c>
      <c r="F184" s="53" t="str">
        <f>IFERROR(INPUTS!J28*C184,"")</f>
        <v/>
      </c>
      <c r="G184" s="53" t="str">
        <f>IFERROR(INPUTS!K28*C184,"")</f>
        <v/>
      </c>
      <c r="H184" s="53" t="str">
        <f>IFERROR(((D184*(1-C137))*INPUTS!M28*INPUTS!Q28),"")</f>
        <v/>
      </c>
      <c r="I184" s="53" t="str">
        <f>IFERROR(((E184*(1-D137))*INPUTS!N28*INPUTS!Q28),"")</f>
        <v/>
      </c>
      <c r="J184" s="76" t="str">
        <f t="shared" si="22"/>
        <v/>
      </c>
      <c r="K184" s="179" t="e">
        <f>J164</f>
        <v>#N/A</v>
      </c>
      <c r="L184" s="178"/>
      <c r="M184" s="178"/>
    </row>
    <row r="185" spans="1:13" s="1153" customFormat="1">
      <c r="A185" s="156">
        <f>INPUTS!C29</f>
        <v>0</v>
      </c>
      <c r="B185" s="53" t="str">
        <f>'GHG Manure'!G88</f>
        <v/>
      </c>
      <c r="C185" s="76" t="str">
        <f t="shared" si="21"/>
        <v/>
      </c>
      <c r="D185" s="53" t="str">
        <f>IFERROR(C185*INPUTS!H29,"")</f>
        <v/>
      </c>
      <c r="E185" s="53" t="str">
        <f>IFERROR(C185*INPUTS!I29,"")</f>
        <v/>
      </c>
      <c r="F185" s="53" t="str">
        <f>IFERROR(INPUTS!J29*C185,"")</f>
        <v/>
      </c>
      <c r="G185" s="53" t="str">
        <f>IFERROR(INPUTS!K29*C185,"")</f>
        <v/>
      </c>
      <c r="H185" s="53" t="str">
        <f>IFERROR(((D185*(1-C138))*INPUTS!M29*INPUTS!Q29),"")</f>
        <v/>
      </c>
      <c r="I185" s="53" t="str">
        <f>IFERROR(((E185*(1-D138))*INPUTS!N29*INPUTS!Q29),"")</f>
        <v/>
      </c>
      <c r="J185" s="76" t="str">
        <f t="shared" si="22"/>
        <v/>
      </c>
      <c r="K185" s="179"/>
      <c r="L185" s="178"/>
      <c r="M185" s="178"/>
    </row>
    <row r="186" spans="1:13" s="1251" customFormat="1">
      <c r="A186" s="156">
        <f>INPUTS!C30</f>
        <v>0</v>
      </c>
      <c r="B186" s="53" t="str">
        <f>'GHG Manure'!G89</f>
        <v/>
      </c>
      <c r="C186" s="76" t="str">
        <f t="shared" si="21"/>
        <v/>
      </c>
      <c r="D186" s="53" t="str">
        <f>IFERROR(C186*INPUTS!H30,"")</f>
        <v/>
      </c>
      <c r="E186" s="53" t="str">
        <f>IFERROR(C186*INPUTS!I30,"")</f>
        <v/>
      </c>
      <c r="F186" s="53" t="str">
        <f>IFERROR(INPUTS!J30*C186,"")</f>
        <v/>
      </c>
      <c r="G186" s="53" t="str">
        <f>IFERROR(INPUTS!K30*C186,"")</f>
        <v/>
      </c>
      <c r="H186" s="53" t="str">
        <f>IFERROR(((D186*(1-C139))*INPUTS!M30*INPUTS!Q30),"")</f>
        <v/>
      </c>
      <c r="I186" s="53" t="str">
        <f>IFERROR(((E186*(1-D139))*INPUTS!N30*INPUTS!Q30),"")</f>
        <v/>
      </c>
      <c r="J186" s="76" t="str">
        <f t="shared" si="22"/>
        <v/>
      </c>
      <c r="K186" s="179"/>
      <c r="L186" s="178"/>
      <c r="M186" s="178"/>
    </row>
    <row r="187" spans="1:13" s="1251" customFormat="1">
      <c r="A187" s="156">
        <f>INPUTS!C31</f>
        <v>0</v>
      </c>
      <c r="B187" s="53" t="str">
        <f>'GHG Manure'!G90</f>
        <v/>
      </c>
      <c r="C187" s="76" t="str">
        <f t="shared" si="21"/>
        <v/>
      </c>
      <c r="D187" s="53" t="str">
        <f>IFERROR(C187*INPUTS!H31,"")</f>
        <v/>
      </c>
      <c r="E187" s="53" t="str">
        <f>IFERROR(C187*INPUTS!I31,"")</f>
        <v/>
      </c>
      <c r="F187" s="53" t="str">
        <f>IFERROR(INPUTS!J31*C187,"")</f>
        <v/>
      </c>
      <c r="G187" s="53" t="str">
        <f>IFERROR(INPUTS!K31*C187,"")</f>
        <v/>
      </c>
      <c r="H187" s="53" t="str">
        <f>IFERROR(((D187*(1-C140))*INPUTS!M31*INPUTS!Q31),"")</f>
        <v/>
      </c>
      <c r="I187" s="53" t="str">
        <f>IFERROR(((E187*(1-D140))*INPUTS!N31*INPUTS!Q31),"")</f>
        <v/>
      </c>
      <c r="J187" s="76" t="str">
        <f t="shared" si="22"/>
        <v/>
      </c>
      <c r="K187" s="179"/>
      <c r="L187" s="178"/>
      <c r="M187" s="178"/>
    </row>
    <row r="188" spans="1:13" s="1162" customFormat="1">
      <c r="A188" s="156">
        <f>INPUTS!C32</f>
        <v>0</v>
      </c>
      <c r="B188" s="53" t="str">
        <f>'GHG Manure'!G91</f>
        <v/>
      </c>
      <c r="C188" s="76" t="str">
        <f t="shared" si="21"/>
        <v/>
      </c>
      <c r="D188" s="53" t="str">
        <f>IFERROR(C188*INPUTS!H32,"")</f>
        <v/>
      </c>
      <c r="E188" s="53" t="str">
        <f>IFERROR(C188*INPUTS!I32,"")</f>
        <v/>
      </c>
      <c r="F188" s="53" t="str">
        <f>IFERROR(INPUTS!J32*C188,"")</f>
        <v/>
      </c>
      <c r="G188" s="53" t="str">
        <f>IFERROR(INPUTS!K32*C188,"")</f>
        <v/>
      </c>
      <c r="H188" s="53" t="str">
        <f>IFERROR(((D188*(1-C141))*INPUTS!M32*INPUTS!Q32),"")</f>
        <v/>
      </c>
      <c r="I188" s="53" t="str">
        <f>IFERROR(((E188*(1-D141))*INPUTS!N32*INPUTS!Q32),"")</f>
        <v/>
      </c>
      <c r="J188" s="76" t="str">
        <f t="shared" si="22"/>
        <v/>
      </c>
      <c r="K188" s="179"/>
      <c r="L188" s="178"/>
      <c r="M188" s="178"/>
    </row>
    <row r="189" spans="1:13" s="1162" customFormat="1">
      <c r="A189" s="156">
        <f>INPUTS!C33</f>
        <v>0</v>
      </c>
      <c r="B189" s="53" t="str">
        <f>'GHG Manure'!G92</f>
        <v/>
      </c>
      <c r="C189" s="76" t="str">
        <f t="shared" si="21"/>
        <v/>
      </c>
      <c r="D189" s="53" t="str">
        <f>IFERROR(C189*INPUTS!H33,"")</f>
        <v/>
      </c>
      <c r="E189" s="53" t="str">
        <f>IFERROR(C189*INPUTS!I33,"")</f>
        <v/>
      </c>
      <c r="F189" s="53" t="str">
        <f>IFERROR(INPUTS!J33*C189,"")</f>
        <v/>
      </c>
      <c r="G189" s="53" t="str">
        <f>IFERROR(INPUTS!K33*C189,"")</f>
        <v/>
      </c>
      <c r="H189" s="53" t="str">
        <f>IFERROR(((D189*(1-C142))*INPUTS!M33*INPUTS!Q33),"")</f>
        <v/>
      </c>
      <c r="I189" s="53" t="str">
        <f>IFERROR(((E189*(1-D142))*INPUTS!N33*INPUTS!Q33),"")</f>
        <v/>
      </c>
      <c r="J189" s="76" t="str">
        <f t="shared" si="22"/>
        <v/>
      </c>
      <c r="K189" s="179"/>
      <c r="L189" s="178"/>
      <c r="M189" s="178"/>
    </row>
    <row r="190" spans="1:13">
      <c r="A190" s="156">
        <f>INPUTS!C34</f>
        <v>0</v>
      </c>
      <c r="B190" s="53" t="str">
        <f>'GHG Manure'!G93</f>
        <v/>
      </c>
      <c r="C190" s="76" t="str">
        <f t="shared" si="21"/>
        <v/>
      </c>
      <c r="D190" s="53" t="str">
        <f>IFERROR(C190*INPUTS!H34,"")</f>
        <v/>
      </c>
      <c r="E190" s="53" t="str">
        <f>IFERROR(C190*INPUTS!I34,"")</f>
        <v/>
      </c>
      <c r="F190" s="53" t="str">
        <f>IFERROR(INPUTS!J34*C190,"")</f>
        <v/>
      </c>
      <c r="G190" s="53" t="str">
        <f>IFERROR(INPUTS!K34*C190,"")</f>
        <v/>
      </c>
      <c r="H190" s="53" t="str">
        <f>IFERROR(((D190*(1-C143))*INPUTS!M34*INPUTS!Q34),"")</f>
        <v/>
      </c>
      <c r="I190" s="53" t="str">
        <f>IFERROR(((E190*(1-D143))*INPUTS!N34*INPUTS!Q34),"")</f>
        <v/>
      </c>
      <c r="J190" s="76" t="str">
        <f t="shared" si="22"/>
        <v/>
      </c>
      <c r="K190" s="180" t="e">
        <f>SUM(J176:J180)+SUM(K182:K184)</f>
        <v>#N/A</v>
      </c>
      <c r="L190" s="11"/>
      <c r="M190" s="11"/>
    </row>
    <row r="191" spans="1:13" s="178" customFormat="1">
      <c r="A191" s="78" t="s">
        <v>132</v>
      </c>
      <c r="B191" s="74">
        <f>SUM(C177:C190)</f>
        <v>0</v>
      </c>
      <c r="C191" s="1305">
        <f>SUMIF(C177:C190,"&lt;&gt;#N/A")</f>
        <v>0</v>
      </c>
      <c r="D191" s="1305">
        <f>SUMIF(D177:D190,"&lt;&gt;#N/A")</f>
        <v>0</v>
      </c>
      <c r="E191" s="77">
        <f>SUM(G177:G190)</f>
        <v>0</v>
      </c>
      <c r="F191" s="1305">
        <f>SUMIF(F177:F190,"&lt;&gt;#N/A")</f>
        <v>0</v>
      </c>
      <c r="G191" s="1305">
        <f>SUMIF(G177:G190,"&lt;&gt;#N/A")</f>
        <v>0</v>
      </c>
      <c r="H191" s="1305">
        <f>SUMIF(H177:H190,"&lt;&gt;#N/A")</f>
        <v>0</v>
      </c>
      <c r="I191" s="1305">
        <f>SUMIF(I177:I190,"&lt;&gt;#N/A")</f>
        <v>0</v>
      </c>
      <c r="J191" s="1305">
        <f>SUMIF(J177:J190,"&lt;&gt;#N/A")</f>
        <v>0</v>
      </c>
      <c r="K191"/>
      <c r="L191"/>
      <c r="M191"/>
    </row>
    <row r="192" spans="1:13" s="178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8" customFormat="1">
      <c r="A193"/>
      <c r="B193"/>
      <c r="C193"/>
      <c r="D193"/>
      <c r="E193" s="174" t="s">
        <v>1602</v>
      </c>
      <c r="F193" s="1063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4" t="s">
        <v>1307</v>
      </c>
      <c r="F194" s="1063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593" t="s">
        <v>502</v>
      </c>
      <c r="C198" s="1594"/>
      <c r="D198" s="1594"/>
      <c r="E198" s="1595"/>
    </row>
    <row r="199" spans="1:13">
      <c r="A199" s="13"/>
      <c r="B199" s="1633" t="s">
        <v>410</v>
      </c>
      <c r="C199" s="1633"/>
      <c r="D199" s="1633" t="s">
        <v>409</v>
      </c>
      <c r="E199" s="1633"/>
    </row>
    <row r="200" spans="1:13">
      <c r="A200" s="13" t="s">
        <v>914</v>
      </c>
      <c r="B200" s="13" t="s">
        <v>912</v>
      </c>
      <c r="C200" s="13" t="s">
        <v>913</v>
      </c>
      <c r="D200" s="13" t="s">
        <v>912</v>
      </c>
      <c r="E200" s="13" t="s">
        <v>913</v>
      </c>
    </row>
    <row r="201" spans="1:13">
      <c r="A201" s="1306" t="s">
        <v>211</v>
      </c>
      <c r="B201" s="1063">
        <f>SUM(SUMIF($A$153:$A$166, {"Cows (local)","Cows (improved)","Adult cattle - male","Steers/heifers","Calves","Buffalo (dairy)","Buffalo steers/heifers","Buffalo calves","Pigs - lactating/pregnant sows","Pigs - dry sows/boars","Pigs - dry sows/boars"}, $F$153:$F$166))</f>
        <v>0</v>
      </c>
      <c r="C201" s="1063">
        <f>SUM(SUMIF($A$153:$A$166, {"Cows (local)","Cows (improved)","Adult cattle - male","Steers/heifers","Calves","Buffalo (dairy)","Buffalo steers/heifers","Buffalo calves","Pigs - lactating/pregnant sows","Pigs - dry sows/boars","Pigs - dry sows/boars"}, $G$153:$G$166))</f>
        <v>0</v>
      </c>
      <c r="D201" s="1063">
        <f>SUM(SUMIF($A$177:$A$190, {"Cows (local)","Cows (improved)","Adult cattle - male","Steers/heifers","Calves","Buffalo (dairy)","Buffalo steers/heifers","Buffalo calves","Pigs - lactating/pregnant sows","Pigs - dry sows/boars","Pigs - dry sows/boars"}, $F$177:$F$190))</f>
        <v>0</v>
      </c>
      <c r="E201" s="1063">
        <f>SUM(SUMIF($A$177:$A$190, {"Cows (local)","Cows (improved)","Adult cattle - male","Steers/heifers","Calves","Buffalo (dairy)","Buffalo steers/heifers","Buffalo calves","Pigs - lactating/pregnant sows","Pigs - dry sows/boars","Pigs - dry sows/boars"}, $G$177:$G$190))</f>
        <v>0</v>
      </c>
    </row>
    <row r="202" spans="1:13">
      <c r="A202" s="1294" t="s">
        <v>210</v>
      </c>
      <c r="B202" s="1063">
        <f>SUM(SUMIF($A$153:$A$166, {"Sheep/Goats - Ewes/Does","Sheep/Goats - Breeding Rams/Bucks","Sheep/Goats - Fattening Rams/Bucks","Sheep/Goats - Lambs/Kids"}, $F$153:$F$166))</f>
        <v>0</v>
      </c>
      <c r="C202" s="1063">
        <f>SUM(SUMIF($A$153:$A$166, {"Sheep/Goats - Ewes/Does","Sheep/Goats - Breeding Rams/Bucks","Sheep/Goats - Fattening Rams/Bucks","Sheep/Goats - Lambs/Kids"}, $G$153:$G$166))</f>
        <v>0</v>
      </c>
      <c r="D202" s="1063">
        <f>SUM(SUMIF($A$177:$A$190, {"Sheep/Goats - Ewes/Does","Sheep/Goats - Breeding Rams/Bucks","Sheep/Goats - Fattening Rams/Bucks","Sheep/Goats - Lambs/Kids"}, $F$177:$F$190))</f>
        <v>0</v>
      </c>
      <c r="E202" s="1063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360"/>
      <c r="C205" s="1361"/>
    </row>
    <row r="206" spans="1:13">
      <c r="A206" s="1360"/>
    </row>
    <row r="207" spans="1:13">
      <c r="A207" s="1360"/>
    </row>
    <row r="208" spans="1:13">
      <c r="A208" s="1360"/>
    </row>
    <row r="209" spans="1:1">
      <c r="A209" s="1360"/>
    </row>
    <row r="210" spans="1:1">
      <c r="A210" s="1360"/>
    </row>
    <row r="211" spans="1:1">
      <c r="A211" s="1360"/>
    </row>
    <row r="212" spans="1:1">
      <c r="A212" s="1360"/>
    </row>
    <row r="213" spans="1:1">
      <c r="A213" s="1360"/>
    </row>
    <row r="214" spans="1:1" ht="39" customHeight="1">
      <c r="A214" s="1360"/>
    </row>
    <row r="215" spans="1:1" ht="33" customHeight="1">
      <c r="A215" s="1360"/>
    </row>
    <row r="216" spans="1:1">
      <c r="A216" s="1360"/>
    </row>
    <row r="217" spans="1:1">
      <c r="A217" s="1360"/>
    </row>
    <row r="218" spans="1:1">
      <c r="A218" s="1360"/>
    </row>
    <row r="219" spans="1:1">
      <c r="A219" s="1360"/>
    </row>
    <row r="220" spans="1:1">
      <c r="A220" s="1288"/>
    </row>
  </sheetData>
  <mergeCells count="55"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D29:D30"/>
    <mergeCell ref="E29:E30"/>
    <mergeCell ref="B46:O46"/>
    <mergeCell ref="L27:N27"/>
    <mergeCell ref="L28:N28"/>
    <mergeCell ref="L30:N30"/>
    <mergeCell ref="G105:H105"/>
    <mergeCell ref="C126:D126"/>
    <mergeCell ref="G126:H126"/>
    <mergeCell ref="B54:B56"/>
    <mergeCell ref="B103:B105"/>
    <mergeCell ref="G103:H103"/>
    <mergeCell ref="C103:D103"/>
    <mergeCell ref="G104:H104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E1" workbookViewId="0">
      <selection activeCell="K38" sqref="K38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922</v>
      </c>
      <c r="C2" s="12" t="s">
        <v>923</v>
      </c>
    </row>
    <row r="3" spans="2:16" ht="31.5">
      <c r="B3" s="46" t="s">
        <v>234</v>
      </c>
      <c r="C3" s="46" t="s">
        <v>234</v>
      </c>
    </row>
    <row r="4" spans="2:16">
      <c r="B4" s="46" t="s">
        <v>237</v>
      </c>
      <c r="C4" s="46" t="s">
        <v>237</v>
      </c>
    </row>
    <row r="5" spans="2:16" ht="31.5">
      <c r="B5" s="46" t="s">
        <v>664</v>
      </c>
      <c r="C5" s="46" t="s">
        <v>664</v>
      </c>
    </row>
    <row r="6" spans="2:16">
      <c r="B6" s="47">
        <f>(H22)*(44/28)</f>
        <v>4.1202057566754942</v>
      </c>
      <c r="C6" s="47">
        <f>(P22)*(44/28)</f>
        <v>0.51638477453263643</v>
      </c>
    </row>
    <row r="8" spans="2:16">
      <c r="B8" s="46" t="s">
        <v>616</v>
      </c>
      <c r="C8" s="1650" t="s">
        <v>920</v>
      </c>
      <c r="D8" s="1651"/>
      <c r="E8" s="1651"/>
      <c r="F8" s="1651"/>
      <c r="G8" s="1651"/>
      <c r="H8" s="1651"/>
      <c r="L8" s="1647" t="s">
        <v>921</v>
      </c>
      <c r="M8" s="1647"/>
      <c r="N8" s="1647"/>
      <c r="O8" s="1647"/>
      <c r="P8" s="1647"/>
    </row>
    <row r="9" spans="2:16">
      <c r="B9" s="1605" t="s">
        <v>172</v>
      </c>
      <c r="C9" s="1605"/>
      <c r="D9" s="1605" t="s">
        <v>217</v>
      </c>
      <c r="E9" s="1605"/>
      <c r="F9" s="1605"/>
      <c r="G9" s="1605"/>
      <c r="H9" s="1605"/>
      <c r="J9" s="1605" t="s">
        <v>172</v>
      </c>
      <c r="K9" s="1605"/>
      <c r="L9" s="1605" t="s">
        <v>217</v>
      </c>
      <c r="M9" s="1605"/>
      <c r="N9" s="1605"/>
      <c r="O9" s="1605"/>
      <c r="P9" s="1605"/>
    </row>
    <row r="10" spans="2:16" ht="63">
      <c r="B10" s="1526" t="s">
        <v>216</v>
      </c>
      <c r="C10" s="1526"/>
      <c r="D10" s="1526" t="s">
        <v>236</v>
      </c>
      <c r="E10" s="1526"/>
      <c r="F10" s="1527" t="s">
        <v>235</v>
      </c>
      <c r="G10" s="1527"/>
      <c r="H10" s="24" t="s">
        <v>234</v>
      </c>
      <c r="J10" s="1526" t="s">
        <v>216</v>
      </c>
      <c r="K10" s="1526"/>
      <c r="L10" s="1526" t="s">
        <v>236</v>
      </c>
      <c r="M10" s="1526"/>
      <c r="N10" s="1527" t="s">
        <v>235</v>
      </c>
      <c r="O10" s="1527"/>
      <c r="P10" s="24" t="s">
        <v>234</v>
      </c>
    </row>
    <row r="11" spans="2:16">
      <c r="B11" s="1526"/>
      <c r="C11" s="1526"/>
      <c r="D11" s="1526" t="s">
        <v>233</v>
      </c>
      <c r="E11" s="1526"/>
      <c r="F11" s="1526" t="s">
        <v>232</v>
      </c>
      <c r="G11" s="1526"/>
      <c r="H11" s="24" t="s">
        <v>231</v>
      </c>
      <c r="J11" s="1526"/>
      <c r="K11" s="1526"/>
      <c r="L11" s="1526" t="s">
        <v>233</v>
      </c>
      <c r="M11" s="1526"/>
      <c r="N11" s="1526" t="s">
        <v>232</v>
      </c>
      <c r="O11" s="1526"/>
      <c r="P11" s="24" t="s">
        <v>231</v>
      </c>
    </row>
    <row r="12" spans="2:16" ht="31.5">
      <c r="B12" s="1526"/>
      <c r="C12" s="1526"/>
      <c r="D12" s="1526"/>
      <c r="E12" s="1526"/>
      <c r="F12" s="1526" t="s">
        <v>230</v>
      </c>
      <c r="G12" s="1526"/>
      <c r="H12" s="24" t="s">
        <v>229</v>
      </c>
      <c r="J12" s="1526"/>
      <c r="K12" s="1526"/>
      <c r="L12" s="1526"/>
      <c r="M12" s="1526"/>
      <c r="N12" s="1526" t="s">
        <v>230</v>
      </c>
      <c r="O12" s="1526"/>
      <c r="P12" s="24" t="s">
        <v>229</v>
      </c>
    </row>
    <row r="13" spans="2:16">
      <c r="B13" s="1526"/>
      <c r="C13" s="1526"/>
      <c r="D13" s="1526" t="s">
        <v>228</v>
      </c>
      <c r="E13" s="1526"/>
      <c r="F13" s="1526" t="s">
        <v>0</v>
      </c>
      <c r="G13" s="1526"/>
      <c r="H13" s="24" t="s">
        <v>227</v>
      </c>
      <c r="J13" s="1526"/>
      <c r="K13" s="1526"/>
      <c r="L13" s="1526" t="s">
        <v>228</v>
      </c>
      <c r="M13" s="1526"/>
      <c r="N13" s="1526" t="s">
        <v>0</v>
      </c>
      <c r="O13" s="1526"/>
      <c r="P13" s="24" t="s">
        <v>227</v>
      </c>
    </row>
    <row r="14" spans="2:16" ht="15.75" customHeight="1">
      <c r="B14" s="1604" t="s">
        <v>226</v>
      </c>
      <c r="C14" s="27" t="s">
        <v>224</v>
      </c>
      <c r="D14" s="26" t="s">
        <v>223</v>
      </c>
      <c r="E14" s="70">
        <f>'N balance'!AI16</f>
        <v>25.403064420970843</v>
      </c>
      <c r="F14" s="1605" t="s">
        <v>225</v>
      </c>
      <c r="G14" s="27">
        <f>'GHG Parameters'!D237</f>
        <v>0.01</v>
      </c>
      <c r="H14" s="45">
        <f t="shared" ref="H14:H19" si="0">E14*G14</f>
        <v>0.25403064420970844</v>
      </c>
      <c r="J14" s="1604" t="s">
        <v>226</v>
      </c>
      <c r="K14" s="27" t="s">
        <v>224</v>
      </c>
      <c r="L14" s="26" t="s">
        <v>223</v>
      </c>
      <c r="M14" s="70">
        <f>'N balance'!AI16</f>
        <v>25.403064420970843</v>
      </c>
      <c r="N14" s="1605" t="s">
        <v>225</v>
      </c>
      <c r="O14" s="27">
        <f>'GHG Parameters'!D237</f>
        <v>0.01</v>
      </c>
      <c r="P14" s="45">
        <f t="shared" ref="P14:P19" si="1">M14*O14</f>
        <v>0.25403064420970844</v>
      </c>
    </row>
    <row r="15" spans="2:16" ht="47.25">
      <c r="B15" s="1604"/>
      <c r="C15" s="27" t="s">
        <v>221</v>
      </c>
      <c r="D15" s="26" t="s">
        <v>220</v>
      </c>
      <c r="E15" s="70">
        <f>(SUM(INPUTS!D42:'INPUTS'!D45)-INPUTS!D46+'GHG Manure'!J167)</f>
        <v>233.99406250000001</v>
      </c>
      <c r="F15" s="1605"/>
      <c r="G15" s="27">
        <f>'GHG Parameters'!D237</f>
        <v>0.01</v>
      </c>
      <c r="H15" s="45">
        <f t="shared" si="0"/>
        <v>2.3399406250000001</v>
      </c>
      <c r="J15" s="1604"/>
      <c r="K15" s="27" t="s">
        <v>221</v>
      </c>
      <c r="L15" s="26" t="s">
        <v>220</v>
      </c>
      <c r="M15" s="170">
        <f>(SUM(INPUTS!D42:'INPUTS'!D45)-INPUTS!D46+'GHG Manure'!J191)</f>
        <v>4.66</v>
      </c>
      <c r="N15" s="1605"/>
      <c r="O15" s="27">
        <f>'GHG Parameters'!D237</f>
        <v>0.01</v>
      </c>
      <c r="P15" s="45">
        <f>M15*O15</f>
        <v>4.6600000000000003E-2</v>
      </c>
    </row>
    <row r="16" spans="2:16" ht="16.5" thickBot="1">
      <c r="B16" s="1645"/>
      <c r="C16" s="96" t="s">
        <v>219</v>
      </c>
      <c r="D16" s="97" t="s">
        <v>218</v>
      </c>
      <c r="E16" s="98">
        <f>F39</f>
        <v>2.7977848674696579</v>
      </c>
      <c r="F16" s="1646"/>
      <c r="G16" s="96">
        <f>'GHG Parameters'!D237</f>
        <v>0.01</v>
      </c>
      <c r="H16" s="99">
        <f t="shared" si="0"/>
        <v>2.7977848674696579E-2</v>
      </c>
      <c r="J16" s="1645"/>
      <c r="K16" s="96" t="s">
        <v>219</v>
      </c>
      <c r="L16" s="97" t="s">
        <v>218</v>
      </c>
      <c r="M16" s="98">
        <f>F39</f>
        <v>2.7977848674696579</v>
      </c>
      <c r="N16" s="1646"/>
      <c r="O16" s="96">
        <f>'GHG Parameters'!D237</f>
        <v>0.01</v>
      </c>
      <c r="P16" s="99">
        <f t="shared" si="1"/>
        <v>2.7977848674696579E-2</v>
      </c>
    </row>
    <row r="17" spans="2:16" ht="15.75" customHeight="1" thickTop="1">
      <c r="B17" s="1592" t="s">
        <v>613</v>
      </c>
      <c r="C17" s="91" t="s">
        <v>224</v>
      </c>
      <c r="D17" s="90" t="s">
        <v>614</v>
      </c>
      <c r="E17" s="100">
        <f>INPUTS!E118*INPUTS!E113</f>
        <v>0</v>
      </c>
      <c r="F17" s="1620" t="s">
        <v>222</v>
      </c>
      <c r="G17" s="91">
        <f>'GHG Parameters'!D243</f>
        <v>3.0000000000000001E-3</v>
      </c>
      <c r="H17" s="95">
        <f t="shared" si="0"/>
        <v>0</v>
      </c>
      <c r="J17" s="1592" t="s">
        <v>613</v>
      </c>
      <c r="K17" s="91" t="s">
        <v>224</v>
      </c>
      <c r="L17" s="90" t="s">
        <v>614</v>
      </c>
      <c r="M17" s="100">
        <f>SUM(INPUTS!E118:I118)*SUM(INPUTS!E113:I113)</f>
        <v>0</v>
      </c>
      <c r="N17" s="1620" t="s">
        <v>222</v>
      </c>
      <c r="O17" s="91">
        <f>'GHG Parameters'!D243</f>
        <v>3.0000000000000001E-3</v>
      </c>
      <c r="P17" s="95">
        <f t="shared" si="1"/>
        <v>0</v>
      </c>
    </row>
    <row r="18" spans="2:16" ht="47.25">
      <c r="B18" s="1604"/>
      <c r="C18" s="27" t="s">
        <v>221</v>
      </c>
      <c r="D18" s="26" t="s">
        <v>650</v>
      </c>
      <c r="E18" s="70"/>
      <c r="F18" s="1605"/>
      <c r="G18" s="27">
        <f>'GHG Parameters'!D243</f>
        <v>3.0000000000000001E-3</v>
      </c>
      <c r="H18" s="45">
        <f t="shared" si="0"/>
        <v>0</v>
      </c>
      <c r="J18" s="1604"/>
      <c r="K18" s="27" t="s">
        <v>221</v>
      </c>
      <c r="L18" s="26" t="s">
        <v>650</v>
      </c>
      <c r="M18" s="70"/>
      <c r="N18" s="1605"/>
      <c r="O18" s="27">
        <f>'GHG Parameters'!D243</f>
        <v>3.0000000000000001E-3</v>
      </c>
      <c r="P18" s="45">
        <f t="shared" si="1"/>
        <v>0</v>
      </c>
    </row>
    <row r="19" spans="2:16" ht="16.5" thickBot="1">
      <c r="B19" s="1645"/>
      <c r="C19" s="96" t="s">
        <v>219</v>
      </c>
      <c r="D19" s="97" t="s">
        <v>218</v>
      </c>
      <c r="E19" s="168"/>
      <c r="F19" s="1646"/>
      <c r="G19" s="96">
        <f>'GHG Parameters'!D243</f>
        <v>3.0000000000000001E-3</v>
      </c>
      <c r="H19" s="99">
        <f t="shared" si="0"/>
        <v>0</v>
      </c>
      <c r="J19" s="1645"/>
      <c r="K19" s="96" t="s">
        <v>219</v>
      </c>
      <c r="L19" s="97" t="s">
        <v>218</v>
      </c>
      <c r="M19" s="168"/>
      <c r="N19" s="1646"/>
      <c r="O19" s="96">
        <f>'GHG Parameters'!D243</f>
        <v>3.0000000000000001E-3</v>
      </c>
      <c r="P19" s="99">
        <f t="shared" si="1"/>
        <v>0</v>
      </c>
    </row>
    <row r="20" spans="2:16" ht="48" thickTop="1">
      <c r="B20" s="1592" t="s">
        <v>610</v>
      </c>
      <c r="C20" s="91" t="s">
        <v>211</v>
      </c>
      <c r="D20" s="90" t="s">
        <v>611</v>
      </c>
      <c r="E20" s="68">
        <f>'GHG Manure'!B201</f>
        <v>0</v>
      </c>
      <c r="F20" s="93" t="s">
        <v>212</v>
      </c>
      <c r="G20" s="91">
        <f>'GHG Parameters'!D239</f>
        <v>0.02</v>
      </c>
      <c r="H20" s="88">
        <f>G20*E20</f>
        <v>0</v>
      </c>
      <c r="J20" s="1592" t="s">
        <v>610</v>
      </c>
      <c r="K20" s="91" t="s">
        <v>211</v>
      </c>
      <c r="L20" s="90" t="s">
        <v>611</v>
      </c>
      <c r="M20" s="88">
        <f>'GHG Manure'!D201</f>
        <v>0</v>
      </c>
      <c r="N20" s="93" t="s">
        <v>212</v>
      </c>
      <c r="O20" s="91">
        <f>'GHG Parameters'!D239</f>
        <v>0.02</v>
      </c>
      <c r="P20" s="88">
        <f>O20*M20</f>
        <v>0</v>
      </c>
    </row>
    <row r="21" spans="2:16" ht="47.25">
      <c r="B21" s="1604"/>
      <c r="C21" s="27" t="s">
        <v>210</v>
      </c>
      <c r="D21" s="26" t="s">
        <v>612</v>
      </c>
      <c r="E21" s="68">
        <f>'GHG Manure'!B202</f>
        <v>0</v>
      </c>
      <c r="F21" s="23" t="s">
        <v>212</v>
      </c>
      <c r="G21" s="27">
        <f>'GHG Parameters'!D240</f>
        <v>0.01</v>
      </c>
      <c r="H21" s="68">
        <f>G21*E21</f>
        <v>0</v>
      </c>
      <c r="J21" s="1604"/>
      <c r="K21" s="27" t="s">
        <v>210</v>
      </c>
      <c r="L21" s="26" t="s">
        <v>612</v>
      </c>
      <c r="M21" s="88">
        <f>'GHG Manure'!D202</f>
        <v>0</v>
      </c>
      <c r="N21" s="23" t="s">
        <v>212</v>
      </c>
      <c r="O21" s="27">
        <f>'GHG Parameters'!D240</f>
        <v>0.01</v>
      </c>
      <c r="P21" s="68">
        <f>O21*M21</f>
        <v>0</v>
      </c>
    </row>
    <row r="22" spans="2:16">
      <c r="B22" s="1605" t="s">
        <v>209</v>
      </c>
      <c r="C22" s="1605"/>
      <c r="D22" s="23"/>
      <c r="E22" s="23"/>
      <c r="F22" s="23"/>
      <c r="G22" s="23"/>
      <c r="H22" s="47">
        <f>SUM(H14:H21)</f>
        <v>2.6219491178844052</v>
      </c>
      <c r="J22" s="1605" t="s">
        <v>209</v>
      </c>
      <c r="K22" s="1605"/>
      <c r="L22" s="23"/>
      <c r="M22" s="23"/>
      <c r="N22" s="23"/>
      <c r="O22" s="23"/>
      <c r="P22" s="73">
        <f>SUM(P14:P21)</f>
        <v>0.32860849288440502</v>
      </c>
    </row>
    <row r="25" spans="2:16">
      <c r="B25" t="s">
        <v>617</v>
      </c>
    </row>
    <row r="28" spans="2:16" ht="31.5">
      <c r="B28" s="1586" t="s">
        <v>351</v>
      </c>
      <c r="C28" s="24" t="s">
        <v>349</v>
      </c>
      <c r="D28" s="24" t="s">
        <v>1327</v>
      </c>
      <c r="E28" s="24" t="s">
        <v>357</v>
      </c>
      <c r="F28" s="24" t="s">
        <v>352</v>
      </c>
      <c r="H28"/>
    </row>
    <row r="29" spans="2:16">
      <c r="B29" s="1619"/>
      <c r="C29" s="24" t="s">
        <v>215</v>
      </c>
      <c r="D29" s="24" t="s">
        <v>153</v>
      </c>
      <c r="E29" s="24" t="s">
        <v>350</v>
      </c>
      <c r="F29" s="24" t="s">
        <v>233</v>
      </c>
      <c r="H29"/>
    </row>
    <row r="30" spans="2:16">
      <c r="B30" s="1619"/>
      <c r="C30" s="24"/>
      <c r="D30" s="24"/>
      <c r="E30" s="24"/>
      <c r="F30" s="24" t="s">
        <v>356</v>
      </c>
      <c r="H30"/>
    </row>
    <row r="31" spans="2:16">
      <c r="B31" s="1620"/>
      <c r="C31" s="24" t="s">
        <v>144</v>
      </c>
      <c r="D31" s="24" t="s">
        <v>355</v>
      </c>
      <c r="E31" s="24" t="s">
        <v>354</v>
      </c>
      <c r="F31" s="24" t="s">
        <v>353</v>
      </c>
      <c r="H31"/>
    </row>
    <row r="32" spans="2:16">
      <c r="B32" s="23" t="str">
        <f>INPUTS!D73</f>
        <v>Purchased</v>
      </c>
      <c r="C32" s="88">
        <f>'Land requirements'!F4</f>
        <v>0</v>
      </c>
      <c r="D32" s="100">
        <f>1-(INPUTS!F88+INPUTS!G88)</f>
        <v>1</v>
      </c>
      <c r="E32" s="588">
        <f>VLOOKUP(B32,'Crop parameters'!$A$2:$Z$43,9, FALSE)</f>
        <v>0</v>
      </c>
      <c r="F32" s="589">
        <f>C32*E32*D32</f>
        <v>0</v>
      </c>
      <c r="H32"/>
    </row>
    <row r="33" spans="1:20">
      <c r="B33" s="23" t="str">
        <f>INPUTS!D74</f>
        <v>Pennisetum purpureum</v>
      </c>
      <c r="C33" s="88">
        <f>'Land requirements'!F5</f>
        <v>2.9946669286461836E-2</v>
      </c>
      <c r="D33" s="100">
        <f>1-(INPUTS!F89+INPUTS!G89)</f>
        <v>1</v>
      </c>
      <c r="E33" s="588">
        <f>VLOOKUP(B33,'Crop parameters'!$A$2:$Z$43,9, FALSE)</f>
        <v>0</v>
      </c>
      <c r="F33" s="589">
        <f t="shared" ref="F33:F38" si="2">C33*E33*D33</f>
        <v>0</v>
      </c>
      <c r="H33"/>
    </row>
    <row r="34" spans="1:20">
      <c r="B34" s="23" t="str">
        <f>INPUTS!D75</f>
        <v>Rhodes</v>
      </c>
      <c r="C34" s="88">
        <f>'Land requirements'!F6</f>
        <v>0.19814299519254597</v>
      </c>
      <c r="D34" s="100">
        <f>1-(INPUTS!F90+INPUTS!G90)</f>
        <v>1</v>
      </c>
      <c r="E34" s="588">
        <f>VLOOKUP(B34,'Crop parameters'!$A$2:$Z$43,9, FALSE)</f>
        <v>0</v>
      </c>
      <c r="F34" s="549">
        <f>IFERROR(C34*E34*D34, 0)</f>
        <v>0</v>
      </c>
      <c r="H34"/>
    </row>
    <row r="35" spans="1:20">
      <c r="B35" s="23" t="str">
        <f>INPUTS!D76</f>
        <v>Guatemala</v>
      </c>
      <c r="C35" s="88">
        <f>'Land requirements'!F7</f>
        <v>6.4332183440858282E-2</v>
      </c>
      <c r="D35" s="100">
        <f>1-(INPUTS!F91+INPUTS!G91)</f>
        <v>1</v>
      </c>
      <c r="E35" s="588">
        <f>VLOOKUP(B35,'Crop parameters'!$A$2:$Z$43,9, FALSE)</f>
        <v>0</v>
      </c>
      <c r="F35" s="549">
        <f t="shared" si="2"/>
        <v>0</v>
      </c>
      <c r="H35"/>
    </row>
    <row r="36" spans="1:20">
      <c r="B36" s="23" t="str">
        <f>INPUTS!D77</f>
        <v>Maize</v>
      </c>
      <c r="C36" s="88">
        <f>'Land requirements'!F8</f>
        <v>0.90954348572110355</v>
      </c>
      <c r="D36" s="100">
        <f>1-(INPUTS!F92+INPUTS!G92)</f>
        <v>0.4</v>
      </c>
      <c r="E36" s="588">
        <f>VLOOKUP(B36,'Crop parameters'!$A$2:$Z$43,9, FALSE)</f>
        <v>7.6900800000000009</v>
      </c>
      <c r="F36" s="549">
        <f t="shared" si="2"/>
        <v>2.7977848674696579</v>
      </c>
      <c r="H36"/>
    </row>
    <row r="37" spans="1:20">
      <c r="B37" s="23" t="str">
        <f>INPUTS!D78</f>
        <v>Natural pasture</v>
      </c>
      <c r="C37" s="88">
        <f>'Land requirements'!F9</f>
        <v>0.49157229442375316</v>
      </c>
      <c r="D37" s="100">
        <f>1-(INPUTS!F93+INPUTS!G93)</f>
        <v>1</v>
      </c>
      <c r="E37" s="588">
        <f>VLOOKUP(B37,'Crop parameters'!$A$2:$Z$43,9, FALSE)</f>
        <v>0</v>
      </c>
      <c r="F37" s="549">
        <f t="shared" si="2"/>
        <v>0</v>
      </c>
      <c r="H37"/>
    </row>
    <row r="38" spans="1:20">
      <c r="B38" s="23" t="str">
        <f>INPUTS!D79</f>
        <v>N/A</v>
      </c>
      <c r="C38" s="88">
        <f>'Land requirements'!F10</f>
        <v>0</v>
      </c>
      <c r="D38" s="100">
        <f>1-(INPUTS!F94+INPUTS!G94)</f>
        <v>1</v>
      </c>
      <c r="E38" s="588">
        <f>VLOOKUP(B38,'Crop parameters'!$A$2:$Z$43,9, FALSE)</f>
        <v>0</v>
      </c>
      <c r="F38" s="549">
        <f t="shared" si="2"/>
        <v>0</v>
      </c>
      <c r="H38"/>
    </row>
    <row r="39" spans="1:20">
      <c r="B39" s="1655" t="s">
        <v>671</v>
      </c>
      <c r="C39" s="1655"/>
      <c r="D39" s="1655"/>
      <c r="E39" s="1655"/>
      <c r="F39" s="548">
        <f>SUM(F32:F38)</f>
        <v>2.7977848674696579</v>
      </c>
    </row>
    <row r="40" spans="1:20">
      <c r="C40"/>
      <c r="F40"/>
      <c r="H40"/>
    </row>
    <row r="41" spans="1:20">
      <c r="B41" s="12" t="s">
        <v>615</v>
      </c>
      <c r="C41" s="12" t="s">
        <v>922</v>
      </c>
      <c r="D41" s="12"/>
      <c r="E41" s="12"/>
      <c r="F41" s="12"/>
      <c r="H41"/>
    </row>
    <row r="42" spans="1:20" s="12" customFormat="1">
      <c r="B42" s="23" t="s">
        <v>254</v>
      </c>
      <c r="C42" s="1049" t="s">
        <v>255</v>
      </c>
      <c r="D42" s="1050"/>
      <c r="E42" s="1050"/>
      <c r="F42" s="1050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216</v>
      </c>
      <c r="C43" s="24" t="s">
        <v>238</v>
      </c>
      <c r="D43" s="24" t="s">
        <v>239</v>
      </c>
      <c r="E43" s="24" t="s">
        <v>240</v>
      </c>
      <c r="F43" s="24" t="s">
        <v>241</v>
      </c>
      <c r="G43" s="1050"/>
      <c r="H43" s="1050"/>
      <c r="I43" s="1051"/>
      <c r="J43" s="23"/>
    </row>
    <row r="44" spans="1:20" ht="110.25">
      <c r="A44" s="12"/>
      <c r="B44" s="24"/>
      <c r="C44" s="24" t="s">
        <v>214</v>
      </c>
      <c r="D44" s="24" t="s">
        <v>245</v>
      </c>
      <c r="E44" s="24" t="s">
        <v>214</v>
      </c>
      <c r="F44" s="24" t="s">
        <v>214</v>
      </c>
      <c r="G44" s="24" t="s">
        <v>242</v>
      </c>
      <c r="H44" s="24" t="s">
        <v>487</v>
      </c>
      <c r="I44" s="24" t="s">
        <v>488</v>
      </c>
      <c r="J44" s="24" t="s">
        <v>488</v>
      </c>
      <c r="K44" s="12"/>
      <c r="L44" s="12"/>
      <c r="M44" s="12"/>
    </row>
    <row r="45" spans="1:20" ht="31.5">
      <c r="A45" s="12"/>
      <c r="B45" s="27"/>
      <c r="C45" s="27"/>
      <c r="D45" s="27" t="s">
        <v>247</v>
      </c>
      <c r="E45" s="27"/>
      <c r="F45" s="27"/>
      <c r="G45" s="24" t="s">
        <v>244</v>
      </c>
      <c r="H45" s="24" t="s">
        <v>243</v>
      </c>
      <c r="I45" s="24" t="s">
        <v>246</v>
      </c>
      <c r="J45" s="24" t="s">
        <v>257</v>
      </c>
      <c r="K45" s="12"/>
      <c r="L45" s="12"/>
      <c r="M45" s="12"/>
    </row>
    <row r="46" spans="1:20" ht="63">
      <c r="A46" s="12"/>
      <c r="B46" s="27"/>
      <c r="C46" s="27" t="s">
        <v>248</v>
      </c>
      <c r="D46" s="27" t="s">
        <v>249</v>
      </c>
      <c r="E46" s="27" t="s">
        <v>250</v>
      </c>
      <c r="F46" s="27" t="s">
        <v>213</v>
      </c>
      <c r="G46" s="27" t="s">
        <v>247</v>
      </c>
      <c r="H46" s="27" t="s">
        <v>247</v>
      </c>
      <c r="I46" s="24" t="s">
        <v>256</v>
      </c>
      <c r="J46" s="23"/>
      <c r="K46" s="12"/>
      <c r="L46" s="12"/>
      <c r="M46" s="12"/>
    </row>
    <row r="47" spans="1:20">
      <c r="A47" s="12"/>
      <c r="B47" s="68"/>
      <c r="C47" s="68">
        <f>'GHG Soil'!E14+E17</f>
        <v>25.403064420970843</v>
      </c>
      <c r="D47" s="68">
        <f>'GHG Parameters'!D245</f>
        <v>0.1</v>
      </c>
      <c r="E47" s="68">
        <f>SUM(E15:E19)</f>
        <v>236.79184736746967</v>
      </c>
      <c r="F47" s="68">
        <f>E20+E21</f>
        <v>0</v>
      </c>
      <c r="G47" s="27" t="s">
        <v>251</v>
      </c>
      <c r="H47" s="27" t="s">
        <v>125</v>
      </c>
      <c r="I47" s="27" t="s">
        <v>252</v>
      </c>
      <c r="J47" s="23"/>
      <c r="K47" s="12"/>
      <c r="L47" s="12"/>
      <c r="M47" s="12"/>
    </row>
    <row r="48" spans="1:20">
      <c r="A48" s="12"/>
      <c r="B48" s="1052" t="s">
        <v>253</v>
      </c>
      <c r="C48" s="1053"/>
      <c r="D48" s="1053"/>
      <c r="E48" s="1053"/>
      <c r="F48" s="1053"/>
      <c r="G48" s="68">
        <f>'GHG Parameters'!D246</f>
        <v>0.2</v>
      </c>
      <c r="H48" s="68">
        <f>'GHG Parameters'!D241</f>
        <v>0.01</v>
      </c>
      <c r="I48" s="68">
        <f>((C47*D47)+((E47+F47)*G48))*H48</f>
        <v>0.49898675915591023</v>
      </c>
      <c r="J48" s="71"/>
      <c r="K48" s="12"/>
      <c r="L48" s="12"/>
      <c r="M48" s="12"/>
    </row>
    <row r="49" spans="1:13">
      <c r="A49" s="12"/>
      <c r="G49" s="1053"/>
      <c r="H49" s="1053"/>
      <c r="I49" s="1054"/>
      <c r="J49" s="69">
        <f>I48*(44/28)</f>
        <v>0.78412205010214464</v>
      </c>
      <c r="K49" s="12"/>
      <c r="L49" s="12"/>
      <c r="M49" s="12"/>
    </row>
    <row r="51" spans="1:13">
      <c r="B51" s="12" t="s">
        <v>615</v>
      </c>
      <c r="C51" s="12" t="s">
        <v>923</v>
      </c>
      <c r="D51" s="12"/>
      <c r="E51" s="12"/>
      <c r="F51" s="12"/>
    </row>
    <row r="52" spans="1:13">
      <c r="B52" s="23" t="s">
        <v>254</v>
      </c>
      <c r="C52" s="1049" t="s">
        <v>255</v>
      </c>
      <c r="D52" s="1050"/>
      <c r="E52" s="1050"/>
      <c r="F52" s="1050"/>
      <c r="G52" s="12"/>
      <c r="I52" s="12"/>
      <c r="J52" s="12"/>
    </row>
    <row r="53" spans="1:13" ht="94.5">
      <c r="B53" s="24" t="s">
        <v>216</v>
      </c>
      <c r="C53" s="24" t="s">
        <v>238</v>
      </c>
      <c r="D53" s="24" t="s">
        <v>239</v>
      </c>
      <c r="E53" s="24" t="s">
        <v>240</v>
      </c>
      <c r="F53" s="24" t="s">
        <v>241</v>
      </c>
      <c r="G53" s="1050"/>
      <c r="H53" s="1050"/>
      <c r="I53" s="1051"/>
      <c r="J53" s="23"/>
    </row>
    <row r="54" spans="1:13" ht="110.25">
      <c r="B54" s="24"/>
      <c r="C54" s="24" t="s">
        <v>214</v>
      </c>
      <c r="D54" s="24" t="s">
        <v>245</v>
      </c>
      <c r="E54" s="24" t="s">
        <v>214</v>
      </c>
      <c r="F54" s="24" t="s">
        <v>214</v>
      </c>
      <c r="G54" s="24" t="s">
        <v>242</v>
      </c>
      <c r="H54" s="24" t="s">
        <v>487</v>
      </c>
      <c r="I54" s="24" t="s">
        <v>488</v>
      </c>
      <c r="J54" s="24" t="s">
        <v>488</v>
      </c>
    </row>
    <row r="55" spans="1:13" ht="31.5">
      <c r="B55" s="27"/>
      <c r="C55" s="27"/>
      <c r="D55" s="27" t="s">
        <v>247</v>
      </c>
      <c r="E55" s="27"/>
      <c r="F55" s="27"/>
      <c r="G55" s="24" t="s">
        <v>244</v>
      </c>
      <c r="H55" s="24" t="s">
        <v>243</v>
      </c>
      <c r="I55" s="24" t="s">
        <v>246</v>
      </c>
      <c r="J55" s="24" t="s">
        <v>257</v>
      </c>
    </row>
    <row r="56" spans="1:13" ht="63">
      <c r="B56" s="27"/>
      <c r="C56" s="27" t="s">
        <v>248</v>
      </c>
      <c r="D56" s="27" t="s">
        <v>249</v>
      </c>
      <c r="E56" s="27" t="s">
        <v>250</v>
      </c>
      <c r="F56" s="27" t="s">
        <v>213</v>
      </c>
      <c r="G56" s="27" t="s">
        <v>247</v>
      </c>
      <c r="H56" s="27" t="s">
        <v>247</v>
      </c>
      <c r="I56" s="24" t="s">
        <v>256</v>
      </c>
      <c r="J56" s="23"/>
    </row>
    <row r="57" spans="1:13">
      <c r="B57" s="68"/>
      <c r="C57" s="68">
        <f>'GHG Soil'!M14+M17</f>
        <v>25.403064420970843</v>
      </c>
      <c r="D57" s="68">
        <f>'GHG Parameters'!D245</f>
        <v>0.1</v>
      </c>
      <c r="E57" s="68">
        <f>SUM(M15:M19)</f>
        <v>7.4577848674696581</v>
      </c>
      <c r="F57" s="68">
        <f>M20+M21</f>
        <v>0</v>
      </c>
      <c r="G57" s="27" t="s">
        <v>251</v>
      </c>
      <c r="H57" s="27" t="s">
        <v>125</v>
      </c>
      <c r="I57" s="27" t="s">
        <v>252</v>
      </c>
      <c r="J57" s="23"/>
    </row>
    <row r="58" spans="1:13">
      <c r="B58" s="1052" t="s">
        <v>253</v>
      </c>
      <c r="C58" s="1053"/>
      <c r="D58" s="1053"/>
      <c r="E58" s="1053"/>
      <c r="F58" s="1053"/>
      <c r="G58" s="68">
        <f>'GHG Parameters'!D246</f>
        <v>0.2</v>
      </c>
      <c r="H58" s="68">
        <f>'GHG Parameters'!D241</f>
        <v>0.01</v>
      </c>
      <c r="I58" s="68">
        <f>((C57*D57)+((E57+F57)*G58))*H58</f>
        <v>4.0318634155910166E-2</v>
      </c>
      <c r="J58" s="71"/>
    </row>
    <row r="59" spans="1:13">
      <c r="G59" s="1053"/>
      <c r="H59" s="1053"/>
      <c r="I59" s="1054"/>
      <c r="J59" s="69">
        <f>I58*(44/28)</f>
        <v>6.335785367357312E-2</v>
      </c>
    </row>
    <row r="63" spans="1:13">
      <c r="B63" t="s">
        <v>948</v>
      </c>
    </row>
    <row r="64" spans="1:13">
      <c r="B64" t="s">
        <v>922</v>
      </c>
      <c r="C64" s="12" t="s">
        <v>923</v>
      </c>
    </row>
    <row r="65" spans="2:11" ht="31.5">
      <c r="B65" s="46" t="s">
        <v>952</v>
      </c>
      <c r="C65" s="46" t="s">
        <v>952</v>
      </c>
    </row>
    <row r="66" spans="2:11">
      <c r="B66" s="46" t="s">
        <v>237</v>
      </c>
      <c r="C66" s="46" t="s">
        <v>237</v>
      </c>
    </row>
    <row r="67" spans="2:11" ht="31.5">
      <c r="B67" s="46" t="s">
        <v>664</v>
      </c>
      <c r="C67" s="46" t="s">
        <v>664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52"/>
      <c r="C69" s="1653"/>
      <c r="D69" s="1526" t="s">
        <v>236</v>
      </c>
      <c r="E69" s="1526"/>
      <c r="F69" s="24" t="s">
        <v>235</v>
      </c>
    </row>
    <row r="70" spans="2:11" ht="110.25">
      <c r="B70" s="1610"/>
      <c r="C70" s="1654"/>
      <c r="D70" s="1526" t="s">
        <v>233</v>
      </c>
      <c r="E70" s="1526"/>
      <c r="F70" s="27" t="s">
        <v>232</v>
      </c>
      <c r="G70" s="24"/>
      <c r="H70" s="24" t="s">
        <v>952</v>
      </c>
      <c r="I70" s="24" t="s">
        <v>242</v>
      </c>
      <c r="J70" s="24" t="s">
        <v>487</v>
      </c>
      <c r="K70" s="24" t="s">
        <v>488</v>
      </c>
    </row>
    <row r="71" spans="2:11" ht="31.5">
      <c r="B71" s="1610"/>
      <c r="C71" s="1654"/>
      <c r="D71" s="1526"/>
      <c r="E71" s="1526"/>
      <c r="F71" s="27" t="s">
        <v>230</v>
      </c>
      <c r="G71" s="27"/>
      <c r="H71" s="24" t="s">
        <v>231</v>
      </c>
      <c r="I71" s="24" t="s">
        <v>244</v>
      </c>
      <c r="J71" s="24" t="s">
        <v>243</v>
      </c>
      <c r="K71" s="24" t="s">
        <v>257</v>
      </c>
    </row>
    <row r="72" spans="2:11">
      <c r="B72" t="s">
        <v>950</v>
      </c>
      <c r="D72" s="1526" t="s">
        <v>228</v>
      </c>
      <c r="E72" s="1526"/>
      <c r="F72" s="27" t="s">
        <v>0</v>
      </c>
      <c r="G72" s="27"/>
      <c r="H72" s="24" t="s">
        <v>229</v>
      </c>
      <c r="I72" s="27" t="s">
        <v>247</v>
      </c>
      <c r="J72" s="211" t="s">
        <v>247</v>
      </c>
      <c r="K72" s="1648"/>
    </row>
    <row r="73" spans="2:11" ht="31.5">
      <c r="B73" s="1592" t="s">
        <v>949</v>
      </c>
      <c r="C73" s="91" t="s">
        <v>211</v>
      </c>
      <c r="D73" s="90" t="s">
        <v>611</v>
      </c>
      <c r="E73" s="88">
        <f>'GHG Manure'!C201</f>
        <v>0</v>
      </c>
      <c r="F73" s="93" t="s">
        <v>212</v>
      </c>
      <c r="G73" s="27"/>
      <c r="H73" s="24" t="s">
        <v>227</v>
      </c>
      <c r="I73" s="27" t="s">
        <v>251</v>
      </c>
      <c r="J73" s="211" t="s">
        <v>125</v>
      </c>
      <c r="K73" s="1649"/>
    </row>
    <row r="74" spans="2:11" ht="31.5">
      <c r="B74" s="1604"/>
      <c r="C74" s="27" t="s">
        <v>210</v>
      </c>
      <c r="D74" s="26" t="s">
        <v>612</v>
      </c>
      <c r="E74" s="68">
        <f>'GHG Manure'!C202</f>
        <v>0</v>
      </c>
      <c r="F74" s="23" t="s">
        <v>212</v>
      </c>
      <c r="G74" s="91">
        <f>'GHG Parameters'!D239</f>
        <v>0.02</v>
      </c>
      <c r="H74" s="212">
        <f>G74*E73</f>
        <v>0</v>
      </c>
      <c r="I74" s="68">
        <f>'GHG Parameters'!D246</f>
        <v>0.2</v>
      </c>
      <c r="J74" s="214">
        <f>'GHG Parameters'!D241</f>
        <v>0.01</v>
      </c>
      <c r="K74" s="294">
        <f>H74*I74*J74 *(44/28)</f>
        <v>0</v>
      </c>
    </row>
    <row r="75" spans="2:11">
      <c r="G75" s="27">
        <f>'GHG Parameters'!D240</f>
        <v>0.01</v>
      </c>
      <c r="H75" s="69">
        <f>G75*E74</f>
        <v>0</v>
      </c>
      <c r="I75" s="68">
        <f>'GHG Parameters'!D246</f>
        <v>0.2</v>
      </c>
      <c r="J75" s="214">
        <f>'GHG Parameters'!D241</f>
        <v>0.01</v>
      </c>
      <c r="K75" s="294">
        <f>H75*I75*J75 *(44/28)</f>
        <v>0</v>
      </c>
    </row>
    <row r="76" spans="2:11">
      <c r="B76" t="s">
        <v>951</v>
      </c>
      <c r="H76" s="213"/>
      <c r="K76" s="295"/>
    </row>
    <row r="77" spans="2:11" ht="31.5">
      <c r="B77" s="1592" t="s">
        <v>949</v>
      </c>
      <c r="C77" s="91" t="s">
        <v>211</v>
      </c>
      <c r="D77" s="90" t="s">
        <v>611</v>
      </c>
      <c r="E77" s="88">
        <f>'GHG Manure'!E201</f>
        <v>0</v>
      </c>
      <c r="F77" s="93" t="s">
        <v>212</v>
      </c>
      <c r="G77" s="91">
        <f>'GHG Parameters'!D239</f>
        <v>0.02</v>
      </c>
      <c r="H77" s="212">
        <f>G77*E77</f>
        <v>0</v>
      </c>
      <c r="I77" s="68">
        <f>'GHG Parameters'!D246</f>
        <v>0.2</v>
      </c>
      <c r="J77" s="214">
        <f>'GHG Parameters'!D241</f>
        <v>0.01</v>
      </c>
      <c r="K77" s="294">
        <f>H77*I77*J77 *(44/28)</f>
        <v>0</v>
      </c>
    </row>
    <row r="78" spans="2:11" ht="31.5">
      <c r="B78" s="1604"/>
      <c r="C78" s="27" t="s">
        <v>210</v>
      </c>
      <c r="D78" s="26" t="s">
        <v>612</v>
      </c>
      <c r="E78" s="68">
        <f>'GHG Manure'!E202</f>
        <v>0</v>
      </c>
      <c r="F78" s="23" t="s">
        <v>212</v>
      </c>
      <c r="G78" s="27">
        <f>'GHG Parameters'!D240</f>
        <v>0.01</v>
      </c>
      <c r="H78" s="69">
        <f>G78*E78</f>
        <v>0</v>
      </c>
      <c r="I78" s="68">
        <f>'GHG Parameters'!D246</f>
        <v>0.2</v>
      </c>
      <c r="J78" s="214">
        <f>'GHG Parameters'!D241</f>
        <v>0.01</v>
      </c>
      <c r="K78" s="294">
        <f>H78*I78*J78 *(44/28)</f>
        <v>0</v>
      </c>
    </row>
  </sheetData>
  <mergeCells count="46">
    <mergeCell ref="B77:B78"/>
    <mergeCell ref="D72:E72"/>
    <mergeCell ref="B69:C71"/>
    <mergeCell ref="B28:B31"/>
    <mergeCell ref="B22:C22"/>
    <mergeCell ref="B39:E39"/>
    <mergeCell ref="D71:E71"/>
    <mergeCell ref="B73:B74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B20:B21"/>
    <mergeCell ref="F11:G11"/>
    <mergeCell ref="F13:G13"/>
    <mergeCell ref="B14:B16"/>
    <mergeCell ref="B17:B19"/>
    <mergeCell ref="F14:F16"/>
    <mergeCell ref="F17:F19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620</v>
      </c>
    </row>
    <row r="2" spans="1:15">
      <c r="A2" t="s">
        <v>651</v>
      </c>
      <c r="C2" t="s">
        <v>654</v>
      </c>
    </row>
    <row r="5" spans="1:15">
      <c r="J5" t="s">
        <v>683</v>
      </c>
    </row>
    <row r="6" spans="1:15">
      <c r="C6" s="24" t="s">
        <v>672</v>
      </c>
      <c r="D6" s="24" t="s">
        <v>674</v>
      </c>
      <c r="E6" s="1527" t="s">
        <v>677</v>
      </c>
      <c r="F6" s="1527"/>
      <c r="G6" s="1527"/>
      <c r="H6" s="1527"/>
      <c r="I6" s="1527"/>
      <c r="J6" s="1527" t="s">
        <v>680</v>
      </c>
      <c r="K6" s="1527"/>
      <c r="L6" s="1527"/>
      <c r="M6" s="1527"/>
      <c r="N6" s="1527"/>
      <c r="O6" s="27"/>
    </row>
    <row r="7" spans="1:15">
      <c r="C7" s="24" t="s">
        <v>897</v>
      </c>
      <c r="D7" s="24" t="s">
        <v>675</v>
      </c>
      <c r="E7" s="1527" t="s">
        <v>678</v>
      </c>
      <c r="F7" s="1527"/>
      <c r="G7" s="1527"/>
      <c r="H7" s="1527"/>
      <c r="I7" s="1527"/>
      <c r="J7" s="1527" t="s">
        <v>681</v>
      </c>
      <c r="K7" s="1527"/>
      <c r="L7" s="1527"/>
      <c r="M7" s="1527"/>
      <c r="N7" s="1527"/>
      <c r="O7" s="27" t="s">
        <v>691</v>
      </c>
    </row>
    <row r="8" spans="1:15">
      <c r="C8" s="24"/>
      <c r="D8" s="24" t="s">
        <v>652</v>
      </c>
      <c r="E8" s="1527" t="s">
        <v>653</v>
      </c>
      <c r="F8" s="1527"/>
      <c r="G8" s="1527"/>
      <c r="H8" s="1527"/>
      <c r="I8" s="1527"/>
      <c r="J8" s="1527" t="s">
        <v>685</v>
      </c>
      <c r="K8" s="1527"/>
      <c r="L8" s="1527"/>
      <c r="M8" s="1527"/>
      <c r="N8" s="1527"/>
      <c r="O8" s="27"/>
    </row>
    <row r="9" spans="1:15">
      <c r="C9" s="24" t="s">
        <v>673</v>
      </c>
      <c r="D9" s="24" t="s">
        <v>676</v>
      </c>
      <c r="E9" s="1527" t="s">
        <v>679</v>
      </c>
      <c r="F9" s="1527"/>
      <c r="G9" s="1527"/>
      <c r="H9" s="1527"/>
      <c r="I9" s="1527"/>
      <c r="J9" s="1527" t="s">
        <v>682</v>
      </c>
      <c r="K9" s="1527"/>
      <c r="L9" s="1527"/>
      <c r="M9" s="1527"/>
      <c r="N9" s="1527"/>
      <c r="O9" s="27"/>
    </row>
    <row r="10" spans="1:15" s="12" customFormat="1" ht="47.25">
      <c r="A10" s="30" t="s">
        <v>684</v>
      </c>
      <c r="B10"/>
      <c r="C10" s="27" t="s">
        <v>690</v>
      </c>
      <c r="E10" s="24" t="s">
        <v>686</v>
      </c>
      <c r="F10" s="586" t="s">
        <v>687</v>
      </c>
      <c r="G10" s="24" t="s">
        <v>688</v>
      </c>
      <c r="H10" s="24" t="s">
        <v>87</v>
      </c>
      <c r="I10" s="586" t="s">
        <v>689</v>
      </c>
      <c r="J10" s="24" t="s">
        <v>686</v>
      </c>
      <c r="K10" s="167" t="s">
        <v>687</v>
      </c>
      <c r="L10" s="24" t="s">
        <v>688</v>
      </c>
      <c r="M10" s="24" t="s">
        <v>87</v>
      </c>
      <c r="N10" s="167" t="s">
        <v>689</v>
      </c>
      <c r="O10" s="27" t="s">
        <v>643</v>
      </c>
    </row>
    <row r="11" spans="1:15">
      <c r="C11" s="68">
        <f>E26</f>
        <v>0</v>
      </c>
      <c r="D11" s="68">
        <v>0.8</v>
      </c>
      <c r="E11" s="27">
        <v>1515</v>
      </c>
      <c r="F11" s="587">
        <v>92</v>
      </c>
      <c r="G11" s="27">
        <v>2.7</v>
      </c>
      <c r="H11" s="27">
        <v>7.0000000000000007E-2</v>
      </c>
      <c r="I11" s="587">
        <v>2.5</v>
      </c>
      <c r="J11" s="68">
        <f>C11*D11*E11</f>
        <v>0</v>
      </c>
      <c r="K11" s="170">
        <f>C11*D11*F11</f>
        <v>0</v>
      </c>
      <c r="L11" s="68">
        <f>C11*D11*G11</f>
        <v>0</v>
      </c>
      <c r="M11" s="131">
        <f>C11*D11*H11</f>
        <v>0</v>
      </c>
      <c r="N11" s="170">
        <f>C11*D11*I11</f>
        <v>0</v>
      </c>
      <c r="O11" s="68">
        <f>(J11+(L11*'GHG emissions'!C26)+(M11*'GHG emissions'!C27))/1000</f>
        <v>0</v>
      </c>
    </row>
    <row r="17" spans="2:5">
      <c r="B17" t="s">
        <v>792</v>
      </c>
      <c r="C17" t="s">
        <v>895</v>
      </c>
      <c r="D17" t="s">
        <v>894</v>
      </c>
      <c r="E17" t="s">
        <v>896</v>
      </c>
    </row>
    <row r="18" spans="2:5">
      <c r="B18" t="str">
        <f>INPUTS!D73</f>
        <v>Purchased</v>
      </c>
      <c r="C18" s="39" t="e">
        <f>VLOOKUP(B18,crop_parameters,8, FALSE)</f>
        <v>#N/A</v>
      </c>
      <c r="D18" s="39">
        <f>INPUTS!G88</f>
        <v>0</v>
      </c>
      <c r="E18" s="39" t="str">
        <f>IF(ISERROR(D18*C18*'Land requirements'!F4),"",(D18*C18*'Land requirements'!F4))</f>
        <v/>
      </c>
    </row>
    <row r="19" spans="2:5">
      <c r="B19" t="str">
        <f>INPUTS!D74</f>
        <v>Pennisetum purpureum</v>
      </c>
      <c r="C19" s="39" t="e">
        <f>VLOOKUP(B19,crop_parameters,8, FALSE)</f>
        <v>#N/A</v>
      </c>
      <c r="D19" s="39">
        <f>INPUTS!G89</f>
        <v>0</v>
      </c>
      <c r="E19" s="39" t="str">
        <f>IF(ISERROR(D19*C19*'Land requirements'!F5),"",(D19*C19*'Land requirements'!F5))</f>
        <v/>
      </c>
    </row>
    <row r="20" spans="2:5">
      <c r="B20" t="str">
        <f>INPUTS!D75</f>
        <v>Rhodes</v>
      </c>
      <c r="C20" s="39" t="e">
        <f>VLOOKUP(B20,crop_parameters,8, FALSE)</f>
        <v>#N/A</v>
      </c>
      <c r="D20" s="39">
        <f>INPUTS!G90</f>
        <v>0</v>
      </c>
      <c r="E20" s="39" t="str">
        <f>IF(ISERROR(D20*C20*'Land requirements'!F6),"",(D20*C20*'Land requirements'!F6))</f>
        <v/>
      </c>
    </row>
    <row r="21" spans="2:5">
      <c r="B21" t="str">
        <f>INPUTS!D76</f>
        <v>Guatemala</v>
      </c>
      <c r="C21" s="39" t="str">
        <f t="shared" ref="C21:C24" si="0">IFERROR(VLOOKUP(B21,crop_parameters,8, FALSE), "")</f>
        <v/>
      </c>
      <c r="D21" s="39">
        <f>INPUTS!G91</f>
        <v>0</v>
      </c>
      <c r="E21" s="39" t="str">
        <f>IF(ISERROR(D21*C21*'Land requirements'!F7),"",(D21*C21*'Land requirements'!F7))</f>
        <v/>
      </c>
    </row>
    <row r="22" spans="2:5">
      <c r="B22" t="str">
        <f>INPUTS!D77</f>
        <v>Maize</v>
      </c>
      <c r="C22" s="39">
        <f t="shared" si="0"/>
        <v>3.5824421538461535</v>
      </c>
      <c r="D22" s="39">
        <f>INPUTS!G92</f>
        <v>0</v>
      </c>
      <c r="E22" s="39">
        <f>IF(ISERROR(D22*C22*'Land requirements'!F8),"",(D22*C22*'Land requirements'!F8))</f>
        <v>0</v>
      </c>
    </row>
    <row r="23" spans="2:5">
      <c r="B23" t="str">
        <f>INPUTS!D78</f>
        <v>Natural pasture</v>
      </c>
      <c r="C23" s="39">
        <f t="shared" si="0"/>
        <v>0</v>
      </c>
      <c r="D23" s="39">
        <f>INPUTS!G93</f>
        <v>0</v>
      </c>
      <c r="E23" s="39">
        <f>IF(ISERROR(D23*C23*'Land requirements'!F9),"",(D23*C23*'Land requirements'!F9))</f>
        <v>0</v>
      </c>
    </row>
    <row r="24" spans="2:5">
      <c r="B24" t="str">
        <f>INPUTS!D79</f>
        <v>N/A</v>
      </c>
      <c r="C24" s="39">
        <f t="shared" si="0"/>
        <v>0</v>
      </c>
      <c r="D24" s="39">
        <f>INPUTS!G94</f>
        <v>0</v>
      </c>
      <c r="E24" s="39">
        <f>IF(ISERROR(D24*C24*'Land requirements'!F10),"",(D24*C24*'Land requirements'!F10))</f>
        <v>0</v>
      </c>
    </row>
    <row r="25" spans="2:5">
      <c r="C25" s="39"/>
      <c r="D25" s="39"/>
      <c r="E25" s="39"/>
    </row>
    <row r="26" spans="2:5">
      <c r="C26" s="39"/>
      <c r="D26" s="39" t="s">
        <v>132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workbookViewId="0">
      <selection activeCell="D10" sqref="D10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1028</v>
      </c>
    </row>
    <row r="4" spans="1:5">
      <c r="A4" t="s">
        <v>1029</v>
      </c>
      <c r="B4" t="s">
        <v>1030</v>
      </c>
      <c r="C4" t="s">
        <v>1031</v>
      </c>
      <c r="D4" t="s">
        <v>1032</v>
      </c>
    </row>
    <row r="5" spans="1:5">
      <c r="A5" s="9" t="s">
        <v>1033</v>
      </c>
      <c r="B5">
        <f>INPUTS!D106</f>
        <v>5</v>
      </c>
      <c r="C5">
        <v>0.78500000000000003</v>
      </c>
      <c r="D5" s="39">
        <f>C5*B5</f>
        <v>3.9250000000000003</v>
      </c>
    </row>
    <row r="6" spans="1:5">
      <c r="A6" s="9" t="s">
        <v>1034</v>
      </c>
      <c r="B6">
        <f>INPUTS!D107</f>
        <v>0</v>
      </c>
      <c r="C6">
        <f>E16</f>
        <v>2.3382000000000001</v>
      </c>
      <c r="D6" s="39">
        <f>C6*B6</f>
        <v>0</v>
      </c>
    </row>
    <row r="7" spans="1:5">
      <c r="A7" s="9" t="s">
        <v>1035</v>
      </c>
      <c r="B7">
        <f>INPUTS!D108</f>
        <v>0</v>
      </c>
      <c r="C7">
        <f>E15</f>
        <v>0.504</v>
      </c>
      <c r="D7" s="39">
        <f>C7*B7</f>
        <v>0</v>
      </c>
    </row>
    <row r="8" spans="1:5">
      <c r="A8" s="9" t="s">
        <v>1036</v>
      </c>
      <c r="B8">
        <f>INPUTS!D109</f>
        <v>0</v>
      </c>
      <c r="C8">
        <v>1.21</v>
      </c>
      <c r="D8" s="39">
        <f>C8*B8</f>
        <v>0</v>
      </c>
    </row>
    <row r="9" spans="1:5">
      <c r="A9" s="9" t="s">
        <v>1039</v>
      </c>
      <c r="B9">
        <f>INPUTS!D110</f>
        <v>0</v>
      </c>
      <c r="D9" s="39">
        <f>C9*B9</f>
        <v>0</v>
      </c>
      <c r="E9" s="315" t="s">
        <v>1046</v>
      </c>
    </row>
    <row r="10" spans="1:5">
      <c r="C10" s="315" t="s">
        <v>209</v>
      </c>
      <c r="D10" s="316">
        <f>SUM(D5:D9)</f>
        <v>3.9250000000000003</v>
      </c>
      <c r="E10" s="316">
        <f>D10/'Land requirements'!F11</f>
        <v>2.3176337714357511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1041</v>
      </c>
      <c r="C14" t="s">
        <v>1042</v>
      </c>
      <c r="D14" t="s">
        <v>1043</v>
      </c>
      <c r="E14" s="39" t="s">
        <v>1044</v>
      </c>
    </row>
    <row r="15" spans="1:5">
      <c r="A15" t="s">
        <v>1040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1034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173</v>
      </c>
      <c r="D1" t="s">
        <v>205</v>
      </c>
    </row>
    <row r="2" spans="1:13">
      <c r="D2" t="s">
        <v>206</v>
      </c>
    </row>
    <row r="3" spans="1:13">
      <c r="A3" s="13" t="s">
        <v>172</v>
      </c>
      <c r="B3" s="13" t="s">
        <v>171</v>
      </c>
      <c r="C3" s="1633" t="s">
        <v>168</v>
      </c>
      <c r="D3" s="1633"/>
      <c r="E3" s="1633" t="s">
        <v>169</v>
      </c>
      <c r="F3" s="1633"/>
      <c r="G3" s="1633"/>
      <c r="H3" s="1659" t="s">
        <v>170</v>
      </c>
      <c r="I3" s="1659"/>
      <c r="J3" s="1659"/>
      <c r="K3" s="1659" t="s">
        <v>169</v>
      </c>
      <c r="L3" s="1659"/>
      <c r="M3" s="64" t="s">
        <v>168</v>
      </c>
    </row>
    <row r="4" spans="1:13" s="10" customFormat="1" ht="141.75">
      <c r="A4" s="109" t="s">
        <v>627</v>
      </c>
      <c r="B4" s="109"/>
      <c r="C4" s="18" t="s">
        <v>166</v>
      </c>
      <c r="D4" s="15" t="s">
        <v>165</v>
      </c>
      <c r="E4" s="15" t="s">
        <v>208</v>
      </c>
      <c r="F4" s="15" t="s">
        <v>164</v>
      </c>
      <c r="G4" s="15" t="s">
        <v>207</v>
      </c>
      <c r="H4" s="18" t="s">
        <v>163</v>
      </c>
      <c r="I4" s="15" t="s">
        <v>162</v>
      </c>
      <c r="J4" s="15" t="s">
        <v>161</v>
      </c>
      <c r="K4" s="15" t="s">
        <v>160</v>
      </c>
      <c r="L4" s="15" t="s">
        <v>159</v>
      </c>
      <c r="M4" s="65" t="s">
        <v>158</v>
      </c>
    </row>
    <row r="5" spans="1:13" s="103" customFormat="1" ht="31.5">
      <c r="A5" s="110"/>
      <c r="B5" s="110"/>
      <c r="C5" s="24" t="s">
        <v>157</v>
      </c>
      <c r="D5" s="24" t="s">
        <v>156</v>
      </c>
      <c r="E5" s="24" t="s">
        <v>155</v>
      </c>
      <c r="F5" s="24" t="s">
        <v>153</v>
      </c>
      <c r="G5" s="24" t="s">
        <v>153</v>
      </c>
      <c r="H5" s="101" t="s">
        <v>154</v>
      </c>
      <c r="I5" s="101" t="s">
        <v>153</v>
      </c>
      <c r="J5" s="101" t="s">
        <v>153</v>
      </c>
      <c r="K5" s="101" t="s">
        <v>153</v>
      </c>
      <c r="L5" s="101" t="s">
        <v>152</v>
      </c>
      <c r="M5" s="102" t="s">
        <v>151</v>
      </c>
    </row>
    <row r="6" spans="1:13" s="103" customFormat="1" ht="31.5">
      <c r="A6" s="110"/>
      <c r="B6" s="110"/>
      <c r="C6" s="87"/>
      <c r="D6" s="87"/>
      <c r="E6" s="87" t="s">
        <v>150</v>
      </c>
      <c r="F6" s="87" t="s">
        <v>149</v>
      </c>
      <c r="G6" s="87" t="s">
        <v>148</v>
      </c>
      <c r="H6" s="104"/>
      <c r="I6" s="104" t="s">
        <v>147</v>
      </c>
      <c r="J6" s="104" t="s">
        <v>146</v>
      </c>
      <c r="K6" s="104"/>
      <c r="L6" s="104" t="s">
        <v>203</v>
      </c>
      <c r="M6" s="105" t="s">
        <v>145</v>
      </c>
    </row>
    <row r="7" spans="1:13" s="103" customFormat="1" ht="16.5" thickBot="1">
      <c r="A7" s="111"/>
      <c r="B7" s="111" t="s">
        <v>626</v>
      </c>
      <c r="C7" s="106" t="s">
        <v>144</v>
      </c>
      <c r="D7" s="106" t="s">
        <v>143</v>
      </c>
      <c r="E7" s="106" t="s">
        <v>142</v>
      </c>
      <c r="F7" s="106" t="s">
        <v>141</v>
      </c>
      <c r="G7" s="106" t="s">
        <v>140</v>
      </c>
      <c r="H7" s="106" t="s">
        <v>139</v>
      </c>
      <c r="I7" s="106" t="s">
        <v>138</v>
      </c>
      <c r="J7" s="106" t="s">
        <v>137</v>
      </c>
      <c r="K7" s="107" t="s">
        <v>136</v>
      </c>
      <c r="L7" s="107" t="s">
        <v>135</v>
      </c>
      <c r="M7" s="108" t="s">
        <v>134</v>
      </c>
    </row>
    <row r="8" spans="1:13" ht="17.25" thickTop="1" thickBot="1">
      <c r="A8" s="112" t="s">
        <v>621</v>
      </c>
      <c r="B8" s="4" t="str">
        <f>INPUTS!E115</f>
        <v xml:space="preserve">None </v>
      </c>
      <c r="C8" s="3">
        <f>INPUTS!E113</f>
        <v>0</v>
      </c>
      <c r="D8" s="3">
        <f>INPUTS!E114</f>
        <v>0</v>
      </c>
      <c r="E8" s="83">
        <f>'GHG Parameters'!C$314</f>
        <v>1.3</v>
      </c>
      <c r="F8" s="83">
        <f>VLOOKUP(B8,A$53:B$60,2,FALSE)</f>
        <v>0</v>
      </c>
      <c r="G8" s="83">
        <f>IFERROR(VLOOKUP(INPUTS!E116,'GHG Rice'!A65:B68,2,FALSE), "")</f>
        <v>1</v>
      </c>
      <c r="H8" s="3">
        <f>INPUTS!E118</f>
        <v>0</v>
      </c>
      <c r="I8" s="83">
        <f>IFERROR(VLOOKUP(INPUTS!E117,'GHG Rice'!A$42:B$47, 2, FALSE), 0)</f>
        <v>0.05</v>
      </c>
      <c r="J8" s="132">
        <f>IFERROR((1+H8*I8)^0.59, 0)</f>
        <v>1</v>
      </c>
      <c r="K8" s="3">
        <v>1</v>
      </c>
      <c r="L8" s="132">
        <f>E8*F8*G8*J8*K8</f>
        <v>0</v>
      </c>
      <c r="M8" s="133">
        <f>IF(ISERROR(C8*D8*L8),"",C8*D8*L8)</f>
        <v>0</v>
      </c>
    </row>
    <row r="9" spans="1:13" ht="17.25" thickTop="1" thickBot="1">
      <c r="A9" s="112" t="s">
        <v>622</v>
      </c>
      <c r="B9" s="4" t="str">
        <f>INPUTS!F115</f>
        <v xml:space="preserve">None </v>
      </c>
      <c r="C9" s="3">
        <f>INPUTS!F113</f>
        <v>0</v>
      </c>
      <c r="D9" s="3">
        <f>INPUTS!F114</f>
        <v>0</v>
      </c>
      <c r="E9" s="83">
        <f>'GHG Parameters'!C$314</f>
        <v>1.3</v>
      </c>
      <c r="F9" s="83">
        <f>VLOOKUP(B9,A$53:B$60,2,FALSE)</f>
        <v>0</v>
      </c>
      <c r="G9" s="83">
        <f>IFERROR(VLOOKUP(INPUTS!F116,'GHG Rice'!A65:B68,2,FALSE), 0)</f>
        <v>0</v>
      </c>
      <c r="H9" s="13">
        <f>INPUTS!F118</f>
        <v>0</v>
      </c>
      <c r="I9" s="83">
        <f>IFERROR(VLOOKUP(INPUTS!F117,'GHG Rice'!A$42:B$47, 2, FALSE), 0)</f>
        <v>0</v>
      </c>
      <c r="J9" s="132">
        <f>IFERROR((1+H9*I9)^0.59, 0)</f>
        <v>1</v>
      </c>
      <c r="K9" s="13">
        <v>1</v>
      </c>
      <c r="L9" s="132">
        <f>E9*F9*G9*J9*K9</f>
        <v>0</v>
      </c>
      <c r="M9" s="133">
        <f>IF(ISERROR(C9*D9*L9),"",C9*D9*L9)</f>
        <v>0</v>
      </c>
    </row>
    <row r="10" spans="1:13" ht="17.25" thickTop="1" thickBot="1">
      <c r="A10" s="112" t="s">
        <v>623</v>
      </c>
      <c r="B10" s="4" t="str">
        <f>INPUTS!G115</f>
        <v xml:space="preserve">None </v>
      </c>
      <c r="C10" s="3">
        <f>INPUTS!G113</f>
        <v>0</v>
      </c>
      <c r="D10" s="3">
        <f>INPUTS!G114</f>
        <v>0</v>
      </c>
      <c r="E10" s="83">
        <f>'GHG Parameters'!C$314</f>
        <v>1.3</v>
      </c>
      <c r="F10" s="83">
        <f>VLOOKUP(B10,A$53:B$60,2,FALSE)</f>
        <v>0</v>
      </c>
      <c r="G10" s="83">
        <f>IFERROR(VLOOKUP(INPUTS!G116,'GHG Rice'!A65:B68,2,FALSE), 0)</f>
        <v>0</v>
      </c>
      <c r="H10" s="13">
        <f>INPUTS!G118</f>
        <v>0</v>
      </c>
      <c r="I10" s="83">
        <f>IFERROR(VLOOKUP(INPUTS!G117,'GHG Rice'!A$42:B$47, 2, FALSE), 0)</f>
        <v>0</v>
      </c>
      <c r="J10" s="132">
        <f>IFERROR((1+H10*I10)^0.59, 0)</f>
        <v>1</v>
      </c>
      <c r="K10" s="13">
        <v>1</v>
      </c>
      <c r="L10" s="132">
        <f>E10*F10*G10*J10*K10</f>
        <v>0</v>
      </c>
      <c r="M10" s="133">
        <f>IF(ISERROR(C10*D10*L10),"",C10*D10*L10)</f>
        <v>0</v>
      </c>
    </row>
    <row r="11" spans="1:13" ht="15.75" customHeight="1" thickTop="1" thickBot="1">
      <c r="A11" s="112" t="s">
        <v>624</v>
      </c>
      <c r="B11" s="4" t="str">
        <f>INPUTS!H115</f>
        <v xml:space="preserve">None </v>
      </c>
      <c r="C11" s="3">
        <f>INPUTS!H113</f>
        <v>0</v>
      </c>
      <c r="D11" s="3">
        <f>INPUTS!H114</f>
        <v>0</v>
      </c>
      <c r="E11" s="83">
        <f>'GHG Parameters'!C$314</f>
        <v>1.3</v>
      </c>
      <c r="F11" s="83">
        <f>VLOOKUP(B11,A$53:B$60,2,FALSE)</f>
        <v>0</v>
      </c>
      <c r="G11" s="83">
        <f>IFERROR(VLOOKUP(INPUTS!H116,'GHG Rice'!A65:B68,2,FALSE), 0)</f>
        <v>0</v>
      </c>
      <c r="H11" s="13">
        <f>INPUTS!H118</f>
        <v>0</v>
      </c>
      <c r="I11" s="83">
        <f>IFERROR(VLOOKUP(INPUTS!H117,'GHG Rice'!A$42:B$47, 2, FALSE), 0)</f>
        <v>0</v>
      </c>
      <c r="J11" s="132">
        <f>IFERROR((1+H11*I11)^0.59, 0)</f>
        <v>1</v>
      </c>
      <c r="K11" s="13">
        <v>1</v>
      </c>
      <c r="L11" s="132">
        <f>E11*F11*G11*J11*K11</f>
        <v>0</v>
      </c>
      <c r="M11" s="133">
        <f>IF(ISERROR(C11*D11*L11),"",C11*D11*L11)</f>
        <v>0</v>
      </c>
    </row>
    <row r="12" spans="1:13" ht="16.5" thickTop="1">
      <c r="A12" s="112" t="s">
        <v>625</v>
      </c>
      <c r="B12" s="4" t="str">
        <f>INPUTS!I115</f>
        <v xml:space="preserve">None </v>
      </c>
      <c r="C12" s="3">
        <f>INPUTS!I113</f>
        <v>0</v>
      </c>
      <c r="D12" s="3">
        <f>INPUTS!I114</f>
        <v>0</v>
      </c>
      <c r="E12" s="83">
        <f>'GHG Parameters'!C$314</f>
        <v>1.3</v>
      </c>
      <c r="F12" s="83">
        <f>VLOOKUP(B12,A$53:B$60,2,FALSE)</f>
        <v>0</v>
      </c>
      <c r="G12" s="83">
        <f>IFERROR(VLOOKUP(INPUTS!I116,'GHG Rice'!A65:B68,2,FALSE), 0)</f>
        <v>0</v>
      </c>
      <c r="H12" s="13">
        <f>INPUTS!I118</f>
        <v>0</v>
      </c>
      <c r="I12" s="83">
        <f>IFERROR(VLOOKUP(INPUTS!I117,'GHG Rice'!A$42:B$47, 2, FALSE), 0)</f>
        <v>0</v>
      </c>
      <c r="J12" s="132">
        <f>IFERROR((1+H12*I12)^0.59, 0)</f>
        <v>1</v>
      </c>
      <c r="K12" s="13">
        <v>1</v>
      </c>
      <c r="L12" s="132">
        <f>E12*F12*G12*J12*K12</f>
        <v>0</v>
      </c>
      <c r="M12" s="133">
        <f>IF(ISERROR(C12*D12*L12),"",C12*D12*L12)</f>
        <v>0</v>
      </c>
    </row>
    <row r="13" spans="1:13">
      <c r="A13" s="1656" t="s">
        <v>132</v>
      </c>
      <c r="B13" s="1657"/>
      <c r="C13" s="1657"/>
      <c r="D13" s="1657"/>
      <c r="E13" s="1657"/>
      <c r="F13" s="1657"/>
      <c r="G13" s="1657"/>
      <c r="H13" s="1657"/>
      <c r="I13" s="1657"/>
      <c r="J13" s="1657"/>
      <c r="K13" s="1657"/>
      <c r="L13" s="1658"/>
      <c r="M13" s="134">
        <f>SUM(M8:M12)</f>
        <v>0</v>
      </c>
    </row>
    <row r="17" spans="1:4" ht="57" customHeight="1">
      <c r="A17" t="s">
        <v>149</v>
      </c>
      <c r="B17" t="s">
        <v>185</v>
      </c>
    </row>
    <row r="18" spans="1:4">
      <c r="C18" s="13" t="s">
        <v>183</v>
      </c>
      <c r="D18" s="13" t="s">
        <v>184</v>
      </c>
    </row>
    <row r="19" spans="1:4">
      <c r="C19" s="13" t="s">
        <v>182</v>
      </c>
      <c r="D19" s="13" t="s">
        <v>182</v>
      </c>
    </row>
    <row r="20" spans="1:4">
      <c r="A20" s="1526" t="s">
        <v>174</v>
      </c>
      <c r="B20" s="16" t="s">
        <v>692</v>
      </c>
      <c r="C20" s="122">
        <v>0.78</v>
      </c>
      <c r="D20" s="13">
        <v>1</v>
      </c>
    </row>
    <row r="21" spans="1:4">
      <c r="A21" s="1526"/>
      <c r="B21" s="16" t="s">
        <v>177</v>
      </c>
      <c r="C21" s="123"/>
      <c r="D21" s="13">
        <v>0.6</v>
      </c>
    </row>
    <row r="22" spans="1:4">
      <c r="A22" s="1526"/>
      <c r="B22" s="16" t="s">
        <v>178</v>
      </c>
      <c r="C22" s="3"/>
      <c r="D22" s="13">
        <v>0.52</v>
      </c>
    </row>
    <row r="23" spans="1:4">
      <c r="A23" s="1527" t="s">
        <v>175</v>
      </c>
      <c r="B23" s="16" t="s">
        <v>693</v>
      </c>
      <c r="C23" s="122">
        <v>0.27</v>
      </c>
      <c r="D23" s="13">
        <v>0.28000000000000003</v>
      </c>
    </row>
    <row r="24" spans="1:4">
      <c r="A24" s="1527"/>
      <c r="B24" s="16" t="s">
        <v>694</v>
      </c>
      <c r="C24" s="123"/>
      <c r="D24" s="13">
        <v>0.25</v>
      </c>
    </row>
    <row r="25" spans="1:4">
      <c r="A25" s="1527"/>
      <c r="B25" s="16" t="s">
        <v>695</v>
      </c>
      <c r="C25" s="3"/>
      <c r="D25" s="13">
        <v>0.31</v>
      </c>
    </row>
    <row r="26" spans="1:4">
      <c r="A26" s="16" t="s">
        <v>133</v>
      </c>
      <c r="B26" s="16" t="s">
        <v>133</v>
      </c>
      <c r="C26" s="13">
        <v>0</v>
      </c>
      <c r="D26" s="13">
        <v>0</v>
      </c>
    </row>
    <row r="29" spans="1:4">
      <c r="A29" t="s">
        <v>192</v>
      </c>
    </row>
    <row r="30" spans="1:4">
      <c r="A30" t="s">
        <v>193</v>
      </c>
      <c r="C30" s="13" t="s">
        <v>183</v>
      </c>
      <c r="D30" s="13" t="s">
        <v>184</v>
      </c>
    </row>
    <row r="31" spans="1:4">
      <c r="B31" s="17" t="s">
        <v>187</v>
      </c>
      <c r="C31" s="13" t="s">
        <v>186</v>
      </c>
      <c r="D31" s="13" t="s">
        <v>186</v>
      </c>
    </row>
    <row r="32" spans="1:4" ht="31.5">
      <c r="B32" s="17" t="s">
        <v>190</v>
      </c>
      <c r="C32" s="13">
        <v>1.22</v>
      </c>
      <c r="D32" s="13">
        <v>1</v>
      </c>
    </row>
    <row r="33" spans="1:4" ht="47.25">
      <c r="B33" s="17" t="s">
        <v>191</v>
      </c>
      <c r="C33" s="13"/>
      <c r="D33" s="13">
        <v>0.68</v>
      </c>
    </row>
    <row r="34" spans="1:4">
      <c r="B34" s="135" t="s">
        <v>697</v>
      </c>
      <c r="C34" s="3"/>
      <c r="D34" s="3">
        <v>1.9</v>
      </c>
    </row>
    <row r="35" spans="1:4">
      <c r="B35" s="17" t="s">
        <v>696</v>
      </c>
      <c r="C35" s="13"/>
      <c r="D35" s="13">
        <v>0</v>
      </c>
    </row>
    <row r="36" spans="1:4">
      <c r="B36" t="s">
        <v>189</v>
      </c>
    </row>
    <row r="38" spans="1:4">
      <c r="A38" s="126" t="s">
        <v>194</v>
      </c>
      <c r="B38" s="126"/>
    </row>
    <row r="39" spans="1:4">
      <c r="A39" s="126" t="s">
        <v>195</v>
      </c>
      <c r="B39" s="126"/>
    </row>
    <row r="40" spans="1:4">
      <c r="A40" s="126"/>
      <c r="B40" s="126"/>
    </row>
    <row r="41" spans="1:4">
      <c r="A41" s="130" t="s">
        <v>202</v>
      </c>
      <c r="B41" s="136" t="s">
        <v>196</v>
      </c>
    </row>
    <row r="42" spans="1:4" ht="31.5">
      <c r="A42" s="129" t="s">
        <v>197</v>
      </c>
      <c r="B42" s="130">
        <v>1</v>
      </c>
    </row>
    <row r="43" spans="1:4" ht="31.5">
      <c r="A43" s="129" t="s">
        <v>198</v>
      </c>
      <c r="B43" s="130">
        <v>0.28999999999999998</v>
      </c>
    </row>
    <row r="44" spans="1:4">
      <c r="A44" s="129" t="s">
        <v>199</v>
      </c>
      <c r="B44" s="130">
        <v>0.05</v>
      </c>
    </row>
    <row r="45" spans="1:4">
      <c r="A45" s="129" t="s">
        <v>200</v>
      </c>
      <c r="B45" s="130">
        <v>0.14000000000000001</v>
      </c>
    </row>
    <row r="46" spans="1:4">
      <c r="A46" s="130" t="s">
        <v>201</v>
      </c>
      <c r="B46" s="130">
        <v>0.5</v>
      </c>
    </row>
    <row r="47" spans="1:4">
      <c r="A47" s="129" t="s">
        <v>204</v>
      </c>
      <c r="B47" s="130">
        <v>0</v>
      </c>
    </row>
    <row r="51" spans="1:2">
      <c r="A51" s="126" t="s">
        <v>699</v>
      </c>
      <c r="B51" s="126"/>
    </row>
    <row r="52" spans="1:2">
      <c r="A52" s="126" t="s">
        <v>700</v>
      </c>
      <c r="B52" s="126"/>
    </row>
    <row r="53" spans="1:2">
      <c r="A53" s="126" t="s">
        <v>790</v>
      </c>
      <c r="B53" s="126">
        <v>0</v>
      </c>
    </row>
    <row r="54" spans="1:2">
      <c r="A54" s="127" t="s">
        <v>133</v>
      </c>
      <c r="B54" s="128">
        <v>0</v>
      </c>
    </row>
    <row r="55" spans="1:2">
      <c r="A55" s="127" t="s">
        <v>694</v>
      </c>
      <c r="B55" s="128">
        <v>0.25</v>
      </c>
    </row>
    <row r="56" spans="1:2">
      <c r="A56" s="127" t="s">
        <v>693</v>
      </c>
      <c r="B56" s="128">
        <v>0.28000000000000003</v>
      </c>
    </row>
    <row r="57" spans="1:2">
      <c r="A57" s="127" t="s">
        <v>695</v>
      </c>
      <c r="B57" s="128">
        <v>0.31</v>
      </c>
    </row>
    <row r="58" spans="1:2">
      <c r="A58" s="127" t="s">
        <v>178</v>
      </c>
      <c r="B58" s="128">
        <v>0.52</v>
      </c>
    </row>
    <row r="59" spans="1:2">
      <c r="A59" s="127" t="s">
        <v>698</v>
      </c>
      <c r="B59" s="128">
        <v>0.6</v>
      </c>
    </row>
    <row r="60" spans="1:2">
      <c r="A60" s="127" t="s">
        <v>692</v>
      </c>
      <c r="B60" s="128">
        <v>1</v>
      </c>
    </row>
    <row r="64" spans="1:2">
      <c r="A64" s="129" t="s">
        <v>187</v>
      </c>
      <c r="B64" s="130"/>
    </row>
    <row r="65" spans="1:2" ht="31.5">
      <c r="A65" s="129" t="s">
        <v>190</v>
      </c>
      <c r="B65" s="130">
        <v>1</v>
      </c>
    </row>
    <row r="66" spans="1:2" ht="31.5">
      <c r="A66" s="129" t="s">
        <v>191</v>
      </c>
      <c r="B66" s="130">
        <v>0.68</v>
      </c>
    </row>
    <row r="67" spans="1:2">
      <c r="A67" s="129" t="s">
        <v>697</v>
      </c>
      <c r="B67" s="130">
        <v>1.9</v>
      </c>
    </row>
    <row r="68" spans="1:2">
      <c r="A68" s="129" t="s">
        <v>696</v>
      </c>
      <c r="B68" s="130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S24"/>
  <sheetViews>
    <sheetView workbookViewId="0">
      <selection activeCell="O14" sqref="O14"/>
    </sheetView>
  </sheetViews>
  <sheetFormatPr defaultRowHeight="15.75"/>
  <sheetData>
    <row r="1" spans="1:19" ht="63">
      <c r="A1" s="1237" t="s">
        <v>1745</v>
      </c>
      <c r="B1" s="1237" t="s">
        <v>1746</v>
      </c>
      <c r="C1" s="1237" t="s">
        <v>1747</v>
      </c>
      <c r="D1" s="1237" t="s">
        <v>1748</v>
      </c>
      <c r="E1" s="1242" t="s">
        <v>1749</v>
      </c>
      <c r="F1" s="1237" t="s">
        <v>1750</v>
      </c>
      <c r="G1" s="1237" t="s">
        <v>1751</v>
      </c>
      <c r="H1" s="1237" t="s">
        <v>1752</v>
      </c>
      <c r="I1" s="1237" t="s">
        <v>1753</v>
      </c>
      <c r="J1" s="1237" t="s">
        <v>1754</v>
      </c>
      <c r="K1" s="1237" t="s">
        <v>1755</v>
      </c>
      <c r="L1" s="1237" t="s">
        <v>1756</v>
      </c>
      <c r="M1" s="1237" t="s">
        <v>1757</v>
      </c>
      <c r="N1" s="1237" t="s">
        <v>1758</v>
      </c>
      <c r="O1" s="1238" t="s">
        <v>1759</v>
      </c>
      <c r="P1" s="1238" t="s">
        <v>1760</v>
      </c>
      <c r="Q1" s="1238" t="s">
        <v>1761</v>
      </c>
      <c r="R1" s="1238" t="s">
        <v>1762</v>
      </c>
      <c r="S1" s="1238" t="s">
        <v>1763</v>
      </c>
    </row>
    <row r="2" spans="1:19">
      <c r="A2" s="1237" t="s">
        <v>1764</v>
      </c>
      <c r="B2" s="1240"/>
      <c r="C2" s="1241"/>
      <c r="D2" s="1243">
        <f t="shared" ref="D2:D5" si="0">B2*C2</f>
        <v>0</v>
      </c>
      <c r="E2" s="1241"/>
      <c r="F2" s="1241"/>
      <c r="G2" s="1241"/>
      <c r="H2" s="1238">
        <f>F2+E2*G2</f>
        <v>0</v>
      </c>
      <c r="I2" s="1244">
        <f t="shared" ref="I2:I3" si="1">IFERROR(EXP(-1.996+2.32*LN(F2)),0)</f>
        <v>0</v>
      </c>
      <c r="J2" s="1245">
        <f t="shared" ref="J2:J3" si="2">IFERROR(EXP(-1.996+2.32*LN(H2)),0)</f>
        <v>0</v>
      </c>
      <c r="K2" s="1244">
        <f t="shared" ref="K2:K8" si="3">(J2-I2)*D2/1000</f>
        <v>0</v>
      </c>
      <c r="L2" s="1244">
        <f t="shared" ref="L2:L3" si="4">IFERROR(K2/E2,0)</f>
        <v>0</v>
      </c>
      <c r="M2" s="1246">
        <v>0.48</v>
      </c>
      <c r="N2" s="1244">
        <f t="shared" ref="N2:N8" si="5">L2*M2</f>
        <v>0</v>
      </c>
      <c r="O2" s="1247">
        <f t="shared" ref="O2:O8" si="6">N2*44/12</f>
        <v>0</v>
      </c>
      <c r="P2" s="1247">
        <f t="shared" ref="P2:Q8" si="7">N2*0.25</f>
        <v>0</v>
      </c>
      <c r="Q2" s="1247">
        <f t="shared" si="7"/>
        <v>0</v>
      </c>
      <c r="R2" s="1247">
        <f t="shared" ref="R2:S8" si="8">N2+P2</f>
        <v>0</v>
      </c>
      <c r="S2" s="1247">
        <f t="shared" si="8"/>
        <v>0</v>
      </c>
    </row>
    <row r="3" spans="1:19">
      <c r="A3" s="1237" t="s">
        <v>1765</v>
      </c>
      <c r="B3" s="1240">
        <f>'Land requirements'!F11</f>
        <v>1.693537628064723</v>
      </c>
      <c r="C3" s="1241">
        <v>15</v>
      </c>
      <c r="D3" s="1243">
        <f t="shared" si="0"/>
        <v>25.403064420970843</v>
      </c>
      <c r="E3" s="1241">
        <v>12</v>
      </c>
      <c r="F3" s="1241">
        <v>20</v>
      </c>
      <c r="G3" s="1241">
        <v>2</v>
      </c>
      <c r="H3" s="1238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1244">
        <f t="shared" si="3"/>
        <v>18.829781554619469</v>
      </c>
      <c r="L3" s="45">
        <f t="shared" si="4"/>
        <v>1.5691484628849557</v>
      </c>
      <c r="M3" s="1240">
        <v>0.48</v>
      </c>
      <c r="N3" s="45">
        <f t="shared" si="5"/>
        <v>0.75319126218477872</v>
      </c>
      <c r="O3" s="76">
        <f t="shared" si="6"/>
        <v>2.7617012946775219</v>
      </c>
      <c r="P3" s="76">
        <f t="shared" si="7"/>
        <v>0.18829781554619468</v>
      </c>
      <c r="Q3" s="76">
        <f t="shared" si="7"/>
        <v>0.69042532366938048</v>
      </c>
      <c r="R3" s="76">
        <f t="shared" si="8"/>
        <v>0.94148907773097346</v>
      </c>
      <c r="S3" s="76">
        <f t="shared" si="8"/>
        <v>3.4521266183469024</v>
      </c>
    </row>
    <row r="4" spans="1:19">
      <c r="A4" s="1237" t="s">
        <v>1765</v>
      </c>
      <c r="B4" s="1240"/>
      <c r="C4" s="1241"/>
      <c r="D4" s="1243">
        <f t="shared" si="0"/>
        <v>0</v>
      </c>
      <c r="E4" s="1241"/>
      <c r="F4" s="1241"/>
      <c r="G4" s="1241"/>
      <c r="H4" s="1238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1240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1237" t="s">
        <v>1765</v>
      </c>
      <c r="B5" s="1240"/>
      <c r="C5" s="1241"/>
      <c r="D5" s="1243">
        <f t="shared" si="0"/>
        <v>0</v>
      </c>
      <c r="E5" s="1241"/>
      <c r="F5" s="1241"/>
      <c r="G5" s="1241"/>
      <c r="H5" s="1238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1240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1237"/>
      <c r="B6" s="1240"/>
      <c r="C6" s="1241"/>
      <c r="D6" s="1243">
        <f t="shared" ref="D6:D8" si="13">B6*C6</f>
        <v>0</v>
      </c>
      <c r="E6" s="1241"/>
      <c r="F6" s="1241"/>
      <c r="G6" s="1241"/>
      <c r="H6" s="1238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1240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1237"/>
      <c r="B7" s="1240"/>
      <c r="C7" s="1241"/>
      <c r="D7" s="1243">
        <f t="shared" si="13"/>
        <v>0</v>
      </c>
      <c r="E7" s="1241"/>
      <c r="F7" s="1241"/>
      <c r="G7" s="1241"/>
      <c r="H7" s="1238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1240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1237"/>
      <c r="B8" s="1240"/>
      <c r="C8" s="1241"/>
      <c r="D8" s="1243">
        <f t="shared" si="13"/>
        <v>0</v>
      </c>
      <c r="E8" s="1241"/>
      <c r="F8" s="1241"/>
      <c r="G8" s="1241"/>
      <c r="H8" s="1238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1240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209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4">SUM(J2:J8)</f>
        <v>882.99536433846345</v>
      </c>
      <c r="K9" s="45">
        <f t="shared" si="14"/>
        <v>18.829781554619469</v>
      </c>
      <c r="L9" s="45">
        <f t="shared" si="14"/>
        <v>1.5691484628849557</v>
      </c>
      <c r="M9" s="45"/>
      <c r="N9" s="45">
        <f t="shared" ref="N9:S9" si="15">SUM(N2:N8)</f>
        <v>0.75319126218477872</v>
      </c>
      <c r="O9" s="45">
        <f t="shared" si="15"/>
        <v>2.7617012946775219</v>
      </c>
      <c r="P9" s="45">
        <f t="shared" si="15"/>
        <v>0.18829781554619468</v>
      </c>
      <c r="Q9" s="45">
        <f t="shared" si="15"/>
        <v>0.69042532366938048</v>
      </c>
      <c r="R9" s="45">
        <f t="shared" si="15"/>
        <v>0.94148907773097346</v>
      </c>
      <c r="S9" s="45">
        <f t="shared" si="15"/>
        <v>3.4521266183469024</v>
      </c>
    </row>
    <row r="10" spans="1:19">
      <c r="A10" s="1239"/>
      <c r="B10" s="1239"/>
      <c r="C10" s="1239"/>
      <c r="D10" s="1239"/>
      <c r="E10" s="1239"/>
      <c r="F10" s="1239"/>
      <c r="G10" s="1239"/>
      <c r="H10" s="1239"/>
      <c r="I10" s="1239"/>
      <c r="J10" s="1239"/>
      <c r="K10" s="1239"/>
      <c r="L10" s="1239"/>
      <c r="M10" s="1239"/>
      <c r="N10" s="1239"/>
      <c r="O10" s="1239"/>
      <c r="P10" s="1239"/>
      <c r="Q10" s="1239"/>
      <c r="R10" s="1239"/>
      <c r="S10" s="1239"/>
    </row>
    <row r="11" spans="1:19">
      <c r="A11" s="37" t="s">
        <v>1608</v>
      </c>
      <c r="B11" s="1239"/>
      <c r="C11" s="1239"/>
      <c r="D11" s="1239"/>
      <c r="E11" s="1239"/>
      <c r="F11" s="37" t="s">
        <v>1212</v>
      </c>
      <c r="G11" s="1239"/>
      <c r="H11" s="1239"/>
      <c r="I11" s="1239"/>
      <c r="J11" s="1239"/>
      <c r="K11" s="1239"/>
      <c r="L11" s="1239"/>
      <c r="M11" s="1239"/>
      <c r="N11" s="1239"/>
      <c r="O11" s="1239"/>
      <c r="P11" s="1239"/>
      <c r="Q11" s="1239"/>
      <c r="R11" s="1239"/>
      <c r="S11" s="1239"/>
    </row>
    <row r="12" spans="1:19">
      <c r="A12" s="1239" t="s">
        <v>1766</v>
      </c>
      <c r="B12" s="1239" t="s">
        <v>467</v>
      </c>
      <c r="C12" s="1239" t="s">
        <v>1767</v>
      </c>
      <c r="D12" s="1239" t="s">
        <v>1768</v>
      </c>
      <c r="E12" s="1239" t="s">
        <v>1769</v>
      </c>
      <c r="F12" s="1239" t="s">
        <v>1766</v>
      </c>
      <c r="G12" s="1239" t="s">
        <v>467</v>
      </c>
      <c r="H12" s="1239" t="s">
        <v>1767</v>
      </c>
      <c r="I12" s="1239" t="s">
        <v>1768</v>
      </c>
      <c r="J12" s="1239" t="s">
        <v>1769</v>
      </c>
      <c r="K12" s="1239"/>
      <c r="L12" s="1239"/>
      <c r="M12" s="1239"/>
      <c r="N12" s="1239"/>
      <c r="O12" s="1239"/>
      <c r="P12" s="1239"/>
      <c r="Q12" s="1239"/>
      <c r="R12" s="1239"/>
      <c r="S12" s="1239"/>
    </row>
    <row r="13" spans="1:19">
      <c r="A13" s="1239">
        <v>1</v>
      </c>
      <c r="B13" s="1239">
        <v>1.25</v>
      </c>
      <c r="C13" s="1239">
        <f>0.7*A13</f>
        <v>0.7</v>
      </c>
      <c r="D13" s="1092">
        <f>(3.14*((B13/100)/2)^2)*C13*0.5</f>
        <v>4.2929687500000006E-5</v>
      </c>
      <c r="E13" s="39">
        <f>EXP(-1.996+2.32*LN(B13))</f>
        <v>0.2280234143116556</v>
      </c>
      <c r="F13" s="1239">
        <v>1</v>
      </c>
      <c r="G13" s="1239">
        <v>2</v>
      </c>
      <c r="H13" s="1239">
        <f t="shared" ref="H13:H24" si="16">0.7*F13</f>
        <v>0.7</v>
      </c>
      <c r="I13" s="1092">
        <f>(3.14*((G13/100)/2)^2)*H13*0.5</f>
        <v>1.099E-4</v>
      </c>
      <c r="J13" s="39">
        <f>EXP(-1.996+2.32*LN(G13))</f>
        <v>0.67848117772544447</v>
      </c>
      <c r="K13" s="1239"/>
      <c r="L13" s="1239"/>
      <c r="M13" s="1239"/>
      <c r="N13" s="1239"/>
      <c r="O13" s="1239"/>
      <c r="P13" s="1239"/>
      <c r="Q13" s="1239"/>
      <c r="R13" s="1239"/>
      <c r="S13" s="1239"/>
    </row>
    <row r="14" spans="1:19">
      <c r="A14" s="1239">
        <v>2</v>
      </c>
      <c r="B14" s="1239">
        <f>B13+1.25</f>
        <v>2.5</v>
      </c>
      <c r="C14" s="1239">
        <f t="shared" ref="C14:C24" si="17">0.7*A14</f>
        <v>1.4</v>
      </c>
      <c r="D14" s="1092">
        <f t="shared" ref="D14:D24" si="18">(3.14*((B14/100)/2)^2)*C14*0.5</f>
        <v>3.4343750000000005E-4</v>
      </c>
      <c r="E14" s="39">
        <f t="shared" ref="E14:E24" si="19">EXP(-1.996+2.32*LN(B14))</f>
        <v>1.1385943758003547</v>
      </c>
      <c r="F14" s="1239">
        <v>2</v>
      </c>
      <c r="G14" s="1239">
        <f>G13+2</f>
        <v>4</v>
      </c>
      <c r="H14" s="1239">
        <f t="shared" si="16"/>
        <v>1.4</v>
      </c>
      <c r="I14" s="1092">
        <f t="shared" ref="I14:I24" si="20">(3.14*((G14/100)/2)^2)*H14*0.5</f>
        <v>8.7920000000000001E-4</v>
      </c>
      <c r="J14" s="39">
        <f t="shared" ref="J14:J24" si="21">EXP(-1.996+2.32*LN(G14))</f>
        <v>3.3878751240376643</v>
      </c>
      <c r="K14" s="1239"/>
      <c r="L14" s="1239"/>
      <c r="M14" s="1239"/>
      <c r="N14" s="1239"/>
      <c r="O14" s="1239"/>
      <c r="P14" s="1239"/>
      <c r="Q14" s="1239"/>
      <c r="R14" s="1239"/>
      <c r="S14" s="1239"/>
    </row>
    <row r="15" spans="1:19">
      <c r="A15" s="1239">
        <v>3</v>
      </c>
      <c r="B15" s="1239">
        <f t="shared" ref="B15:B24" si="22">B14+1.25</f>
        <v>3.75</v>
      </c>
      <c r="C15" s="1239">
        <f t="shared" si="17"/>
        <v>2.0999999999999996</v>
      </c>
      <c r="D15" s="1092">
        <f t="shared" si="18"/>
        <v>1.1591015625E-3</v>
      </c>
      <c r="E15" s="39">
        <f t="shared" si="19"/>
        <v>2.9167604012574082</v>
      </c>
      <c r="F15" s="1239">
        <v>3</v>
      </c>
      <c r="G15" s="1239">
        <f t="shared" ref="G15:G24" si="23">G14+2</f>
        <v>6</v>
      </c>
      <c r="H15" s="1239">
        <f t="shared" si="16"/>
        <v>2.0999999999999996</v>
      </c>
      <c r="I15" s="1092">
        <f t="shared" si="20"/>
        <v>2.9672999999999995E-3</v>
      </c>
      <c r="J15" s="39">
        <f t="shared" si="21"/>
        <v>8.6787887031779682</v>
      </c>
      <c r="K15" s="1239"/>
      <c r="L15" s="1239"/>
      <c r="M15" s="1239"/>
      <c r="N15" s="1239"/>
      <c r="O15" s="1239"/>
      <c r="P15" s="1239"/>
      <c r="Q15" s="1239"/>
      <c r="R15" s="1239"/>
      <c r="S15" s="1239"/>
    </row>
    <row r="16" spans="1:19">
      <c r="A16" s="1239">
        <v>4</v>
      </c>
      <c r="B16" s="1239">
        <f t="shared" si="22"/>
        <v>5</v>
      </c>
      <c r="C16" s="1239">
        <f t="shared" si="17"/>
        <v>2.8</v>
      </c>
      <c r="D16" s="1092">
        <f t="shared" si="18"/>
        <v>2.7475000000000004E-3</v>
      </c>
      <c r="E16" s="39">
        <f t="shared" si="19"/>
        <v>5.6853685684765791</v>
      </c>
      <c r="F16" s="1239">
        <v>4</v>
      </c>
      <c r="G16" s="1239">
        <f t="shared" si="23"/>
        <v>8</v>
      </c>
      <c r="H16" s="1239">
        <f t="shared" si="16"/>
        <v>2.8</v>
      </c>
      <c r="I16" s="1092">
        <f t="shared" si="20"/>
        <v>7.0336000000000001E-3</v>
      </c>
      <c r="J16" s="39">
        <f t="shared" si="21"/>
        <v>16.916752052800213</v>
      </c>
      <c r="K16" s="1239"/>
      <c r="L16" s="1239"/>
      <c r="M16" s="1239"/>
      <c r="N16" s="1239"/>
      <c r="O16" s="1239"/>
      <c r="P16" s="1239"/>
      <c r="Q16" s="1239"/>
      <c r="R16" s="1239"/>
      <c r="S16" s="1239"/>
    </row>
    <row r="17" spans="1:19">
      <c r="A17" s="1239">
        <v>5</v>
      </c>
      <c r="B17" s="1239">
        <f t="shared" si="22"/>
        <v>6.25</v>
      </c>
      <c r="C17" s="1239">
        <f t="shared" si="17"/>
        <v>3.5</v>
      </c>
      <c r="D17" s="1092">
        <f t="shared" si="18"/>
        <v>5.3662109375000001E-3</v>
      </c>
      <c r="E17" s="39">
        <f t="shared" si="19"/>
        <v>9.5409112130728211</v>
      </c>
      <c r="F17" s="1239">
        <v>5</v>
      </c>
      <c r="G17" s="1239">
        <f t="shared" si="23"/>
        <v>10</v>
      </c>
      <c r="H17" s="1239">
        <f t="shared" si="16"/>
        <v>3.5</v>
      </c>
      <c r="I17" s="1092">
        <f t="shared" si="20"/>
        <v>1.3737500000000001E-2</v>
      </c>
      <c r="J17" s="39">
        <f t="shared" si="21"/>
        <v>28.388877063177365</v>
      </c>
      <c r="K17" s="1239"/>
      <c r="L17" s="1239"/>
      <c r="M17" s="1239"/>
      <c r="N17" s="1239"/>
      <c r="O17" s="1239"/>
      <c r="P17" s="1239"/>
      <c r="Q17" s="1239"/>
      <c r="R17" s="1239"/>
      <c r="S17" s="1239"/>
    </row>
    <row r="18" spans="1:19">
      <c r="A18" s="1239">
        <v>6</v>
      </c>
      <c r="B18" s="1239">
        <f t="shared" si="22"/>
        <v>7.5</v>
      </c>
      <c r="C18" s="1239">
        <f t="shared" si="17"/>
        <v>4.1999999999999993</v>
      </c>
      <c r="D18" s="1092">
        <f t="shared" si="18"/>
        <v>9.2728124999999998E-3</v>
      </c>
      <c r="E18" s="39">
        <f t="shared" si="19"/>
        <v>14.564324450864577</v>
      </c>
      <c r="F18" s="1239">
        <v>6</v>
      </c>
      <c r="G18" s="1239">
        <f t="shared" si="23"/>
        <v>12</v>
      </c>
      <c r="H18" s="1239">
        <f t="shared" si="16"/>
        <v>4.1999999999999993</v>
      </c>
      <c r="I18" s="1092">
        <f t="shared" si="20"/>
        <v>2.3738399999999996E-2</v>
      </c>
      <c r="J18" s="39">
        <f t="shared" si="21"/>
        <v>43.335988262557045</v>
      </c>
      <c r="K18" s="1239"/>
      <c r="L18" s="1239"/>
      <c r="M18" s="1239"/>
      <c r="N18" s="1239"/>
      <c r="O18" s="1239"/>
      <c r="P18" s="1239"/>
      <c r="Q18" s="1239"/>
      <c r="R18" s="1239"/>
      <c r="S18" s="1239"/>
    </row>
    <row r="19" spans="1:19">
      <c r="A19" s="1239">
        <v>7</v>
      </c>
      <c r="B19" s="1239">
        <f t="shared" si="22"/>
        <v>8.75</v>
      </c>
      <c r="C19" s="1239">
        <f t="shared" si="17"/>
        <v>4.8999999999999995</v>
      </c>
      <c r="D19" s="1092">
        <f t="shared" si="18"/>
        <v>1.4724882812499998E-2</v>
      </c>
      <c r="E19" s="39">
        <f t="shared" si="19"/>
        <v>20.826049539897866</v>
      </c>
      <c r="F19" s="1239">
        <v>7</v>
      </c>
      <c r="G19" s="1239">
        <f t="shared" si="23"/>
        <v>14</v>
      </c>
      <c r="H19" s="1239">
        <f t="shared" si="16"/>
        <v>4.8999999999999995</v>
      </c>
      <c r="I19" s="1092">
        <f t="shared" si="20"/>
        <v>3.7695699999999999E-2</v>
      </c>
      <c r="J19" s="39">
        <f t="shared" si="21"/>
        <v>61.967682844559896</v>
      </c>
      <c r="K19" s="1239"/>
      <c r="L19" s="1239"/>
      <c r="M19" s="1239"/>
      <c r="N19" s="1239"/>
      <c r="O19" s="1239"/>
      <c r="P19" s="1239"/>
      <c r="Q19" s="1239"/>
      <c r="R19" s="1239"/>
      <c r="S19" s="1239"/>
    </row>
    <row r="20" spans="1:19">
      <c r="A20" s="1239">
        <v>8</v>
      </c>
      <c r="B20" s="1239">
        <f t="shared" si="22"/>
        <v>10</v>
      </c>
      <c r="C20" s="1239">
        <f t="shared" si="17"/>
        <v>5.6</v>
      </c>
      <c r="D20" s="1092">
        <f t="shared" si="18"/>
        <v>2.1980000000000003E-2</v>
      </c>
      <c r="E20" s="39">
        <f t="shared" si="19"/>
        <v>28.388877063177365</v>
      </c>
      <c r="F20" s="1239">
        <v>8</v>
      </c>
      <c r="G20" s="1239">
        <f t="shared" si="23"/>
        <v>16</v>
      </c>
      <c r="H20" s="1239">
        <f t="shared" si="16"/>
        <v>5.6</v>
      </c>
      <c r="I20" s="1092">
        <f t="shared" si="20"/>
        <v>5.6268800000000001E-2</v>
      </c>
      <c r="J20" s="39">
        <f t="shared" si="21"/>
        <v>84.470793502818196</v>
      </c>
      <c r="K20" s="1239"/>
      <c r="L20" s="1239"/>
      <c r="M20" s="1239"/>
      <c r="N20" s="1239"/>
      <c r="O20" s="1239"/>
      <c r="P20" s="1239"/>
      <c r="Q20" s="1239"/>
      <c r="R20" s="1239"/>
      <c r="S20" s="1239"/>
    </row>
    <row r="21" spans="1:19">
      <c r="A21" s="1239">
        <v>9</v>
      </c>
      <c r="B21" s="1239">
        <f t="shared" si="22"/>
        <v>11.25</v>
      </c>
      <c r="C21" s="1239">
        <f t="shared" si="17"/>
        <v>6.3</v>
      </c>
      <c r="D21" s="1092">
        <f t="shared" si="18"/>
        <v>3.1295742187500003E-2</v>
      </c>
      <c r="E21" s="39">
        <f t="shared" si="19"/>
        <v>37.309726564814468</v>
      </c>
      <c r="F21" s="1239">
        <v>9</v>
      </c>
      <c r="G21" s="1239">
        <f t="shared" si="23"/>
        <v>18</v>
      </c>
      <c r="H21" s="1239">
        <f t="shared" si="16"/>
        <v>6.3</v>
      </c>
      <c r="I21" s="1092">
        <f t="shared" si="20"/>
        <v>8.0117099999999997E-2</v>
      </c>
      <c r="J21" s="39">
        <f t="shared" si="21"/>
        <v>111.01468371888895</v>
      </c>
      <c r="K21" s="1239"/>
      <c r="L21" s="1239"/>
      <c r="M21" s="1239"/>
      <c r="N21" s="1239"/>
      <c r="O21" s="1239"/>
      <c r="P21" s="1239"/>
      <c r="Q21" s="1239"/>
      <c r="R21" s="1239"/>
      <c r="S21" s="1239"/>
    </row>
    <row r="22" spans="1:19">
      <c r="A22" s="1239">
        <v>10</v>
      </c>
      <c r="B22" s="1239">
        <f t="shared" si="22"/>
        <v>12.5</v>
      </c>
      <c r="C22" s="1239">
        <f t="shared" si="17"/>
        <v>7</v>
      </c>
      <c r="D22" s="1092">
        <f t="shared" si="18"/>
        <v>4.2929687500000001E-2</v>
      </c>
      <c r="E22" s="39">
        <f t="shared" si="19"/>
        <v>47.640843726546947</v>
      </c>
      <c r="F22" s="1239">
        <v>10</v>
      </c>
      <c r="G22" s="1239">
        <f t="shared" si="23"/>
        <v>20</v>
      </c>
      <c r="H22" s="1239">
        <f t="shared" si="16"/>
        <v>7</v>
      </c>
      <c r="I22" s="1092">
        <f t="shared" si="20"/>
        <v>0.10990000000000001</v>
      </c>
      <c r="J22" s="39">
        <f t="shared" si="21"/>
        <v>141.75480994790612</v>
      </c>
      <c r="K22" s="1239"/>
      <c r="L22" s="1239"/>
      <c r="M22" s="1239"/>
      <c r="N22" s="1239"/>
      <c r="O22" s="1239"/>
      <c r="P22" s="1239"/>
      <c r="Q22" s="1239"/>
      <c r="R22" s="1239"/>
      <c r="S22" s="1239"/>
    </row>
    <row r="23" spans="1:19">
      <c r="A23" s="1239">
        <v>11</v>
      </c>
      <c r="B23" s="1239">
        <f t="shared" si="22"/>
        <v>13.75</v>
      </c>
      <c r="C23" s="1239">
        <f t="shared" si="17"/>
        <v>7.6999999999999993</v>
      </c>
      <c r="D23" s="1092">
        <f t="shared" si="18"/>
        <v>5.7139414062500005E-2</v>
      </c>
      <c r="E23" s="39">
        <f t="shared" si="19"/>
        <v>59.43064913144142</v>
      </c>
      <c r="F23" s="1239">
        <v>11</v>
      </c>
      <c r="G23" s="1239">
        <f t="shared" si="23"/>
        <v>22</v>
      </c>
      <c r="H23" s="1239">
        <f t="shared" si="16"/>
        <v>7.6999999999999993</v>
      </c>
      <c r="I23" s="1092">
        <f t="shared" si="20"/>
        <v>0.14627689999999999</v>
      </c>
      <c r="J23" s="39">
        <f t="shared" si="21"/>
        <v>176.8352471057045</v>
      </c>
      <c r="K23" s="1239"/>
      <c r="L23" s="1239"/>
      <c r="M23" s="1239"/>
      <c r="N23" s="1239"/>
      <c r="O23" s="1239"/>
      <c r="P23" s="1239"/>
      <c r="Q23" s="1239"/>
      <c r="R23" s="1239"/>
      <c r="S23" s="1239"/>
    </row>
    <row r="24" spans="1:19">
      <c r="A24" s="1239">
        <v>12</v>
      </c>
      <c r="B24" s="1239">
        <f t="shared" si="22"/>
        <v>15</v>
      </c>
      <c r="C24" s="1239">
        <f t="shared" si="17"/>
        <v>8.3999999999999986</v>
      </c>
      <c r="D24" s="1092">
        <f t="shared" si="18"/>
        <v>7.4182499999999998E-2</v>
      </c>
      <c r="E24" s="39">
        <f t="shared" si="19"/>
        <v>72.724364544515794</v>
      </c>
      <c r="F24" s="1239">
        <v>12</v>
      </c>
      <c r="G24" s="1239">
        <f t="shared" si="23"/>
        <v>24</v>
      </c>
      <c r="H24" s="1239">
        <f t="shared" si="16"/>
        <v>8.3999999999999986</v>
      </c>
      <c r="I24" s="1092">
        <f t="shared" si="20"/>
        <v>0.18990719999999997</v>
      </c>
      <c r="J24" s="39">
        <f t="shared" si="21"/>
        <v>216.39055205996667</v>
      </c>
      <c r="K24" s="1239"/>
      <c r="L24" s="1239"/>
      <c r="M24" s="1239"/>
      <c r="N24" s="1239"/>
      <c r="O24" s="1239"/>
      <c r="P24" s="1239"/>
      <c r="Q24" s="1239"/>
      <c r="R24" s="1239"/>
      <c r="S24" s="123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Productivity</vt:lpstr>
      <vt:lpstr>Economics </vt:lpstr>
      <vt:lpstr>Soil impacts</vt:lpstr>
      <vt:lpstr>Water Impacts</vt:lpstr>
      <vt:lpstr>GHG emissions</vt:lpstr>
      <vt:lpstr>SUMMARY</vt:lpstr>
      <vt:lpstr>Area Parameters</vt:lpstr>
      <vt:lpstr>Livestock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Mwema</cp:lastModifiedBy>
  <cp:lastPrinted>2019-02-05T12:26:46Z</cp:lastPrinted>
  <dcterms:created xsi:type="dcterms:W3CDTF">2014-10-29T15:17:25Z</dcterms:created>
  <dcterms:modified xsi:type="dcterms:W3CDTF">2020-06-06T15:24:26Z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