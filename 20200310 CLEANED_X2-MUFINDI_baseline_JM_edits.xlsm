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wema\Desktop\ALLIANCE BIOVERSITY-CIAT (J)\Baselines\"/>
    </mc:Choice>
  </mc:AlternateContent>
  <bookViews>
    <workbookView xWindow="0" yWindow="0" windowWidth="20490" windowHeight="7620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Economics_Parameters" sheetId="33" r:id="rId11"/>
    <sheet name="SOC parameters" sheetId="40" r:id="rId12"/>
    <sheet name="Soil erosion parameters" sheetId="25" r:id="rId13"/>
    <sheet name="GHG Parameters" sheetId="9" r:id="rId14"/>
    <sheet name="Crop parameters" sheetId="23" r:id="rId15"/>
    <sheet name="Feed parameters" sheetId="36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Burning" sheetId="16" r:id="rId28"/>
    <sheet name="GHG Soil" sheetId="14" r:id="rId29"/>
    <sheet name="GHG Off-farm" sheetId="28" r:id="rId30"/>
    <sheet name="GHG Rice" sheetId="13" state="hidden" r:id="rId31"/>
  </sheets>
  <functionGroups builtInGroupCount="18"/>
  <externalReferences>
    <externalReference r:id="rId32"/>
    <externalReference r:id="rId33"/>
    <externalReference r:id="rId34"/>
    <externalReference r:id="rId35"/>
  </externalReferences>
  <definedNames>
    <definedName name="_xlnm._FilterDatabase" localSheetId="14" hidden="1">'Crop parameters'!$A$2:$Q$35</definedName>
    <definedName name="_xlnm._FilterDatabase" localSheetId="10" hidden="1">Economics_Parameters!$B$2:$E$14</definedName>
    <definedName name="_xlnm._FilterDatabase" localSheetId="16" hidden="1">Feed!$B$5:$U$11</definedName>
    <definedName name="animalha">INPUTS!$C$200</definedName>
    <definedName name="Brach">INPUTS!$C$201</definedName>
    <definedName name="Cowimpr">INPUTS!$C$209</definedName>
    <definedName name="Cowloc">INPUTS!$C$208</definedName>
    <definedName name="crop_parameters" localSheetId="15">'[1]Crop parameters'!$A$3:$Q$27</definedName>
    <definedName name="crop_parameters">'Crop parameters'!$A$3:$Q$21</definedName>
    <definedName name="Cstockch">INPUTS!$C$195</definedName>
    <definedName name="erosion">INPUTS!$C$185</definedName>
    <definedName name="erosion__t_yr">INPUTS!$C$185</definedName>
    <definedName name="Feed" localSheetId="15">'Feed parameters'!$A$2:$I$125</definedName>
    <definedName name="Feed">'Feed parameters'!$A$2:$I$52</definedName>
    <definedName name="feedlist" localSheetId="15">'Feed parameters'!$A$3:$A$125</definedName>
    <definedName name="feedlist">'Feed parameters'!$A$3:$A$52</definedName>
    <definedName name="feedparameters_tbl" localSheetId="15">'Feed parameters'!$A$2:$I$125</definedName>
    <definedName name="feedparameters_tbl">'Feed parameters'!$A$2:$I$52</definedName>
    <definedName name="GHGha">INPUTS!$C$194</definedName>
    <definedName name="GHGmeat">INPUTS!$C$192</definedName>
    <definedName name="GHGmilk">INPUTS!$C$191</definedName>
    <definedName name="GHGprotein">INPUTS!$C$193</definedName>
    <definedName name="GHGtot">INPUTS!$C$190</definedName>
    <definedName name="Glir">INPUTS!$C$207</definedName>
    <definedName name="Hyp">INPUTS!$C$202</definedName>
    <definedName name="Land_cover_erosion" localSheetId="15">'[1]Soil erosion parameters'!$B$23:$B$36</definedName>
    <definedName name="Land_cover_erosion">'Soil erosion parameters'!$B$23:$B$36</definedName>
    <definedName name="land_req">INPUTS!$C$186</definedName>
    <definedName name="Landarea">[2]Input!$D$30</definedName>
    <definedName name="Landuse_System_RUSLE">'Soil erosion parameters'!$B$39:$B$41</definedName>
    <definedName name="Maize">INPUTS!$C$203</definedName>
    <definedName name="meat">INPUTS!$C$188</definedName>
    <definedName name="milk">INPUTS!$C$187</definedName>
    <definedName name="milkha">INPUTS!#REF!</definedName>
    <definedName name="MMS">'Crop parameters'!$A$45:$A$47</definedName>
    <definedName name="molasses">INPUTS!$C$206</definedName>
    <definedName name="Nbal">INPUTS!$C$182</definedName>
    <definedName name="Nbalha">INPUTS!$C$182</definedName>
    <definedName name="Nbaltot">INPUTS!$C$181</definedName>
    <definedName name="OrganicAmendment">'GHG Rice'!$A$42:$A$47</definedName>
    <definedName name="Penn">INPUTS!$C$204</definedName>
    <definedName name="_xlnm.Print_Area" localSheetId="13">'GHG Parameters'!#REF!</definedName>
    <definedName name="protein">INPUTS!$C$189</definedName>
    <definedName name="RiceEcosystem">'GHG Rice'!$A$53:$A$60</definedName>
    <definedName name="Slope" localSheetId="15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5">'[1]Soil erosion parameters'!$C$44:$H$44</definedName>
    <definedName name="Slope_length">'Soil erosion parameters'!$C$44:$H$44</definedName>
    <definedName name="Soil_class" localSheetId="15">'[1]Soil erosion parameters'!$B$13:$B$20</definedName>
    <definedName name="Soil_class">'Soil erosion parameters'!$B$13:$B$20</definedName>
    <definedName name="soil_leaching">INPUTS!$C$184</definedName>
    <definedName name="soil_mining">INPUTS!$C$183</definedName>
    <definedName name="soilleach">INPUTS!$B$184</definedName>
    <definedName name="soilmining">INPUTS!$B$183</definedName>
    <definedName name="Sorghum">INPUTS!$C$205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INPUTS!$C$199</definedName>
    <definedName name="watermeat">INPUTS!$C$197</definedName>
    <definedName name="watermilk">INPUTS!$C$196</definedName>
    <definedName name="waterprotein">INPUTS!$C$198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39" l="1"/>
  <c r="D78" i="1" l="1"/>
  <c r="D77" i="1"/>
  <c r="D76" i="1"/>
  <c r="D75" i="1"/>
  <c r="E6" i="39" s="1"/>
  <c r="D74" i="1"/>
  <c r="D73" i="1"/>
  <c r="D72" i="1"/>
  <c r="D78" i="38"/>
  <c r="O15" i="17"/>
  <c r="BN12" i="32"/>
  <c r="O11" i="17"/>
  <c r="N10" i="17"/>
  <c r="N9" i="17"/>
  <c r="G6" i="39"/>
  <c r="F6" i="39"/>
  <c r="D6" i="39"/>
  <c r="C6" i="39"/>
  <c r="O12" i="17"/>
  <c r="N11" i="17"/>
  <c r="BN6" i="32"/>
  <c r="BZ14" i="32"/>
  <c r="BZ12" i="32"/>
  <c r="BZ11" i="32"/>
  <c r="BZ10" i="32"/>
  <c r="BZ8" i="32"/>
  <c r="BZ7" i="32"/>
  <c r="BZ6" i="32"/>
  <c r="BX13" i="32"/>
  <c r="BX12" i="32"/>
  <c r="BX11" i="32"/>
  <c r="BX9" i="32"/>
  <c r="BX8" i="32"/>
  <c r="BX7" i="32"/>
  <c r="BN14" i="32"/>
  <c r="BL14" i="32"/>
  <c r="BL13" i="32"/>
  <c r="BN11" i="32"/>
  <c r="BN10" i="32"/>
  <c r="BL10" i="32"/>
  <c r="BL9" i="32"/>
  <c r="BN7" i="32"/>
  <c r="T10" i="30"/>
  <c r="S10" i="30"/>
  <c r="R10" i="30"/>
  <c r="Q10" i="30"/>
  <c r="P10" i="30"/>
  <c r="N10" i="30"/>
  <c r="T9" i="30"/>
  <c r="S9" i="30"/>
  <c r="R9" i="30"/>
  <c r="Q9" i="30"/>
  <c r="P9" i="30"/>
  <c r="N9" i="30"/>
  <c r="T8" i="30"/>
  <c r="S8" i="30"/>
  <c r="R8" i="30"/>
  <c r="Q8" i="30"/>
  <c r="P8" i="30"/>
  <c r="N8" i="30"/>
  <c r="O10" i="30"/>
  <c r="O9" i="30"/>
  <c r="O8" i="30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C95" i="3"/>
  <c r="C94" i="3"/>
  <c r="C93" i="3"/>
  <c r="C92" i="3"/>
  <c r="C91" i="3"/>
  <c r="C90" i="3"/>
  <c r="C89" i="3"/>
  <c r="C88" i="3"/>
  <c r="C87" i="3"/>
  <c r="H13" i="10"/>
  <c r="AP14" i="32"/>
  <c r="AD14" i="32"/>
  <c r="AB14" i="32"/>
  <c r="D14" i="32"/>
  <c r="AP13" i="32"/>
  <c r="AD13" i="32"/>
  <c r="AB13" i="32"/>
  <c r="D13" i="32"/>
  <c r="AP12" i="32"/>
  <c r="AD12" i="32"/>
  <c r="AB12" i="32"/>
  <c r="D12" i="32"/>
  <c r="AP11" i="32"/>
  <c r="AD11" i="32"/>
  <c r="AB11" i="32"/>
  <c r="D11" i="32"/>
  <c r="AP10" i="32"/>
  <c r="AD10" i="32"/>
  <c r="AB10" i="32"/>
  <c r="D10" i="32"/>
  <c r="AP9" i="32"/>
  <c r="AD9" i="32"/>
  <c r="AB9" i="32"/>
  <c r="D9" i="32"/>
  <c r="AP8" i="32"/>
  <c r="AD8" i="32"/>
  <c r="AB8" i="32"/>
  <c r="D8" i="32"/>
  <c r="AP7" i="32"/>
  <c r="AD7" i="32"/>
  <c r="AB7" i="32"/>
  <c r="D7" i="32"/>
  <c r="AP6" i="32"/>
  <c r="AD6" i="32"/>
  <c r="AB6" i="32"/>
  <c r="D6" i="32"/>
  <c r="K67" i="30"/>
  <c r="J67" i="30"/>
  <c r="I67" i="30"/>
  <c r="H67" i="30"/>
  <c r="G67" i="30"/>
  <c r="F67" i="30"/>
  <c r="E67" i="30"/>
  <c r="K66" i="30"/>
  <c r="J66" i="30"/>
  <c r="I66" i="30"/>
  <c r="H66" i="30"/>
  <c r="G66" i="30"/>
  <c r="F66" i="30"/>
  <c r="E66" i="30"/>
  <c r="K65" i="30"/>
  <c r="J65" i="30"/>
  <c r="I65" i="30"/>
  <c r="H65" i="30"/>
  <c r="G65" i="30"/>
  <c r="F65" i="30"/>
  <c r="E65" i="30"/>
  <c r="K64" i="30"/>
  <c r="J64" i="30"/>
  <c r="I64" i="30"/>
  <c r="H64" i="30"/>
  <c r="G64" i="30"/>
  <c r="F64" i="30"/>
  <c r="E64" i="30"/>
  <c r="K60" i="30"/>
  <c r="J60" i="30"/>
  <c r="I60" i="30"/>
  <c r="H60" i="30"/>
  <c r="G60" i="30"/>
  <c r="F60" i="30"/>
  <c r="E60" i="30"/>
  <c r="K59" i="30"/>
  <c r="J59" i="30"/>
  <c r="I59" i="30"/>
  <c r="H59" i="30"/>
  <c r="G59" i="30"/>
  <c r="F59" i="30"/>
  <c r="E59" i="30"/>
  <c r="K58" i="30"/>
  <c r="J58" i="30"/>
  <c r="I58" i="30"/>
  <c r="H58" i="30"/>
  <c r="G58" i="30"/>
  <c r="F58" i="30"/>
  <c r="E58" i="30"/>
  <c r="K57" i="30"/>
  <c r="J57" i="30"/>
  <c r="I57" i="30"/>
  <c r="H57" i="30"/>
  <c r="G57" i="30"/>
  <c r="F57" i="30"/>
  <c r="E57" i="30"/>
  <c r="K53" i="30"/>
  <c r="J53" i="30"/>
  <c r="I53" i="30"/>
  <c r="H53" i="30"/>
  <c r="G53" i="30"/>
  <c r="F53" i="30"/>
  <c r="E53" i="30"/>
  <c r="K52" i="30"/>
  <c r="J52" i="30"/>
  <c r="I52" i="30"/>
  <c r="H52" i="30"/>
  <c r="G52" i="30"/>
  <c r="F52" i="30"/>
  <c r="E52" i="30"/>
  <c r="K51" i="30"/>
  <c r="J51" i="30"/>
  <c r="I51" i="30"/>
  <c r="H51" i="30"/>
  <c r="G51" i="30"/>
  <c r="F51" i="30"/>
  <c r="E51" i="30"/>
  <c r="K50" i="30"/>
  <c r="J50" i="30"/>
  <c r="I50" i="30"/>
  <c r="H50" i="30"/>
  <c r="G50" i="30"/>
  <c r="F50" i="30"/>
  <c r="E50" i="30"/>
  <c r="K46" i="30"/>
  <c r="J46" i="30"/>
  <c r="I46" i="30"/>
  <c r="H46" i="30"/>
  <c r="G46" i="30"/>
  <c r="F46" i="30"/>
  <c r="E46" i="30"/>
  <c r="K45" i="30"/>
  <c r="J45" i="30"/>
  <c r="I45" i="30"/>
  <c r="H45" i="30"/>
  <c r="G45" i="30"/>
  <c r="F45" i="30"/>
  <c r="E45" i="30"/>
  <c r="K44" i="30"/>
  <c r="J44" i="30"/>
  <c r="I44" i="30"/>
  <c r="H44" i="30"/>
  <c r="G44" i="30"/>
  <c r="F44" i="30"/>
  <c r="E44" i="30"/>
  <c r="K43" i="30"/>
  <c r="J43" i="30"/>
  <c r="I43" i="30"/>
  <c r="H43" i="30"/>
  <c r="G43" i="30"/>
  <c r="F43" i="30"/>
  <c r="E43" i="30"/>
  <c r="K39" i="30"/>
  <c r="J39" i="30"/>
  <c r="I39" i="30"/>
  <c r="H39" i="30"/>
  <c r="G39" i="30"/>
  <c r="F39" i="30"/>
  <c r="E39" i="30"/>
  <c r="K38" i="30"/>
  <c r="J38" i="30"/>
  <c r="I38" i="30"/>
  <c r="H38" i="30"/>
  <c r="G38" i="30"/>
  <c r="F38" i="30"/>
  <c r="E38" i="30"/>
  <c r="K37" i="30"/>
  <c r="J37" i="30"/>
  <c r="I37" i="30"/>
  <c r="H37" i="30"/>
  <c r="G37" i="30"/>
  <c r="F37" i="30"/>
  <c r="E37" i="30"/>
  <c r="K36" i="30"/>
  <c r="J36" i="30"/>
  <c r="I36" i="30"/>
  <c r="H36" i="30"/>
  <c r="G36" i="30"/>
  <c r="F36" i="30"/>
  <c r="E36" i="30"/>
  <c r="K32" i="30"/>
  <c r="J32" i="30"/>
  <c r="I32" i="30"/>
  <c r="H32" i="30"/>
  <c r="G32" i="30"/>
  <c r="F32" i="30"/>
  <c r="E32" i="30"/>
  <c r="K31" i="30"/>
  <c r="J31" i="30"/>
  <c r="I31" i="30"/>
  <c r="H31" i="30"/>
  <c r="G31" i="30"/>
  <c r="F31" i="30"/>
  <c r="E31" i="30"/>
  <c r="K30" i="30"/>
  <c r="J30" i="30"/>
  <c r="I30" i="30"/>
  <c r="H30" i="30"/>
  <c r="G30" i="30"/>
  <c r="F30" i="30"/>
  <c r="E30" i="30"/>
  <c r="K29" i="30"/>
  <c r="J29" i="30"/>
  <c r="I29" i="30"/>
  <c r="H29" i="30"/>
  <c r="G29" i="30"/>
  <c r="F29" i="30"/>
  <c r="E29" i="30"/>
  <c r="K25" i="30"/>
  <c r="J25" i="30"/>
  <c r="I25" i="30"/>
  <c r="H25" i="30"/>
  <c r="G25" i="30"/>
  <c r="F25" i="30"/>
  <c r="E25" i="30"/>
  <c r="K24" i="30"/>
  <c r="J24" i="30"/>
  <c r="I24" i="30"/>
  <c r="H24" i="30"/>
  <c r="G24" i="30"/>
  <c r="F24" i="30"/>
  <c r="E24" i="30"/>
  <c r="K23" i="30"/>
  <c r="J23" i="30"/>
  <c r="I23" i="30"/>
  <c r="H23" i="30"/>
  <c r="G23" i="30"/>
  <c r="F23" i="30"/>
  <c r="E23" i="30"/>
  <c r="K22" i="30"/>
  <c r="J22" i="30"/>
  <c r="I22" i="30"/>
  <c r="H22" i="30"/>
  <c r="G22" i="30"/>
  <c r="F22" i="30"/>
  <c r="E22" i="30"/>
  <c r="K18" i="30"/>
  <c r="J18" i="30"/>
  <c r="I18" i="30"/>
  <c r="H18" i="30"/>
  <c r="G18" i="30"/>
  <c r="E18" i="30"/>
  <c r="K17" i="30"/>
  <c r="J17" i="30"/>
  <c r="I17" i="30"/>
  <c r="H17" i="30"/>
  <c r="G17" i="30"/>
  <c r="E17" i="30"/>
  <c r="K16" i="30"/>
  <c r="J16" i="30"/>
  <c r="I16" i="30"/>
  <c r="H16" i="30"/>
  <c r="G16" i="30"/>
  <c r="E16" i="30"/>
  <c r="K15" i="30"/>
  <c r="J15" i="30"/>
  <c r="I15" i="30"/>
  <c r="H15" i="30"/>
  <c r="G15" i="30"/>
  <c r="E15" i="30"/>
  <c r="T11" i="30"/>
  <c r="S11" i="30"/>
  <c r="R11" i="30"/>
  <c r="Q11" i="30"/>
  <c r="P11" i="30"/>
  <c r="O11" i="30"/>
  <c r="N11" i="30"/>
  <c r="K11" i="30"/>
  <c r="J11" i="30"/>
  <c r="I11" i="30"/>
  <c r="H11" i="30"/>
  <c r="G11" i="30"/>
  <c r="E11" i="30"/>
  <c r="K10" i="30"/>
  <c r="J10" i="30"/>
  <c r="I10" i="30"/>
  <c r="H10" i="30"/>
  <c r="G10" i="30"/>
  <c r="E10" i="30"/>
  <c r="K9" i="30"/>
  <c r="J9" i="30"/>
  <c r="I9" i="30"/>
  <c r="H9" i="30"/>
  <c r="G9" i="30"/>
  <c r="E9" i="30"/>
  <c r="K8" i="30"/>
  <c r="J8" i="30"/>
  <c r="I8" i="30"/>
  <c r="H8" i="30"/>
  <c r="G8" i="30"/>
  <c r="F8" i="30"/>
  <c r="E8" i="30"/>
  <c r="AN14" i="32"/>
  <c r="AN10" i="32"/>
  <c r="AN6" i="32"/>
  <c r="F18" i="30"/>
  <c r="F17" i="30"/>
  <c r="F16" i="30"/>
  <c r="F15" i="30"/>
  <c r="F11" i="30"/>
  <c r="F9" i="30"/>
  <c r="F30" i="23"/>
  <c r="H30" i="23" s="1"/>
  <c r="H25" i="23"/>
  <c r="H20" i="23"/>
  <c r="H19" i="23"/>
  <c r="H18" i="23"/>
  <c r="H3" i="23"/>
  <c r="AN11" i="32" l="1"/>
  <c r="AN8" i="32"/>
  <c r="AN12" i="32"/>
  <c r="AN7" i="32"/>
  <c r="AN9" i="32"/>
  <c r="AN13" i="32"/>
  <c r="N12" i="17"/>
  <c r="F6" i="32"/>
  <c r="F8" i="32"/>
  <c r="F10" i="32"/>
  <c r="B6" i="39"/>
  <c r="F7" i="32"/>
  <c r="F9" i="32"/>
  <c r="F11" i="32"/>
  <c r="F12" i="32"/>
  <c r="F13" i="32"/>
  <c r="F14" i="32"/>
  <c r="N13" i="17"/>
  <c r="O9" i="17"/>
  <c r="P6" i="32"/>
  <c r="P7" i="32"/>
  <c r="P8" i="32"/>
  <c r="P9" i="32"/>
  <c r="P10" i="32"/>
  <c r="P11" i="32"/>
  <c r="P12" i="32"/>
  <c r="P13" i="32"/>
  <c r="P14" i="32"/>
  <c r="BL8" i="32"/>
  <c r="BN9" i="32"/>
  <c r="BL12" i="32"/>
  <c r="BN13" i="32"/>
  <c r="BL6" i="32"/>
  <c r="N14" i="17"/>
  <c r="O10" i="17"/>
  <c r="O14" i="17"/>
  <c r="R6" i="32"/>
  <c r="AZ6" i="32"/>
  <c r="R7" i="32"/>
  <c r="AZ7" i="32"/>
  <c r="R8" i="32"/>
  <c r="AZ8" i="32"/>
  <c r="R9" i="32"/>
  <c r="AZ9" i="32"/>
  <c r="R10" i="32"/>
  <c r="AZ10" i="32"/>
  <c r="R11" i="32"/>
  <c r="AZ11" i="32"/>
  <c r="R12" i="32"/>
  <c r="AZ12" i="32"/>
  <c r="R13" i="32"/>
  <c r="AZ13" i="32"/>
  <c r="R14" i="32"/>
  <c r="AZ14" i="32"/>
  <c r="BL7" i="32"/>
  <c r="BN8" i="32"/>
  <c r="BL11" i="32"/>
  <c r="BX6" i="32"/>
  <c r="BX10" i="32"/>
  <c r="BX14" i="32"/>
  <c r="BZ9" i="32"/>
  <c r="BZ13" i="32"/>
  <c r="N15" i="17"/>
  <c r="F10" i="30"/>
  <c r="AC6" i="32" l="1"/>
  <c r="D87" i="1" l="1"/>
  <c r="D88" i="1"/>
  <c r="I20" i="23" l="1"/>
  <c r="D7" i="23"/>
  <c r="D25" i="23"/>
  <c r="D20" i="23"/>
  <c r="D19" i="23"/>
  <c r="D18" i="23"/>
  <c r="D4" i="23"/>
  <c r="J19" i="23"/>
  <c r="D22" i="23" l="1"/>
  <c r="D5" i="23"/>
  <c r="D3" i="23"/>
  <c r="J22" i="23" l="1"/>
  <c r="J18" i="23"/>
  <c r="J7" i="23"/>
  <c r="J5" i="23"/>
  <c r="J4" i="23"/>
  <c r="J3" i="23"/>
  <c r="D6" i="23" l="1"/>
  <c r="D8" i="23"/>
  <c r="K18" i="23"/>
  <c r="G18" i="23" l="1"/>
  <c r="U35" i="23" l="1"/>
  <c r="U31" i="23"/>
  <c r="U32" i="23"/>
  <c r="U33" i="23"/>
  <c r="U34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U3" i="23"/>
  <c r="H6" i="23"/>
  <c r="H8" i="23"/>
  <c r="H9" i="23"/>
  <c r="H10" i="23"/>
  <c r="H11" i="23"/>
  <c r="H12" i="23"/>
  <c r="H13" i="23"/>
  <c r="H16" i="23"/>
  <c r="H17" i="23"/>
  <c r="I19" i="23"/>
  <c r="H21" i="23"/>
  <c r="H24" i="23"/>
  <c r="H26" i="23"/>
  <c r="H27" i="23"/>
  <c r="H28" i="23"/>
  <c r="H29" i="23"/>
  <c r="H31" i="23"/>
  <c r="H32" i="23"/>
  <c r="H33" i="23"/>
  <c r="H34" i="23"/>
  <c r="H35" i="23"/>
  <c r="F24" i="23"/>
  <c r="F26" i="23"/>
  <c r="F27" i="23"/>
  <c r="F28" i="23"/>
  <c r="F29" i="23"/>
  <c r="F31" i="23"/>
  <c r="F32" i="23"/>
  <c r="F33" i="23"/>
  <c r="F34" i="23"/>
  <c r="F35" i="23"/>
  <c r="F22" i="23"/>
  <c r="F23" i="23"/>
  <c r="F18" i="23"/>
  <c r="F19" i="23"/>
  <c r="F20" i="23"/>
  <c r="F21" i="23"/>
  <c r="F17" i="23"/>
  <c r="F16" i="23"/>
  <c r="F14" i="23"/>
  <c r="F15" i="23"/>
  <c r="F12" i="23"/>
  <c r="F13" i="23"/>
  <c r="F11" i="23"/>
  <c r="F10" i="23"/>
  <c r="F9" i="23"/>
  <c r="F7" i="23"/>
  <c r="H7" i="23" s="1"/>
  <c r="F8" i="23"/>
  <c r="F4" i="23"/>
  <c r="F5" i="23"/>
  <c r="F6" i="23"/>
  <c r="F3" i="23"/>
  <c r="BB14" i="32" l="1"/>
  <c r="BB9" i="32"/>
  <c r="BB13" i="32"/>
  <c r="BB7" i="32"/>
  <c r="O13" i="17"/>
  <c r="BB12" i="32"/>
  <c r="BB11" i="32"/>
  <c r="BB8" i="32"/>
  <c r="BB6" i="32"/>
  <c r="BB10" i="32"/>
  <c r="I7" i="23"/>
  <c r="I25" i="23"/>
  <c r="I18" i="23"/>
  <c r="B11" i="35"/>
  <c r="B12" i="35"/>
  <c r="B13" i="35"/>
  <c r="B14" i="35"/>
  <c r="B15" i="35"/>
  <c r="B16" i="35"/>
  <c r="B17" i="35"/>
  <c r="B18" i="35"/>
  <c r="B19" i="35"/>
  <c r="A30" i="23" l="1"/>
  <c r="C142" i="1"/>
  <c r="C33" i="34" l="1"/>
  <c r="C34" i="34"/>
  <c r="C35" i="34"/>
  <c r="B33" i="34"/>
  <c r="B34" i="34"/>
  <c r="B35" i="34"/>
  <c r="B162" i="1"/>
  <c r="D49" i="1" l="1"/>
  <c r="O49" i="1"/>
  <c r="B159" i="1"/>
  <c r="B161" i="1"/>
  <c r="B158" i="1"/>
  <c r="B160" i="1"/>
  <c r="B156" i="1"/>
  <c r="B157" i="1"/>
  <c r="F125" i="36" l="1"/>
  <c r="F124" i="36"/>
  <c r="F123" i="36"/>
  <c r="F122" i="36"/>
  <c r="F121" i="36"/>
  <c r="F120" i="36"/>
  <c r="F119" i="36"/>
  <c r="F118" i="36"/>
  <c r="F117" i="36"/>
  <c r="F116" i="36"/>
  <c r="F115" i="36"/>
  <c r="F114" i="36"/>
  <c r="F113" i="36"/>
  <c r="F112" i="36"/>
  <c r="F111" i="36"/>
  <c r="F110" i="36"/>
  <c r="F109" i="36"/>
  <c r="F108" i="36"/>
  <c r="F107" i="36"/>
  <c r="F106" i="36"/>
  <c r="F105" i="36"/>
  <c r="F104" i="36"/>
  <c r="F103" i="36"/>
  <c r="F102" i="36"/>
  <c r="F101" i="36"/>
  <c r="F100" i="36"/>
  <c r="F99" i="36"/>
  <c r="F98" i="36"/>
  <c r="F97" i="36"/>
  <c r="F96" i="36"/>
  <c r="F95" i="36"/>
  <c r="F94" i="36"/>
  <c r="F93" i="36"/>
  <c r="F92" i="36"/>
  <c r="F91" i="36"/>
  <c r="F90" i="36"/>
  <c r="F89" i="36"/>
  <c r="F88" i="36"/>
  <c r="F87" i="36"/>
  <c r="F86" i="36"/>
  <c r="F85" i="36"/>
  <c r="F84" i="36"/>
  <c r="F83" i="36"/>
  <c r="F82" i="36"/>
  <c r="F81" i="36"/>
  <c r="F80" i="36"/>
  <c r="F79" i="36"/>
  <c r="F78" i="36"/>
  <c r="F77" i="36"/>
  <c r="F76" i="36"/>
  <c r="F75" i="36"/>
  <c r="F74" i="36"/>
  <c r="F71" i="36"/>
  <c r="F70" i="36"/>
  <c r="F69" i="36"/>
  <c r="F68" i="36"/>
  <c r="F67" i="36"/>
  <c r="F66" i="36"/>
  <c r="F65" i="36"/>
  <c r="F64" i="36"/>
  <c r="F63" i="36"/>
  <c r="F62" i="36"/>
  <c r="F61" i="36"/>
  <c r="F60" i="36"/>
  <c r="F59" i="36"/>
  <c r="F58" i="36"/>
  <c r="F57" i="36"/>
  <c r="F56" i="36"/>
  <c r="F55" i="36"/>
  <c r="F54" i="36"/>
  <c r="F53" i="36"/>
  <c r="F52" i="36"/>
  <c r="F51" i="36"/>
  <c r="F50" i="36"/>
  <c r="F49" i="36"/>
  <c r="F48" i="36"/>
  <c r="F47" i="36"/>
  <c r="F46" i="36"/>
  <c r="F45" i="36"/>
  <c r="F44" i="36"/>
  <c r="F43" i="36"/>
  <c r="F42" i="36"/>
  <c r="F41" i="36"/>
  <c r="F39" i="36"/>
  <c r="F38" i="36"/>
  <c r="F37" i="36"/>
  <c r="F36" i="36"/>
  <c r="F35" i="36"/>
  <c r="F33" i="36"/>
  <c r="F32" i="36"/>
  <c r="F31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5" i="36"/>
  <c r="F4" i="36"/>
  <c r="G125" i="36"/>
  <c r="G124" i="36"/>
  <c r="G123" i="36"/>
  <c r="G122" i="36"/>
  <c r="G121" i="36"/>
  <c r="G120" i="36"/>
  <c r="G119" i="36"/>
  <c r="G118" i="36"/>
  <c r="G117" i="36"/>
  <c r="G116" i="36"/>
  <c r="G115" i="36"/>
  <c r="G114" i="36"/>
  <c r="G113" i="36"/>
  <c r="G112" i="36"/>
  <c r="G111" i="36"/>
  <c r="G110" i="36"/>
  <c r="G109" i="36"/>
  <c r="G108" i="36"/>
  <c r="G107" i="36"/>
  <c r="G106" i="36"/>
  <c r="G105" i="36"/>
  <c r="G104" i="36"/>
  <c r="G103" i="36"/>
  <c r="G102" i="36"/>
  <c r="G101" i="36"/>
  <c r="G100" i="36"/>
  <c r="G99" i="36"/>
  <c r="G98" i="36"/>
  <c r="G97" i="36"/>
  <c r="G96" i="36"/>
  <c r="G95" i="36"/>
  <c r="G94" i="36"/>
  <c r="G93" i="36"/>
  <c r="G92" i="36"/>
  <c r="G91" i="36"/>
  <c r="G90" i="36"/>
  <c r="G89" i="36"/>
  <c r="G88" i="36"/>
  <c r="G87" i="36"/>
  <c r="G86" i="36"/>
  <c r="G85" i="36"/>
  <c r="G84" i="36"/>
  <c r="G83" i="36"/>
  <c r="G82" i="36"/>
  <c r="G81" i="36"/>
  <c r="G80" i="36"/>
  <c r="G79" i="36"/>
  <c r="G78" i="36"/>
  <c r="G77" i="36"/>
  <c r="G76" i="36"/>
  <c r="G75" i="36"/>
  <c r="G74" i="36"/>
  <c r="G71" i="36"/>
  <c r="G70" i="36"/>
  <c r="G69" i="36"/>
  <c r="G68" i="36"/>
  <c r="G67" i="36"/>
  <c r="G66" i="36"/>
  <c r="G65" i="36"/>
  <c r="G64" i="36"/>
  <c r="G63" i="36"/>
  <c r="G62" i="36"/>
  <c r="G61" i="36"/>
  <c r="G60" i="36"/>
  <c r="G59" i="36"/>
  <c r="G58" i="36"/>
  <c r="G57" i="36"/>
  <c r="G56" i="36"/>
  <c r="G55" i="36"/>
  <c r="G54" i="36"/>
  <c r="G53" i="36"/>
  <c r="G52" i="36"/>
  <c r="G51" i="36"/>
  <c r="G50" i="36"/>
  <c r="G49" i="36"/>
  <c r="G48" i="36"/>
  <c r="G47" i="36"/>
  <c r="G46" i="36"/>
  <c r="G45" i="36"/>
  <c r="G44" i="36"/>
  <c r="G43" i="36"/>
  <c r="G42" i="36"/>
  <c r="G41" i="36"/>
  <c r="G39" i="36"/>
  <c r="G38" i="36"/>
  <c r="G37" i="36"/>
  <c r="G36" i="36"/>
  <c r="G35" i="36"/>
  <c r="G33" i="36"/>
  <c r="G32" i="36"/>
  <c r="G31" i="36"/>
  <c r="G29" i="36"/>
  <c r="G28" i="36"/>
  <c r="G27" i="36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5" i="36"/>
  <c r="G4" i="36"/>
  <c r="H15" i="10" l="1"/>
  <c r="J14" i="10"/>
  <c r="I14" i="10"/>
  <c r="J13" i="10"/>
  <c r="I13" i="10"/>
  <c r="H14" i="10"/>
  <c r="C12" i="24" l="1"/>
  <c r="C81" i="30" s="1"/>
  <c r="C11" i="24"/>
  <c r="C80" i="30" s="1"/>
  <c r="C10" i="24"/>
  <c r="C79" i="30" s="1"/>
  <c r="C78" i="30"/>
  <c r="C8" i="24"/>
  <c r="C77" i="30" s="1"/>
  <c r="C7" i="24"/>
  <c r="C76" i="30" s="1"/>
  <c r="C6" i="24"/>
  <c r="C75" i="30" s="1"/>
  <c r="C74" i="30"/>
  <c r="C4" i="24"/>
  <c r="C73" i="30" s="1"/>
  <c r="O29" i="23" l="1"/>
  <c r="P29" i="23" s="1"/>
  <c r="I29" i="23"/>
  <c r="D29" i="23"/>
  <c r="C29" i="23"/>
  <c r="P28" i="23"/>
  <c r="G28" i="23"/>
  <c r="D28" i="23"/>
  <c r="I28" i="23" s="1"/>
  <c r="P27" i="23"/>
  <c r="I27" i="23"/>
  <c r="G27" i="23"/>
  <c r="D27" i="23"/>
  <c r="P26" i="23"/>
  <c r="I26" i="23"/>
  <c r="G26" i="23"/>
  <c r="D26" i="23"/>
  <c r="C26" i="23"/>
  <c r="P24" i="23"/>
  <c r="G24" i="23"/>
  <c r="D24" i="23"/>
  <c r="M24" i="23" s="1"/>
  <c r="K23" i="23"/>
  <c r="J23" i="23"/>
  <c r="P21" i="23"/>
  <c r="I21" i="23"/>
  <c r="G21" i="23"/>
  <c r="D21" i="23"/>
  <c r="P20" i="23"/>
  <c r="P19" i="23"/>
  <c r="P18" i="23"/>
  <c r="P17" i="23"/>
  <c r="I17" i="23"/>
  <c r="G17" i="23"/>
  <c r="D17" i="23"/>
  <c r="P16" i="23"/>
  <c r="I16" i="23"/>
  <c r="G16" i="23"/>
  <c r="D16" i="23"/>
  <c r="P13" i="23"/>
  <c r="G13" i="23"/>
  <c r="D13" i="23"/>
  <c r="I13" i="23" s="1"/>
  <c r="P12" i="23"/>
  <c r="I12" i="23"/>
  <c r="G12" i="23"/>
  <c r="D12" i="23"/>
  <c r="I11" i="23"/>
  <c r="G11" i="23"/>
  <c r="D11" i="23"/>
  <c r="P10" i="23"/>
  <c r="I10" i="23"/>
  <c r="G10" i="23"/>
  <c r="D10" i="23"/>
  <c r="K9" i="23"/>
  <c r="J9" i="23"/>
  <c r="D9" i="23"/>
  <c r="C9" i="23"/>
  <c r="P8" i="23"/>
  <c r="I8" i="23"/>
  <c r="G8" i="23"/>
  <c r="P7" i="23"/>
  <c r="K6" i="23"/>
  <c r="J6" i="23"/>
  <c r="I9" i="23" l="1"/>
  <c r="H4" i="23"/>
  <c r="I4" i="23" s="1"/>
  <c r="H14" i="23"/>
  <c r="H22" i="23"/>
  <c r="H5" i="23"/>
  <c r="H23" i="23"/>
  <c r="H15" i="23"/>
  <c r="M27" i="23"/>
  <c r="I6" i="23"/>
  <c r="M16" i="23"/>
  <c r="M17" i="23"/>
  <c r="I24" i="23"/>
  <c r="M11" i="23"/>
  <c r="D23" i="23"/>
  <c r="I23" i="23" s="1"/>
  <c r="M8" i="23"/>
  <c r="M12" i="23"/>
  <c r="D15" i="23"/>
  <c r="I15" i="23" s="1"/>
  <c r="D14" i="23"/>
  <c r="G29" i="23"/>
  <c r="I3" i="23" l="1"/>
  <c r="I14" i="23"/>
  <c r="E77" i="14"/>
  <c r="E73" i="14"/>
  <c r="B80" i="30" l="1"/>
  <c r="B81" i="30"/>
  <c r="J5" i="24" l="1"/>
  <c r="E5" i="24"/>
  <c r="N28" i="3" l="1"/>
  <c r="K28" i="3" s="1"/>
  <c r="N29" i="3"/>
  <c r="K29" i="3" s="1"/>
  <c r="N30" i="3"/>
  <c r="K30" i="3" s="1"/>
  <c r="N31" i="3"/>
  <c r="K31" i="3" s="1"/>
  <c r="N32" i="3"/>
  <c r="K32" i="3" s="1"/>
  <c r="N33" i="3"/>
  <c r="K33" i="3" s="1"/>
  <c r="N34" i="3"/>
  <c r="K34" i="3" s="1"/>
  <c r="N35" i="3"/>
  <c r="K35" i="3" s="1"/>
  <c r="N27" i="3"/>
  <c r="K27" i="3" s="1"/>
  <c r="M28" i="3"/>
  <c r="J28" i="3" s="1"/>
  <c r="M29" i="3"/>
  <c r="J29" i="3" s="1"/>
  <c r="M30" i="3"/>
  <c r="J30" i="3" s="1"/>
  <c r="M31" i="3"/>
  <c r="J31" i="3" s="1"/>
  <c r="M32" i="3"/>
  <c r="J32" i="3" s="1"/>
  <c r="M33" i="3"/>
  <c r="J33" i="3" s="1"/>
  <c r="M34" i="3"/>
  <c r="J34" i="3" s="1"/>
  <c r="M35" i="3"/>
  <c r="J35" i="3" s="1"/>
  <c r="M27" i="3"/>
  <c r="J27" i="3" s="1"/>
  <c r="L28" i="3"/>
  <c r="I28" i="3" s="1"/>
  <c r="L29" i="3"/>
  <c r="I29" i="3" s="1"/>
  <c r="L30" i="3"/>
  <c r="I30" i="3" s="1"/>
  <c r="L31" i="3"/>
  <c r="I31" i="3" s="1"/>
  <c r="L32" i="3"/>
  <c r="I32" i="3" s="1"/>
  <c r="L33" i="3"/>
  <c r="I33" i="3" s="1"/>
  <c r="L34" i="3"/>
  <c r="I34" i="3" s="1"/>
  <c r="L35" i="3"/>
  <c r="I35" i="3" s="1"/>
  <c r="L27" i="3"/>
  <c r="I27" i="3" s="1"/>
  <c r="M26" i="3"/>
  <c r="D74" i="30" l="1"/>
  <c r="D73" i="30"/>
  <c r="D8" i="2" l="1"/>
  <c r="D9" i="2"/>
  <c r="D12" i="2"/>
  <c r="D10" i="2"/>
  <c r="D13" i="2"/>
  <c r="D11" i="2"/>
  <c r="D14" i="2"/>
  <c r="B9" i="2"/>
  <c r="B10" i="2"/>
  <c r="B11" i="2"/>
  <c r="B12" i="2"/>
  <c r="B13" i="2"/>
  <c r="B14" i="2"/>
  <c r="B15" i="2"/>
  <c r="B16" i="2"/>
  <c r="B8" i="2"/>
  <c r="S7" i="27" l="1"/>
  <c r="A3" i="37" l="1"/>
  <c r="E17" i="20"/>
  <c r="L5" i="27"/>
  <c r="M5" i="27" s="1"/>
  <c r="L6" i="27"/>
  <c r="M6" i="27" s="1"/>
  <c r="L7" i="27"/>
  <c r="M7" i="27" s="1"/>
  <c r="L8" i="27"/>
  <c r="M8" i="27" s="1"/>
  <c r="L9" i="27"/>
  <c r="M9" i="27" s="1"/>
  <c r="L10" i="27"/>
  <c r="N10" i="27" s="1"/>
  <c r="L11" i="27"/>
  <c r="N11" i="27" s="1"/>
  <c r="L4" i="27"/>
  <c r="N4" i="27" s="1"/>
  <c r="L3" i="27"/>
  <c r="K3" i="27"/>
  <c r="B3" i="27"/>
  <c r="K4" i="27"/>
  <c r="K5" i="27"/>
  <c r="K6" i="27"/>
  <c r="K7" i="27"/>
  <c r="K8" i="27"/>
  <c r="K9" i="27"/>
  <c r="K10" i="27"/>
  <c r="K11" i="27"/>
  <c r="N7" i="27" l="1"/>
  <c r="M10" i="27"/>
  <c r="N6" i="27"/>
  <c r="N5" i="27"/>
  <c r="N9" i="27"/>
  <c r="N8" i="27"/>
  <c r="M11" i="27"/>
  <c r="M4" i="27"/>
  <c r="N3" i="27"/>
  <c r="M3" i="27"/>
  <c r="L12" i="27"/>
  <c r="B28" i="27" s="1"/>
  <c r="E4" i="27"/>
  <c r="E5" i="27"/>
  <c r="E6" i="27"/>
  <c r="E7" i="27"/>
  <c r="E8" i="27"/>
  <c r="E9" i="27"/>
  <c r="E10" i="27"/>
  <c r="E11" i="27"/>
  <c r="E3" i="27"/>
  <c r="C4" i="27"/>
  <c r="C5" i="27"/>
  <c r="C6" i="27"/>
  <c r="C7" i="27"/>
  <c r="C8" i="27"/>
  <c r="C9" i="27"/>
  <c r="C10" i="27"/>
  <c r="C11" i="27"/>
  <c r="C3" i="27"/>
  <c r="G3" i="27" s="1"/>
  <c r="H3" i="27" s="1"/>
  <c r="B10" i="27"/>
  <c r="B11" i="27"/>
  <c r="C18" i="1"/>
  <c r="N4" i="24"/>
  <c r="N5" i="24"/>
  <c r="N6" i="24"/>
  <c r="N7" i="24"/>
  <c r="N8" i="24"/>
  <c r="N9" i="24"/>
  <c r="N10" i="24"/>
  <c r="N11" i="24"/>
  <c r="B94" i="30" s="1"/>
  <c r="N12" i="24"/>
  <c r="B95" i="30" s="1"/>
  <c r="M6" i="24"/>
  <c r="M7" i="24"/>
  <c r="M8" i="24"/>
  <c r="M9" i="24"/>
  <c r="M10" i="24"/>
  <c r="M11" i="24"/>
  <c r="M12" i="24"/>
  <c r="G11" i="27" l="1"/>
  <c r="H11" i="27" s="1"/>
  <c r="J3" i="27"/>
  <c r="I3" i="27"/>
  <c r="G10" i="27"/>
  <c r="H10" i="27" s="1"/>
  <c r="N12" i="27"/>
  <c r="B31" i="27" s="1"/>
  <c r="D14" i="20" s="1"/>
  <c r="M12" i="27"/>
  <c r="B30" i="27" s="1"/>
  <c r="C14" i="20" s="1"/>
  <c r="D10" i="27"/>
  <c r="D11" i="27"/>
  <c r="E21" i="18"/>
  <c r="E22" i="18"/>
  <c r="E23" i="18"/>
  <c r="E24" i="18"/>
  <c r="E25" i="18"/>
  <c r="E26" i="18"/>
  <c r="E20" i="18"/>
  <c r="F20" i="18"/>
  <c r="F21" i="18"/>
  <c r="F22" i="18"/>
  <c r="F23" i="18"/>
  <c r="A11" i="18"/>
  <c r="A12" i="18"/>
  <c r="A13" i="18"/>
  <c r="A14" i="18"/>
  <c r="I11" i="27" l="1"/>
  <c r="J11" i="27"/>
  <c r="I10" i="27"/>
  <c r="J10" i="27"/>
  <c r="C12" i="34"/>
  <c r="C73" i="1"/>
  <c r="C74" i="1"/>
  <c r="C75" i="1"/>
  <c r="C76" i="1"/>
  <c r="C77" i="1"/>
  <c r="C78" i="1"/>
  <c r="U59" i="1"/>
  <c r="T59" i="1"/>
  <c r="S59" i="1"/>
  <c r="R59" i="1"/>
  <c r="Q59" i="1"/>
  <c r="P59" i="1"/>
  <c r="O59" i="1"/>
  <c r="N59" i="1"/>
  <c r="M59" i="1"/>
  <c r="D59" i="1"/>
  <c r="E59" i="1"/>
  <c r="F59" i="1"/>
  <c r="G59" i="1"/>
  <c r="H59" i="1"/>
  <c r="I59" i="1"/>
  <c r="J59" i="1"/>
  <c r="K59" i="1"/>
  <c r="C59" i="1"/>
  <c r="I32" i="23" l="1"/>
  <c r="D31" i="23"/>
  <c r="D32" i="23"/>
  <c r="D33" i="23"/>
  <c r="D34" i="23"/>
  <c r="D35" i="23"/>
  <c r="S122" i="30"/>
  <c r="J11" i="17" s="1"/>
  <c r="M33" i="23" l="1"/>
  <c r="I33" i="23"/>
  <c r="M35" i="23"/>
  <c r="I35" i="23"/>
  <c r="M31" i="23"/>
  <c r="I31" i="23"/>
  <c r="I34" i="23"/>
  <c r="M34" i="23"/>
  <c r="M32" i="23"/>
  <c r="J10" i="17"/>
  <c r="J13" i="17"/>
  <c r="J9" i="17"/>
  <c r="J12" i="17"/>
  <c r="J14" i="17"/>
  <c r="J15" i="17"/>
  <c r="D106" i="1" l="1"/>
  <c r="D109" i="1"/>
  <c r="D125" i="36" l="1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M5" i="24" l="1"/>
  <c r="M4" i="24"/>
  <c r="C129" i="1"/>
  <c r="C148" i="1"/>
  <c r="C127" i="1"/>
  <c r="C146" i="1"/>
  <c r="C131" i="1"/>
  <c r="C145" i="1"/>
  <c r="C147" i="1"/>
  <c r="C126" i="1"/>
  <c r="C132" i="1"/>
  <c r="C128" i="1"/>
  <c r="C144" i="1"/>
  <c r="C141" i="1"/>
  <c r="C149" i="1"/>
  <c r="C125" i="1"/>
  <c r="C133" i="1"/>
  <c r="C143" i="1"/>
  <c r="C130" i="1"/>
  <c r="C24" i="34" l="1"/>
  <c r="C25" i="34"/>
  <c r="C31" i="34"/>
  <c r="C26" i="34"/>
  <c r="C32" i="34"/>
  <c r="C30" i="34"/>
  <c r="C29" i="34"/>
  <c r="C28" i="34"/>
  <c r="C27" i="34"/>
  <c r="B24" i="34"/>
  <c r="B30" i="34"/>
  <c r="B27" i="34"/>
  <c r="B31" i="34"/>
  <c r="B28" i="34"/>
  <c r="B32" i="34"/>
  <c r="B29" i="34"/>
  <c r="B26" i="34"/>
  <c r="B25" i="34"/>
  <c r="F79" i="30"/>
  <c r="F78" i="30"/>
  <c r="F77" i="30"/>
  <c r="F76" i="30"/>
  <c r="K76" i="30"/>
  <c r="K77" i="30"/>
  <c r="K78" i="30"/>
  <c r="K79" i="30"/>
  <c r="J73" i="30"/>
  <c r="J74" i="30"/>
  <c r="I74" i="30"/>
  <c r="I73" i="30"/>
  <c r="H79" i="30"/>
  <c r="H78" i="30"/>
  <c r="H77" i="30"/>
  <c r="H76" i="30"/>
  <c r="H75" i="30"/>
  <c r="H74" i="30"/>
  <c r="H73" i="30"/>
  <c r="G79" i="30"/>
  <c r="G78" i="30"/>
  <c r="G77" i="30"/>
  <c r="G76" i="30"/>
  <c r="G75" i="30"/>
  <c r="C89" i="30" s="1"/>
  <c r="G74" i="30"/>
  <c r="G73" i="30"/>
  <c r="E74" i="30"/>
  <c r="E73" i="30"/>
  <c r="B79" i="30"/>
  <c r="B93" i="30" s="1"/>
  <c r="B78" i="30"/>
  <c r="B92" i="30" s="1"/>
  <c r="B77" i="30"/>
  <c r="B91" i="30" s="1"/>
  <c r="B76" i="30"/>
  <c r="B90" i="30" s="1"/>
  <c r="B75" i="30"/>
  <c r="B89" i="30" s="1"/>
  <c r="B74" i="30"/>
  <c r="B73" i="30"/>
  <c r="B87" i="30" l="1"/>
  <c r="B88" i="30"/>
  <c r="C87" i="30"/>
  <c r="C88" i="30"/>
  <c r="C92" i="30"/>
  <c r="C93" i="30"/>
  <c r="C91" i="30"/>
  <c r="C90" i="30"/>
  <c r="E61" i="41" l="1"/>
  <c r="C58" i="41"/>
  <c r="C69" i="41" s="1"/>
  <c r="C79" i="41" s="1"/>
  <c r="D50" i="41"/>
  <c r="D61" i="41" s="1"/>
  <c r="C50" i="41"/>
  <c r="D93" i="24" l="1"/>
  <c r="S6" i="32" l="1"/>
  <c r="W6" i="32" l="1"/>
  <c r="V6" i="32"/>
  <c r="D45" i="1"/>
  <c r="E45" i="1"/>
  <c r="B6" i="18" l="1"/>
  <c r="B5" i="18"/>
  <c r="CA14" i="32" l="1"/>
  <c r="BY14" i="32"/>
  <c r="CA13" i="32"/>
  <c r="BY13" i="32"/>
  <c r="CA12" i="32"/>
  <c r="BY12" i="32"/>
  <c r="CA11" i="32"/>
  <c r="BY11" i="32"/>
  <c r="CA10" i="32"/>
  <c r="BY10" i="32"/>
  <c r="CA9" i="32"/>
  <c r="BY9" i="32"/>
  <c r="CA8" i="32"/>
  <c r="BY8" i="32"/>
  <c r="CA7" i="32"/>
  <c r="BY7" i="32"/>
  <c r="CA6" i="32"/>
  <c r="BY6" i="32"/>
  <c r="BO14" i="32"/>
  <c r="BM14" i="32"/>
  <c r="BO13" i="32"/>
  <c r="BM13" i="32"/>
  <c r="BO12" i="32"/>
  <c r="BM12" i="32"/>
  <c r="BO11" i="32"/>
  <c r="BM11" i="32"/>
  <c r="BO10" i="32"/>
  <c r="BM10" i="32"/>
  <c r="BO9" i="32"/>
  <c r="BM9" i="32"/>
  <c r="BO8" i="32"/>
  <c r="BM8" i="32"/>
  <c r="BO7" i="32"/>
  <c r="BM7" i="32"/>
  <c r="BO6" i="32"/>
  <c r="BM6" i="32"/>
  <c r="BC14" i="32"/>
  <c r="BA14" i="32"/>
  <c r="BC13" i="32"/>
  <c r="BA13" i="32"/>
  <c r="BC12" i="32"/>
  <c r="BA12" i="32"/>
  <c r="BC11" i="32"/>
  <c r="BA11" i="32"/>
  <c r="BC10" i="32"/>
  <c r="BA10" i="32"/>
  <c r="BC9" i="32"/>
  <c r="BA9" i="32"/>
  <c r="BC8" i="32"/>
  <c r="BA8" i="32"/>
  <c r="BC7" i="32"/>
  <c r="BA7" i="32"/>
  <c r="BC6" i="32"/>
  <c r="BA6" i="32"/>
  <c r="AQ14" i="32"/>
  <c r="AO14" i="32"/>
  <c r="AQ13" i="32"/>
  <c r="AO13" i="32"/>
  <c r="AQ12" i="32"/>
  <c r="AO12" i="32"/>
  <c r="AQ11" i="32"/>
  <c r="AO11" i="32"/>
  <c r="AQ10" i="32"/>
  <c r="AO10" i="32"/>
  <c r="AQ9" i="32"/>
  <c r="AO9" i="32"/>
  <c r="AQ8" i="32"/>
  <c r="AO8" i="32"/>
  <c r="AQ7" i="32"/>
  <c r="AO7" i="32"/>
  <c r="AQ6" i="32"/>
  <c r="S14" i="32"/>
  <c r="Q14" i="32"/>
  <c r="S13" i="32"/>
  <c r="Q13" i="32"/>
  <c r="S12" i="32"/>
  <c r="Q12" i="32"/>
  <c r="S11" i="32"/>
  <c r="Q11" i="32"/>
  <c r="S10" i="32"/>
  <c r="Q10" i="32"/>
  <c r="S9" i="32"/>
  <c r="Q9" i="32"/>
  <c r="S8" i="32"/>
  <c r="Q8" i="32"/>
  <c r="S7" i="32"/>
  <c r="Q7" i="32"/>
  <c r="AO6" i="32"/>
  <c r="G14" i="32"/>
  <c r="E14" i="32"/>
  <c r="G13" i="32"/>
  <c r="E13" i="32"/>
  <c r="G12" i="32"/>
  <c r="E12" i="32"/>
  <c r="G11" i="32"/>
  <c r="E11" i="32"/>
  <c r="G10" i="32"/>
  <c r="E10" i="32"/>
  <c r="G9" i="32"/>
  <c r="E9" i="32"/>
  <c r="G8" i="32"/>
  <c r="E8" i="32"/>
  <c r="G7" i="32"/>
  <c r="E7" i="32"/>
  <c r="G6" i="32"/>
  <c r="E6" i="32"/>
  <c r="AE14" i="32"/>
  <c r="AC14" i="32"/>
  <c r="AE13" i="32"/>
  <c r="AC13" i="32"/>
  <c r="AE12" i="32"/>
  <c r="AC12" i="32"/>
  <c r="AE11" i="32"/>
  <c r="AC11" i="32"/>
  <c r="AE10" i="32"/>
  <c r="AC10" i="32"/>
  <c r="AE9" i="32"/>
  <c r="AC9" i="32"/>
  <c r="AE8" i="32"/>
  <c r="AC8" i="32"/>
  <c r="AE7" i="32"/>
  <c r="AC7" i="32"/>
  <c r="AE6" i="32"/>
  <c r="BS7" i="32" l="1"/>
  <c r="BR7" i="32"/>
  <c r="BS9" i="32"/>
  <c r="BR9" i="32"/>
  <c r="BS11" i="32"/>
  <c r="BR11" i="32"/>
  <c r="BS13" i="32"/>
  <c r="BR13" i="32"/>
  <c r="CE7" i="32"/>
  <c r="CD7" i="32"/>
  <c r="CE9" i="32"/>
  <c r="CD9" i="32"/>
  <c r="CE11" i="32"/>
  <c r="CD11" i="32"/>
  <c r="CE13" i="32"/>
  <c r="CD13" i="32"/>
  <c r="W7" i="32"/>
  <c r="V7" i="32"/>
  <c r="W9" i="32"/>
  <c r="V9" i="32"/>
  <c r="W11" i="32"/>
  <c r="V11" i="32"/>
  <c r="W13" i="32"/>
  <c r="V13" i="32"/>
  <c r="BS6" i="32"/>
  <c r="BR6" i="32"/>
  <c r="BS8" i="32"/>
  <c r="BR8" i="32"/>
  <c r="BS10" i="32"/>
  <c r="BR10" i="32"/>
  <c r="BS12" i="32"/>
  <c r="BR12" i="32"/>
  <c r="BS14" i="32"/>
  <c r="BR14" i="32"/>
  <c r="CE6" i="32"/>
  <c r="CD6" i="32"/>
  <c r="CE8" i="32"/>
  <c r="CD8" i="32"/>
  <c r="CE10" i="32"/>
  <c r="CD10" i="32"/>
  <c r="CE12" i="32"/>
  <c r="CD12" i="32"/>
  <c r="CE14" i="32"/>
  <c r="CD14" i="32"/>
  <c r="W8" i="32"/>
  <c r="V8" i="32"/>
  <c r="W10" i="32"/>
  <c r="V10" i="32"/>
  <c r="W12" i="32"/>
  <c r="V12" i="32"/>
  <c r="W14" i="32"/>
  <c r="V14" i="32"/>
  <c r="Q6" i="32"/>
  <c r="BS16" i="32" l="1"/>
  <c r="CD16" i="32"/>
  <c r="CE16" i="32"/>
  <c r="BR16" i="32"/>
  <c r="E77" i="41" l="1"/>
  <c r="E78" i="41"/>
  <c r="Q9" i="17"/>
  <c r="E18" i="10" l="1"/>
  <c r="E17" i="10"/>
  <c r="C208" i="1" l="1"/>
  <c r="C209" i="1"/>
  <c r="B4" i="27" l="1"/>
  <c r="G4" i="27" s="1"/>
  <c r="H4" i="27" s="1"/>
  <c r="B5" i="27"/>
  <c r="G5" i="27" s="1"/>
  <c r="H5" i="27" s="1"/>
  <c r="B6" i="27"/>
  <c r="G6" i="27" s="1"/>
  <c r="H6" i="27" s="1"/>
  <c r="B7" i="27"/>
  <c r="G7" i="27" s="1"/>
  <c r="H7" i="27" s="1"/>
  <c r="B8" i="27"/>
  <c r="G8" i="27" s="1"/>
  <c r="H8" i="27" s="1"/>
  <c r="B9" i="27"/>
  <c r="G9" i="27" s="1"/>
  <c r="H9" i="27" s="1"/>
  <c r="B208" i="1"/>
  <c r="C19" i="1"/>
  <c r="B209" i="1" s="1"/>
  <c r="C20" i="1"/>
  <c r="A5" i="27" s="1"/>
  <c r="C21" i="1"/>
  <c r="A6" i="27" s="1"/>
  <c r="C22" i="1"/>
  <c r="A7" i="27" s="1"/>
  <c r="C23" i="1"/>
  <c r="C24" i="1"/>
  <c r="C25" i="1"/>
  <c r="A10" i="27" s="1"/>
  <c r="C26" i="1"/>
  <c r="A11" i="27" s="1"/>
  <c r="C1" i="19"/>
  <c r="D1" i="19"/>
  <c r="J8" i="27" l="1"/>
  <c r="I8" i="27"/>
  <c r="J7" i="27"/>
  <c r="I7" i="27"/>
  <c r="I6" i="27"/>
  <c r="J6" i="27"/>
  <c r="J9" i="27"/>
  <c r="I9" i="27"/>
  <c r="J5" i="27"/>
  <c r="I5" i="27"/>
  <c r="J4" i="27"/>
  <c r="I4" i="27"/>
  <c r="H12" i="27"/>
  <c r="B24" i="27" s="1"/>
  <c r="D9" i="27"/>
  <c r="D5" i="27"/>
  <c r="D8" i="27"/>
  <c r="D4" i="27"/>
  <c r="D3" i="27"/>
  <c r="D7" i="27"/>
  <c r="D6" i="27"/>
  <c r="K51" i="1"/>
  <c r="U51" i="1" s="1"/>
  <c r="B63" i="30"/>
  <c r="J51" i="1"/>
  <c r="T51" i="1" s="1"/>
  <c r="B56" i="30"/>
  <c r="B42" i="30"/>
  <c r="I51" i="1"/>
  <c r="S51" i="1" s="1"/>
  <c r="A9" i="27"/>
  <c r="A3" i="27"/>
  <c r="A8" i="27"/>
  <c r="A4" i="27"/>
  <c r="G12" i="27" l="1"/>
  <c r="B10" i="20"/>
  <c r="G6" i="30"/>
  <c r="B15" i="20" l="1"/>
  <c r="I12" i="27"/>
  <c r="B23" i="27" s="1"/>
  <c r="J12" i="27"/>
  <c r="P6" i="30"/>
  <c r="P18" i="30" l="1"/>
  <c r="P25" i="30" s="1"/>
  <c r="P32" i="30" s="1"/>
  <c r="P39" i="30" s="1"/>
  <c r="P46" i="30" s="1"/>
  <c r="P53" i="30" s="1"/>
  <c r="P60" i="30" s="1"/>
  <c r="P67" i="30" s="1"/>
  <c r="P16" i="30"/>
  <c r="P23" i="30" s="1"/>
  <c r="P30" i="30" s="1"/>
  <c r="P37" i="30" s="1"/>
  <c r="P44" i="30" s="1"/>
  <c r="P51" i="30" s="1"/>
  <c r="P58" i="30" s="1"/>
  <c r="P65" i="30" s="1"/>
  <c r="P15" i="30"/>
  <c r="P22" i="30" s="1"/>
  <c r="P29" i="30" s="1"/>
  <c r="P36" i="30" s="1"/>
  <c r="P43" i="30" s="1"/>
  <c r="P50" i="30" s="1"/>
  <c r="P57" i="30" s="1"/>
  <c r="P64" i="30" s="1"/>
  <c r="P17" i="30"/>
  <c r="P24" i="30" s="1"/>
  <c r="P31" i="30" s="1"/>
  <c r="P38" i="30" s="1"/>
  <c r="P45" i="30" s="1"/>
  <c r="P52" i="30" s="1"/>
  <c r="P59" i="30" s="1"/>
  <c r="P66" i="30" s="1"/>
  <c r="B25" i="27"/>
  <c r="D15" i="20" s="1"/>
  <c r="D17" i="20" s="1"/>
  <c r="D13" i="41" s="1"/>
  <c r="B33" i="27"/>
  <c r="K6" i="30"/>
  <c r="J6" i="30"/>
  <c r="I6" i="30"/>
  <c r="H6" i="30"/>
  <c r="T6" i="30" l="1"/>
  <c r="Q6" i="30"/>
  <c r="S6" i="30"/>
  <c r="R6" i="30"/>
  <c r="C72" i="1"/>
  <c r="E6" i="30"/>
  <c r="F6" i="30"/>
  <c r="A7" i="37"/>
  <c r="A6" i="37"/>
  <c r="R17" i="30" l="1"/>
  <c r="R24" i="30" s="1"/>
  <c r="R31" i="30" s="1"/>
  <c r="R38" i="30" s="1"/>
  <c r="R45" i="30" s="1"/>
  <c r="R52" i="30" s="1"/>
  <c r="R59" i="30" s="1"/>
  <c r="R66" i="30" s="1"/>
  <c r="R16" i="30"/>
  <c r="R23" i="30" s="1"/>
  <c r="R30" i="30" s="1"/>
  <c r="R37" i="30" s="1"/>
  <c r="R44" i="30" s="1"/>
  <c r="R51" i="30" s="1"/>
  <c r="R58" i="30" s="1"/>
  <c r="R65" i="30" s="1"/>
  <c r="R15" i="30"/>
  <c r="R22" i="30" s="1"/>
  <c r="R29" i="30" s="1"/>
  <c r="R36" i="30" s="1"/>
  <c r="R43" i="30" s="1"/>
  <c r="R50" i="30" s="1"/>
  <c r="R57" i="30" s="1"/>
  <c r="R64" i="30" s="1"/>
  <c r="R18" i="30"/>
  <c r="R25" i="30" s="1"/>
  <c r="R32" i="30" s="1"/>
  <c r="R39" i="30" s="1"/>
  <c r="R46" i="30" s="1"/>
  <c r="R53" i="30" s="1"/>
  <c r="R60" i="30" s="1"/>
  <c r="R67" i="30" s="1"/>
  <c r="S17" i="30"/>
  <c r="S24" i="30" s="1"/>
  <c r="S31" i="30" s="1"/>
  <c r="S38" i="30" s="1"/>
  <c r="S45" i="30" s="1"/>
  <c r="S52" i="30" s="1"/>
  <c r="S59" i="30" s="1"/>
  <c r="S66" i="30" s="1"/>
  <c r="S16" i="30"/>
  <c r="S23" i="30" s="1"/>
  <c r="S30" i="30" s="1"/>
  <c r="S37" i="30" s="1"/>
  <c r="S44" i="30" s="1"/>
  <c r="S51" i="30" s="1"/>
  <c r="S58" i="30" s="1"/>
  <c r="S65" i="30" s="1"/>
  <c r="S18" i="30"/>
  <c r="S25" i="30" s="1"/>
  <c r="S32" i="30" s="1"/>
  <c r="S39" i="30" s="1"/>
  <c r="S46" i="30" s="1"/>
  <c r="S53" i="30" s="1"/>
  <c r="S60" i="30" s="1"/>
  <c r="S67" i="30" s="1"/>
  <c r="S15" i="30"/>
  <c r="S22" i="30" s="1"/>
  <c r="S29" i="30" s="1"/>
  <c r="S36" i="30" s="1"/>
  <c r="S43" i="30" s="1"/>
  <c r="S50" i="30" s="1"/>
  <c r="S57" i="30" s="1"/>
  <c r="S64" i="30" s="1"/>
  <c r="Q15" i="30"/>
  <c r="Q22" i="30" s="1"/>
  <c r="Q29" i="30" s="1"/>
  <c r="Q36" i="30" s="1"/>
  <c r="Q43" i="30" s="1"/>
  <c r="Q50" i="30" s="1"/>
  <c r="Q57" i="30" s="1"/>
  <c r="Q64" i="30" s="1"/>
  <c r="Q17" i="30"/>
  <c r="Q24" i="30" s="1"/>
  <c r="Q31" i="30" s="1"/>
  <c r="Q38" i="30" s="1"/>
  <c r="Q45" i="30" s="1"/>
  <c r="Q52" i="30" s="1"/>
  <c r="Q59" i="30" s="1"/>
  <c r="Q66" i="30" s="1"/>
  <c r="Q16" i="30"/>
  <c r="Q23" i="30" s="1"/>
  <c r="Q30" i="30" s="1"/>
  <c r="Q37" i="30" s="1"/>
  <c r="Q44" i="30" s="1"/>
  <c r="Q51" i="30" s="1"/>
  <c r="Q58" i="30" s="1"/>
  <c r="Q65" i="30" s="1"/>
  <c r="Q18" i="30"/>
  <c r="Q25" i="30" s="1"/>
  <c r="Q32" i="30" s="1"/>
  <c r="Q39" i="30" s="1"/>
  <c r="Q46" i="30" s="1"/>
  <c r="Q53" i="30" s="1"/>
  <c r="Q60" i="30" s="1"/>
  <c r="Q67" i="30" s="1"/>
  <c r="T18" i="30"/>
  <c r="T25" i="30" s="1"/>
  <c r="T32" i="30" s="1"/>
  <c r="T39" i="30" s="1"/>
  <c r="T46" i="30" s="1"/>
  <c r="T53" i="30" s="1"/>
  <c r="T60" i="30" s="1"/>
  <c r="T67" i="30" s="1"/>
  <c r="T17" i="30"/>
  <c r="T24" i="30" s="1"/>
  <c r="T31" i="30" s="1"/>
  <c r="T38" i="30" s="1"/>
  <c r="T45" i="30" s="1"/>
  <c r="T52" i="30" s="1"/>
  <c r="T59" i="30" s="1"/>
  <c r="T66" i="30" s="1"/>
  <c r="T15" i="30"/>
  <c r="T22" i="30" s="1"/>
  <c r="T29" i="30" s="1"/>
  <c r="T36" i="30" s="1"/>
  <c r="T43" i="30" s="1"/>
  <c r="T50" i="30" s="1"/>
  <c r="T57" i="30" s="1"/>
  <c r="T64" i="30" s="1"/>
  <c r="T16" i="30"/>
  <c r="T23" i="30" s="1"/>
  <c r="T30" i="30" s="1"/>
  <c r="T37" i="30" s="1"/>
  <c r="T44" i="30" s="1"/>
  <c r="T51" i="30" s="1"/>
  <c r="T58" i="30" s="1"/>
  <c r="T65" i="30" s="1"/>
  <c r="B14" i="20"/>
  <c r="D9" i="41" s="1"/>
  <c r="C187" i="1" s="1"/>
  <c r="O6" i="30"/>
  <c r="N6" i="30"/>
  <c r="A11" i="37"/>
  <c r="C52" i="41" s="1"/>
  <c r="C63" i="41" s="1"/>
  <c r="C73" i="41" s="1"/>
  <c r="C87" i="1"/>
  <c r="A10" i="37"/>
  <c r="C51" i="41" s="1"/>
  <c r="C62" i="41" s="1"/>
  <c r="C72" i="41" s="1"/>
  <c r="B125" i="1"/>
  <c r="B126" i="1"/>
  <c r="B127" i="1"/>
  <c r="B128" i="1"/>
  <c r="B129" i="1"/>
  <c r="B132" i="1"/>
  <c r="B133" i="1"/>
  <c r="N18" i="30" l="1"/>
  <c r="N25" i="30" s="1"/>
  <c r="N32" i="30" s="1"/>
  <c r="N39" i="30" s="1"/>
  <c r="N46" i="30" s="1"/>
  <c r="N53" i="30" s="1"/>
  <c r="N60" i="30" s="1"/>
  <c r="N67" i="30" s="1"/>
  <c r="N16" i="30"/>
  <c r="N23" i="30" s="1"/>
  <c r="N30" i="30" s="1"/>
  <c r="N37" i="30" s="1"/>
  <c r="N44" i="30" s="1"/>
  <c r="N51" i="30" s="1"/>
  <c r="N58" i="30" s="1"/>
  <c r="N65" i="30" s="1"/>
  <c r="N15" i="30"/>
  <c r="N22" i="30" s="1"/>
  <c r="N29" i="30" s="1"/>
  <c r="N36" i="30" s="1"/>
  <c r="N43" i="30" s="1"/>
  <c r="N50" i="30" s="1"/>
  <c r="N57" i="30" s="1"/>
  <c r="N64" i="30" s="1"/>
  <c r="N17" i="30"/>
  <c r="N24" i="30" s="1"/>
  <c r="N31" i="30" s="1"/>
  <c r="N38" i="30" s="1"/>
  <c r="N45" i="30" s="1"/>
  <c r="N52" i="30" s="1"/>
  <c r="N59" i="30" s="1"/>
  <c r="N66" i="30" s="1"/>
  <c r="O15" i="30"/>
  <c r="O22" i="30" s="1"/>
  <c r="O29" i="30" s="1"/>
  <c r="O36" i="30" s="1"/>
  <c r="O43" i="30" s="1"/>
  <c r="O50" i="30" s="1"/>
  <c r="O57" i="30" s="1"/>
  <c r="O64" i="30" s="1"/>
  <c r="O18" i="30"/>
  <c r="O25" i="30" s="1"/>
  <c r="O32" i="30" s="1"/>
  <c r="O39" i="30" s="1"/>
  <c r="O46" i="30" s="1"/>
  <c r="O53" i="30" s="1"/>
  <c r="O60" i="30" s="1"/>
  <c r="O67" i="30" s="1"/>
  <c r="O17" i="30"/>
  <c r="O24" i="30" s="1"/>
  <c r="O31" i="30" s="1"/>
  <c r="O38" i="30" s="1"/>
  <c r="O45" i="30" s="1"/>
  <c r="O52" i="30" s="1"/>
  <c r="O59" i="30" s="1"/>
  <c r="O66" i="30" s="1"/>
  <c r="O16" i="30"/>
  <c r="O23" i="30" s="1"/>
  <c r="O30" i="30" s="1"/>
  <c r="O37" i="30" s="1"/>
  <c r="O44" i="30" s="1"/>
  <c r="O51" i="30" s="1"/>
  <c r="O58" i="30" s="1"/>
  <c r="O65" i="30" s="1"/>
  <c r="M6" i="36"/>
  <c r="M7" i="36" s="1"/>
  <c r="N5" i="36"/>
  <c r="R5" i="36" s="1"/>
  <c r="N6" i="36" l="1"/>
  <c r="P6" i="36" s="1"/>
  <c r="Q6" i="36" s="1"/>
  <c r="M8" i="36"/>
  <c r="N7" i="36"/>
  <c r="P7" i="36" s="1"/>
  <c r="Q7" i="36" s="1"/>
  <c r="P5" i="36"/>
  <c r="Q5" i="36" s="1"/>
  <c r="M9" i="36" l="1"/>
  <c r="N8" i="36"/>
  <c r="P8" i="36" s="1"/>
  <c r="Q8" i="36" s="1"/>
  <c r="Z4" i="32"/>
  <c r="M10" i="36" l="1"/>
  <c r="N9" i="36"/>
  <c r="P9" i="36" s="1"/>
  <c r="Q9" i="36" s="1"/>
  <c r="M11" i="36" l="1"/>
  <c r="N10" i="36"/>
  <c r="P10" i="36" s="1"/>
  <c r="Q10" i="36" s="1"/>
  <c r="A12" i="32"/>
  <c r="A11" i="32"/>
  <c r="A148" i="3"/>
  <c r="A147" i="3"/>
  <c r="A129" i="3"/>
  <c r="A128" i="3"/>
  <c r="B111" i="3"/>
  <c r="K110" i="3"/>
  <c r="B110" i="3"/>
  <c r="B93" i="3"/>
  <c r="B92" i="3"/>
  <c r="B71" i="3"/>
  <c r="B70" i="3"/>
  <c r="C54" i="3"/>
  <c r="C53" i="3"/>
  <c r="B54" i="3"/>
  <c r="B53" i="3"/>
  <c r="B33" i="3"/>
  <c r="B32" i="3"/>
  <c r="B15" i="3"/>
  <c r="B14" i="3"/>
  <c r="B35" i="2"/>
  <c r="B34" i="2"/>
  <c r="M12" i="36" l="1"/>
  <c r="N11" i="36"/>
  <c r="P11" i="36" s="1"/>
  <c r="Q11" i="36" s="1"/>
  <c r="E54" i="3"/>
  <c r="E53" i="3"/>
  <c r="F53" i="3" l="1"/>
  <c r="B129" i="3"/>
  <c r="B128" i="3"/>
  <c r="M13" i="36"/>
  <c r="N12" i="36"/>
  <c r="P12" i="36" s="1"/>
  <c r="Q12" i="36" s="1"/>
  <c r="M14" i="36" l="1"/>
  <c r="N13" i="36"/>
  <c r="P13" i="36" s="1"/>
  <c r="Q13" i="36" s="1"/>
  <c r="A119" i="30"/>
  <c r="A118" i="30"/>
  <c r="A117" i="30"/>
  <c r="A106" i="30"/>
  <c r="A105" i="30"/>
  <c r="A104" i="30"/>
  <c r="A93" i="30"/>
  <c r="A79" i="30" s="1"/>
  <c r="A92" i="30"/>
  <c r="A78" i="30" s="1"/>
  <c r="B49" i="30"/>
  <c r="N14" i="36" l="1"/>
  <c r="P14" i="36" s="1"/>
  <c r="Q14" i="36" s="1"/>
  <c r="M15" i="36"/>
  <c r="M16" i="36" l="1"/>
  <c r="N15" i="36"/>
  <c r="P15" i="36" s="1"/>
  <c r="Q15" i="36" s="1"/>
  <c r="H51" i="1"/>
  <c r="R51" i="1" s="1"/>
  <c r="G51" i="1"/>
  <c r="Q51" i="1" s="1"/>
  <c r="M17" i="36" l="1"/>
  <c r="N16" i="36"/>
  <c r="P16" i="36" s="1"/>
  <c r="Q16" i="36" s="1"/>
  <c r="M113" i="30"/>
  <c r="M114" i="30"/>
  <c r="M115" i="30"/>
  <c r="M116" i="30"/>
  <c r="M117" i="30"/>
  <c r="I118" i="30"/>
  <c r="J118" i="30"/>
  <c r="L118" i="30"/>
  <c r="M118" i="30"/>
  <c r="I119" i="30"/>
  <c r="J119" i="30"/>
  <c r="L119" i="30"/>
  <c r="M119" i="30"/>
  <c r="M120" i="30"/>
  <c r="M121" i="30"/>
  <c r="M18" i="36" l="1"/>
  <c r="N18" i="36" s="1"/>
  <c r="P18" i="36" s="1"/>
  <c r="Q18" i="36" s="1"/>
  <c r="N17" i="36"/>
  <c r="P17" i="36" s="1"/>
  <c r="Q17" i="36" s="1"/>
  <c r="G119" i="30"/>
  <c r="H118" i="30"/>
  <c r="F119" i="30"/>
  <c r="G118" i="30"/>
  <c r="F118" i="30"/>
  <c r="H119" i="30"/>
  <c r="I12" i="13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50" i="3"/>
  <c r="A149" i="3"/>
  <c r="A146" i="3"/>
  <c r="A145" i="3"/>
  <c r="A144" i="3"/>
  <c r="A143" i="3"/>
  <c r="A142" i="3"/>
  <c r="I141" i="3"/>
  <c r="H141" i="3"/>
  <c r="E141" i="3"/>
  <c r="D141" i="3"/>
  <c r="A131" i="3"/>
  <c r="A130" i="3"/>
  <c r="A127" i="3"/>
  <c r="A126" i="3"/>
  <c r="A125" i="3"/>
  <c r="A124" i="3"/>
  <c r="A123" i="3"/>
  <c r="I122" i="3"/>
  <c r="H122" i="3"/>
  <c r="E122" i="3"/>
  <c r="D122" i="3"/>
  <c r="K113" i="3"/>
  <c r="K111" i="3"/>
  <c r="B113" i="3"/>
  <c r="B112" i="3"/>
  <c r="K109" i="3"/>
  <c r="B109" i="3"/>
  <c r="K108" i="3"/>
  <c r="B108" i="3"/>
  <c r="K107" i="3"/>
  <c r="B107" i="3"/>
  <c r="K106" i="3"/>
  <c r="B106" i="3"/>
  <c r="K105" i="3"/>
  <c r="B105" i="3"/>
  <c r="H104" i="3"/>
  <c r="G104" i="3"/>
  <c r="F104" i="3"/>
  <c r="E104" i="3"/>
  <c r="D104" i="3"/>
  <c r="C104" i="3"/>
  <c r="B95" i="3"/>
  <c r="B94" i="3"/>
  <c r="B91" i="3"/>
  <c r="B90" i="3"/>
  <c r="B89" i="3"/>
  <c r="B88" i="3"/>
  <c r="B87" i="3"/>
  <c r="H86" i="3"/>
  <c r="G86" i="3"/>
  <c r="F86" i="3"/>
  <c r="E86" i="3"/>
  <c r="D86" i="3"/>
  <c r="C86" i="3"/>
  <c r="B73" i="3"/>
  <c r="B72" i="3"/>
  <c r="B69" i="3"/>
  <c r="B68" i="3"/>
  <c r="B67" i="3"/>
  <c r="B66" i="3"/>
  <c r="B65" i="3"/>
  <c r="C56" i="3"/>
  <c r="E56" i="3" s="1"/>
  <c r="B56" i="3"/>
  <c r="C55" i="3"/>
  <c r="E55" i="3" s="1"/>
  <c r="B55" i="3"/>
  <c r="C52" i="3"/>
  <c r="B52" i="3"/>
  <c r="C51" i="3"/>
  <c r="B51" i="3"/>
  <c r="C50" i="3"/>
  <c r="B50" i="3"/>
  <c r="C49" i="3"/>
  <c r="B49" i="3"/>
  <c r="C48" i="3"/>
  <c r="E48" i="3" s="1"/>
  <c r="B48" i="3"/>
  <c r="B35" i="3"/>
  <c r="B34" i="3"/>
  <c r="B31" i="3"/>
  <c r="B30" i="3"/>
  <c r="B29" i="3"/>
  <c r="B28" i="3"/>
  <c r="B27" i="3"/>
  <c r="N26" i="3"/>
  <c r="L26" i="3"/>
  <c r="I26" i="3"/>
  <c r="D17" i="3"/>
  <c r="B17" i="3"/>
  <c r="D16" i="3"/>
  <c r="B16" i="3"/>
  <c r="B13" i="3"/>
  <c r="B12" i="3"/>
  <c r="B11" i="3"/>
  <c r="B10" i="3"/>
  <c r="B9" i="3"/>
  <c r="E37" i="2"/>
  <c r="B37" i="2"/>
  <c r="E36" i="2"/>
  <c r="B36" i="2"/>
  <c r="B33" i="2"/>
  <c r="B32" i="2"/>
  <c r="B31" i="2"/>
  <c r="B30" i="2"/>
  <c r="B29" i="2"/>
  <c r="A32" i="18"/>
  <c r="A31" i="18"/>
  <c r="A30" i="18"/>
  <c r="A29" i="18"/>
  <c r="A28" i="18"/>
  <c r="A27" i="18"/>
  <c r="F26" i="18"/>
  <c r="F25" i="18"/>
  <c r="F24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1" i="34"/>
  <c r="B51" i="34"/>
  <c r="A51" i="34"/>
  <c r="C50" i="34"/>
  <c r="B50" i="34"/>
  <c r="A50" i="34"/>
  <c r="C49" i="34"/>
  <c r="B49" i="34"/>
  <c r="A49" i="34"/>
  <c r="A32" i="34"/>
  <c r="A31" i="34"/>
  <c r="A28" i="34"/>
  <c r="A27" i="34"/>
  <c r="A26" i="34"/>
  <c r="A25" i="34"/>
  <c r="A24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21" i="30"/>
  <c r="A120" i="30"/>
  <c r="A116" i="30"/>
  <c r="A115" i="30"/>
  <c r="A114" i="30"/>
  <c r="A113" i="30"/>
  <c r="A108" i="30"/>
  <c r="A107" i="30"/>
  <c r="A103" i="30"/>
  <c r="A102" i="30"/>
  <c r="A101" i="30"/>
  <c r="A100" i="30"/>
  <c r="A95" i="30"/>
  <c r="A81" i="30" s="1"/>
  <c r="A94" i="30"/>
  <c r="A80" i="30" s="1"/>
  <c r="A91" i="30"/>
  <c r="A77" i="30" s="1"/>
  <c r="A90" i="30"/>
  <c r="A76" i="30" s="1"/>
  <c r="A89" i="30"/>
  <c r="A75" i="30" s="1"/>
  <c r="A88" i="30"/>
  <c r="A74" i="30" s="1"/>
  <c r="A87" i="30"/>
  <c r="A73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14" i="32"/>
  <c r="A13" i="32"/>
  <c r="A10" i="32"/>
  <c r="A9" i="32"/>
  <c r="A8" i="32"/>
  <c r="A7" i="32"/>
  <c r="A6" i="32"/>
  <c r="A5" i="37"/>
  <c r="A4" i="37"/>
  <c r="A2" i="37"/>
  <c r="B25" i="35"/>
  <c r="E110" i="1"/>
  <c r="B9" i="28"/>
  <c r="D9" i="28" s="1"/>
  <c r="B8" i="28"/>
  <c r="D8" i="28" s="1"/>
  <c r="B7" i="28"/>
  <c r="B6" i="28"/>
  <c r="B5" i="28"/>
  <c r="D5" i="28" s="1"/>
  <c r="I102" i="1"/>
  <c r="F15" i="17"/>
  <c r="I101" i="1"/>
  <c r="F14" i="17"/>
  <c r="I100" i="1"/>
  <c r="F13" i="17"/>
  <c r="I99" i="1"/>
  <c r="F12" i="17"/>
  <c r="I98" i="1"/>
  <c r="F11" i="17"/>
  <c r="I97" i="1"/>
  <c r="F10" i="17"/>
  <c r="I96" i="1"/>
  <c r="F9" i="17"/>
  <c r="J93" i="1"/>
  <c r="D24" i="16"/>
  <c r="J92" i="1"/>
  <c r="D23" i="16"/>
  <c r="J91" i="1"/>
  <c r="D22" i="16"/>
  <c r="J90" i="1"/>
  <c r="D21" i="16"/>
  <c r="J89" i="1"/>
  <c r="D20" i="16"/>
  <c r="J88" i="1"/>
  <c r="D19" i="16"/>
  <c r="J87" i="1"/>
  <c r="D18" i="16"/>
  <c r="C86" i="1"/>
  <c r="C95" i="1" s="1"/>
  <c r="F10" i="18"/>
  <c r="F9" i="18"/>
  <c r="F8" i="18"/>
  <c r="F7" i="18"/>
  <c r="F6" i="18"/>
  <c r="F5" i="18"/>
  <c r="E4" i="18"/>
  <c r="F4" i="18"/>
  <c r="E69" i="1"/>
  <c r="K69" i="1" s="1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1" i="1"/>
  <c r="P51" i="1" s="1"/>
  <c r="E51" i="1"/>
  <c r="O51" i="1" s="1"/>
  <c r="D51" i="1"/>
  <c r="N51" i="1" s="1"/>
  <c r="T7" i="30"/>
  <c r="S7" i="30"/>
  <c r="R7" i="30"/>
  <c r="Q7" i="30"/>
  <c r="N7" i="30"/>
  <c r="K7" i="30"/>
  <c r="J7" i="30"/>
  <c r="I7" i="30"/>
  <c r="H7" i="30"/>
  <c r="E7" i="30"/>
  <c r="C51" i="1"/>
  <c r="M51" i="1" s="1"/>
  <c r="D10" i="41"/>
  <c r="L121" i="30"/>
  <c r="K121" i="30"/>
  <c r="J121" i="30"/>
  <c r="L120" i="30"/>
  <c r="K120" i="30"/>
  <c r="J120" i="30"/>
  <c r="L117" i="30"/>
  <c r="J117" i="30"/>
  <c r="L116" i="30"/>
  <c r="J116" i="30"/>
  <c r="I116" i="30"/>
  <c r="L115" i="30"/>
  <c r="J115" i="30"/>
  <c r="L114" i="30"/>
  <c r="J114" i="30"/>
  <c r="L113" i="30"/>
  <c r="K113" i="30"/>
  <c r="J113" i="30"/>
  <c r="B11" i="18"/>
  <c r="D91" i="3" l="1"/>
  <c r="D95" i="3"/>
  <c r="D94" i="3"/>
  <c r="D88" i="3"/>
  <c r="D92" i="3"/>
  <c r="D87" i="3"/>
  <c r="D89" i="3"/>
  <c r="D93" i="3"/>
  <c r="D90" i="3"/>
  <c r="A12" i="37"/>
  <c r="C53" i="41" s="1"/>
  <c r="C64" i="41" s="1"/>
  <c r="C74" i="41" s="1"/>
  <c r="H4" i="10"/>
  <c r="H6" i="10" s="1"/>
  <c r="F13" i="10" s="1"/>
  <c r="B131" i="3"/>
  <c r="C131" i="3" s="1"/>
  <c r="F56" i="3"/>
  <c r="B130" i="3"/>
  <c r="C130" i="3" s="1"/>
  <c r="F130" i="3" s="1"/>
  <c r="F55" i="3"/>
  <c r="D7" i="28"/>
  <c r="C89" i="1"/>
  <c r="C98" i="1" s="1"/>
  <c r="G31" i="10"/>
  <c r="E44" i="10" s="1"/>
  <c r="G3" i="30"/>
  <c r="J87" i="30" s="1"/>
  <c r="P3" i="30"/>
  <c r="A6" i="29"/>
  <c r="B203" i="1" s="1"/>
  <c r="A19" i="29"/>
  <c r="A11" i="19"/>
  <c r="D6" i="28"/>
  <c r="E49" i="3"/>
  <c r="E51" i="3"/>
  <c r="B123" i="3"/>
  <c r="E52" i="3"/>
  <c r="E50" i="3"/>
  <c r="AA12" i="17"/>
  <c r="AA14" i="17"/>
  <c r="C6" i="18"/>
  <c r="E5" i="18"/>
  <c r="E9" i="18"/>
  <c r="BE11" i="17"/>
  <c r="BE13" i="17"/>
  <c r="BE15" i="17"/>
  <c r="F51" i="34"/>
  <c r="D15" i="18"/>
  <c r="W12" i="17"/>
  <c r="X12" i="17" s="1"/>
  <c r="Y12" i="17" s="1"/>
  <c r="W10" i="17"/>
  <c r="X10" i="17" s="1"/>
  <c r="Y10" i="17" s="1"/>
  <c r="B52" i="34"/>
  <c r="W14" i="17"/>
  <c r="X14" i="17" s="1"/>
  <c r="Y14" i="17" s="1"/>
  <c r="B14" i="18"/>
  <c r="F50" i="34"/>
  <c r="K15" i="10"/>
  <c r="E10" i="18"/>
  <c r="F49" i="34"/>
  <c r="C52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3" i="1"/>
  <c r="C9" i="3"/>
  <c r="E9" i="3" s="1"/>
  <c r="D29" i="2"/>
  <c r="C8" i="2"/>
  <c r="E8" i="2" s="1"/>
  <c r="F115" i="30"/>
  <c r="H116" i="30"/>
  <c r="E113" i="3"/>
  <c r="F121" i="30"/>
  <c r="G7" i="30"/>
  <c r="D37" i="14"/>
  <c r="P14" i="17"/>
  <c r="D33" i="14"/>
  <c r="P10" i="17"/>
  <c r="F113" i="30"/>
  <c r="H114" i="30"/>
  <c r="D31" i="2"/>
  <c r="C11" i="3"/>
  <c r="E11" i="3" s="1"/>
  <c r="C10" i="2"/>
  <c r="E10" i="2" s="1"/>
  <c r="F117" i="30"/>
  <c r="H120" i="30"/>
  <c r="C16" i="2"/>
  <c r="E16" i="2" s="1"/>
  <c r="C17" i="3"/>
  <c r="E17" i="3" s="1"/>
  <c r="D37" i="2"/>
  <c r="F37" i="2" s="1"/>
  <c r="F4" i="39"/>
  <c r="AX4" i="32"/>
  <c r="D35" i="14"/>
  <c r="P12" i="17"/>
  <c r="I113" i="30"/>
  <c r="G114" i="30"/>
  <c r="I115" i="30"/>
  <c r="G116" i="30"/>
  <c r="I117" i="30"/>
  <c r="F112" i="3"/>
  <c r="G120" i="30"/>
  <c r="I121" i="30"/>
  <c r="AL4" i="32"/>
  <c r="E4" i="39"/>
  <c r="E6" i="18"/>
  <c r="E8" i="18"/>
  <c r="D92" i="1"/>
  <c r="G113" i="30"/>
  <c r="G117" i="30"/>
  <c r="I120" i="30"/>
  <c r="F113" i="3"/>
  <c r="G121" i="30"/>
  <c r="B4" i="39"/>
  <c r="B4" i="32"/>
  <c r="G4" i="39"/>
  <c r="BJ4" i="32"/>
  <c r="I114" i="30"/>
  <c r="G115" i="30"/>
  <c r="H113" i="30"/>
  <c r="D30" i="2"/>
  <c r="C10" i="3"/>
  <c r="E10" i="3" s="1"/>
  <c r="C9" i="2"/>
  <c r="E9" i="2" s="1"/>
  <c r="F114" i="30"/>
  <c r="H115" i="30"/>
  <c r="F116" i="30"/>
  <c r="H117" i="30"/>
  <c r="D36" i="2"/>
  <c r="F36" i="2" s="1"/>
  <c r="C16" i="3"/>
  <c r="E16" i="3" s="1"/>
  <c r="C15" i="2"/>
  <c r="E15" i="2" s="1"/>
  <c r="E112" i="3"/>
  <c r="F120" i="30"/>
  <c r="H121" i="30"/>
  <c r="C4" i="39"/>
  <c r="N4" i="32"/>
  <c r="H4" i="39"/>
  <c r="BV4" i="32"/>
  <c r="E7" i="18"/>
  <c r="D32" i="14"/>
  <c r="P9" i="17"/>
  <c r="D34" i="14"/>
  <c r="P11" i="17"/>
  <c r="D36" i="14"/>
  <c r="P13" i="17"/>
  <c r="D38" i="14"/>
  <c r="P15" i="17"/>
  <c r="D89" i="1" l="1"/>
  <c r="BP6" i="23"/>
  <c r="R11" i="17"/>
  <c r="R14" i="17"/>
  <c r="A10" i="18"/>
  <c r="A26" i="18" s="1"/>
  <c r="F89" i="3"/>
  <c r="F94" i="3"/>
  <c r="E93" i="3"/>
  <c r="E92" i="3"/>
  <c r="F87" i="3"/>
  <c r="F95" i="3"/>
  <c r="E89" i="3"/>
  <c r="E88" i="3"/>
  <c r="F90" i="3"/>
  <c r="F92" i="3"/>
  <c r="F91" i="3"/>
  <c r="E90" i="3"/>
  <c r="E95" i="3"/>
  <c r="F93" i="3"/>
  <c r="F88" i="3"/>
  <c r="E94" i="3"/>
  <c r="E87" i="3"/>
  <c r="E91" i="3"/>
  <c r="F50" i="3"/>
  <c r="F49" i="3"/>
  <c r="C90" i="1"/>
  <c r="C99" i="1" s="1"/>
  <c r="C91" i="1"/>
  <c r="C100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23" i="3"/>
  <c r="F48" i="3"/>
  <c r="F108" i="3"/>
  <c r="E108" i="3"/>
  <c r="B125" i="3"/>
  <c r="C125" i="3" s="1"/>
  <c r="G125" i="3" s="1"/>
  <c r="F107" i="3"/>
  <c r="E107" i="3"/>
  <c r="B124" i="3"/>
  <c r="C124" i="3" s="1"/>
  <c r="F106" i="3"/>
  <c r="E106" i="3"/>
  <c r="F109" i="3"/>
  <c r="I113" i="3"/>
  <c r="L113" i="3" s="1"/>
  <c r="I112" i="3"/>
  <c r="L112" i="3" s="1"/>
  <c r="G131" i="3"/>
  <c r="F131" i="3"/>
  <c r="B162" i="3" s="1"/>
  <c r="K94" i="30"/>
  <c r="H4" i="18"/>
  <c r="H22" i="18"/>
  <c r="H5" i="18"/>
  <c r="B6" i="29"/>
  <c r="B23" i="11" s="1"/>
  <c r="B19" i="29"/>
  <c r="A11" i="17"/>
  <c r="B20" i="16"/>
  <c r="C20" i="16" s="1"/>
  <c r="D98" i="1"/>
  <c r="H117" i="1" s="1"/>
  <c r="H11" i="13" s="1"/>
  <c r="J11" i="13" s="1"/>
  <c r="L11" i="13" s="1"/>
  <c r="M11" i="13" s="1"/>
  <c r="B34" i="14"/>
  <c r="E34" i="14" s="1"/>
  <c r="A6" i="18"/>
  <c r="A22" i="18" s="1"/>
  <c r="A13" i="19"/>
  <c r="D91" i="1"/>
  <c r="B126" i="3"/>
  <c r="E110" i="3"/>
  <c r="F110" i="3"/>
  <c r="B127" i="3"/>
  <c r="F111" i="3"/>
  <c r="E111" i="3"/>
  <c r="E105" i="3"/>
  <c r="F105" i="3"/>
  <c r="E109" i="3"/>
  <c r="A8" i="29"/>
  <c r="B205" i="1" s="1"/>
  <c r="A21" i="29"/>
  <c r="H20" i="18"/>
  <c r="I20" i="18" s="1"/>
  <c r="F52" i="34"/>
  <c r="J94" i="30"/>
  <c r="H8" i="18"/>
  <c r="H28" i="18"/>
  <c r="H23" i="18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H26" i="18"/>
  <c r="I26" i="18" s="1"/>
  <c r="H14" i="18"/>
  <c r="I14" i="18" s="1"/>
  <c r="H32" i="18"/>
  <c r="H31" i="18"/>
  <c r="H21" i="18"/>
  <c r="H27" i="18"/>
  <c r="H24" i="18"/>
  <c r="I24" i="18" s="1"/>
  <c r="H25" i="18"/>
  <c r="I25" i="18" s="1"/>
  <c r="H16" i="18"/>
  <c r="I16" i="18" s="1"/>
  <c r="A17" i="29"/>
  <c r="A9" i="19"/>
  <c r="A4" i="29"/>
  <c r="B201" i="1" s="1"/>
  <c r="C96" i="1"/>
  <c r="E13" i="34"/>
  <c r="C14" i="34"/>
  <c r="E14" i="34" s="1"/>
  <c r="C92" i="1"/>
  <c r="C101" i="1" s="1"/>
  <c r="A14" i="19"/>
  <c r="A22" i="29"/>
  <c r="A9" i="29"/>
  <c r="B206" i="1" s="1"/>
  <c r="C88" i="1"/>
  <c r="C97" i="1" s="1"/>
  <c r="A10" i="19"/>
  <c r="A18" i="29"/>
  <c r="A5" i="29"/>
  <c r="B202" i="1" s="1"/>
  <c r="E12" i="34"/>
  <c r="A10" i="29"/>
  <c r="B207" i="1" s="1"/>
  <c r="A15" i="19"/>
  <c r="A23" i="29"/>
  <c r="C93" i="1"/>
  <c r="C102" i="1" s="1"/>
  <c r="D130" i="3"/>
  <c r="H130" i="3" s="1"/>
  <c r="E130" i="3"/>
  <c r="I130" i="3" s="1"/>
  <c r="J89" i="30"/>
  <c r="K89" i="30"/>
  <c r="E131" i="3"/>
  <c r="I131" i="3" s="1"/>
  <c r="D131" i="3"/>
  <c r="H131" i="3" s="1"/>
  <c r="A7" i="29"/>
  <c r="B204" i="1" s="1"/>
  <c r="A12" i="19"/>
  <c r="A20" i="29"/>
  <c r="G130" i="3"/>
  <c r="C162" i="3" s="1"/>
  <c r="K87" i="30"/>
  <c r="J95" i="30"/>
  <c r="K95" i="30"/>
  <c r="J88" i="30"/>
  <c r="K88" i="30"/>
  <c r="B166" i="1"/>
  <c r="B167" i="1"/>
  <c r="A40" i="34" s="1"/>
  <c r="B168" i="1"/>
  <c r="A41" i="34" s="1"/>
  <c r="AG11" i="17" l="1"/>
  <c r="B11" i="17"/>
  <c r="AF11" i="17"/>
  <c r="D23" i="11"/>
  <c r="L23" i="11"/>
  <c r="O23" i="11"/>
  <c r="P23" i="11" s="1"/>
  <c r="E23" i="11"/>
  <c r="F23" i="11" s="1"/>
  <c r="G23" i="11" s="1"/>
  <c r="I23" i="11" s="1"/>
  <c r="R12" i="17"/>
  <c r="I27" i="18"/>
  <c r="I31" i="18"/>
  <c r="I30" i="18"/>
  <c r="I32" i="18"/>
  <c r="I29" i="18"/>
  <c r="I28" i="18"/>
  <c r="I95" i="3"/>
  <c r="J130" i="3" s="1"/>
  <c r="K149" i="3" s="1"/>
  <c r="D90" i="1"/>
  <c r="I94" i="3"/>
  <c r="J129" i="3" s="1"/>
  <c r="K148" i="3" s="1"/>
  <c r="I23" i="18"/>
  <c r="I22" i="18"/>
  <c r="I21" i="18"/>
  <c r="A39" i="34"/>
  <c r="D34" i="41"/>
  <c r="B169" i="1"/>
  <c r="A42" i="34" s="1"/>
  <c r="B170" i="1"/>
  <c r="A43" i="34" s="1"/>
  <c r="B171" i="1"/>
  <c r="A44" i="34" s="1"/>
  <c r="T11" i="17"/>
  <c r="L57" i="30"/>
  <c r="D100" i="1"/>
  <c r="J117" i="1" s="1"/>
  <c r="L64" i="30"/>
  <c r="E112" i="1"/>
  <c r="C8" i="13" s="1"/>
  <c r="F125" i="3"/>
  <c r="D125" i="3"/>
  <c r="H125" i="3" s="1"/>
  <c r="E125" i="3"/>
  <c r="E21" i="14"/>
  <c r="H21" i="14" s="1"/>
  <c r="I106" i="3"/>
  <c r="L106" i="3" s="1"/>
  <c r="B11" i="19"/>
  <c r="I107" i="3"/>
  <c r="I88" i="3"/>
  <c r="I89" i="3"/>
  <c r="I87" i="3"/>
  <c r="E74" i="14"/>
  <c r="H75" i="14" s="1"/>
  <c r="K75" i="14" s="1"/>
  <c r="G123" i="3"/>
  <c r="F123" i="3"/>
  <c r="E124" i="3"/>
  <c r="F124" i="3"/>
  <c r="I105" i="3"/>
  <c r="L105" i="3" s="1"/>
  <c r="A13" i="17"/>
  <c r="A8" i="18"/>
  <c r="A24" i="18" s="1"/>
  <c r="B22" i="16"/>
  <c r="C22" i="16" s="1"/>
  <c r="B21" i="29"/>
  <c r="E123" i="3"/>
  <c r="I123" i="3" s="1"/>
  <c r="G124" i="3"/>
  <c r="D124" i="3"/>
  <c r="H124" i="3" s="1"/>
  <c r="D123" i="3"/>
  <c r="H123" i="3" s="1"/>
  <c r="B8" i="29"/>
  <c r="B25" i="11" s="1"/>
  <c r="B36" i="14"/>
  <c r="E36" i="14" s="1"/>
  <c r="R13" i="17"/>
  <c r="P4" i="18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7" i="1"/>
  <c r="G117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A14" i="17"/>
  <c r="B9" i="29"/>
  <c r="B26" i="11" s="1"/>
  <c r="D101" i="1"/>
  <c r="K117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6" i="1"/>
  <c r="B4" i="29"/>
  <c r="F61" i="30"/>
  <c r="Q68" i="30"/>
  <c r="B24" i="16"/>
  <c r="C24" i="16" s="1"/>
  <c r="B38" i="14"/>
  <c r="E38" i="14" s="1"/>
  <c r="R15" i="17"/>
  <c r="A15" i="17"/>
  <c r="B10" i="29"/>
  <c r="B27" i="11" s="1"/>
  <c r="D102" i="1"/>
  <c r="L117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99" i="1"/>
  <c r="I117" i="1" s="1"/>
  <c r="H12" i="13" s="1"/>
  <c r="J12" i="13" s="1"/>
  <c r="L12" i="13" s="1"/>
  <c r="M12" i="13" s="1"/>
  <c r="F68" i="30"/>
  <c r="L66" i="30"/>
  <c r="U57" i="30"/>
  <c r="M94" i="30" s="1"/>
  <c r="J68" i="30"/>
  <c r="R61" i="30"/>
  <c r="H61" i="30"/>
  <c r="E61" i="30"/>
  <c r="L60" i="30"/>
  <c r="U64" i="30"/>
  <c r="M95" i="30" s="1"/>
  <c r="T68" i="30"/>
  <c r="I68" i="30"/>
  <c r="S68" i="30"/>
  <c r="N61" i="30"/>
  <c r="G68" i="30"/>
  <c r="F31" i="34"/>
  <c r="F25" i="34"/>
  <c r="F33" i="34"/>
  <c r="F26" i="34"/>
  <c r="F35" i="34"/>
  <c r="F32" i="34"/>
  <c r="F24" i="34"/>
  <c r="F34" i="34"/>
  <c r="B12" i="17" l="1"/>
  <c r="AG12" i="17"/>
  <c r="AF12" i="17"/>
  <c r="AG9" i="17"/>
  <c r="AF9" i="17"/>
  <c r="B9" i="17"/>
  <c r="AF14" i="17"/>
  <c r="B14" i="17"/>
  <c r="AG14" i="17"/>
  <c r="AG10" i="17"/>
  <c r="AF10" i="17"/>
  <c r="B10" i="17"/>
  <c r="AG15" i="17"/>
  <c r="B15" i="17"/>
  <c r="AF15" i="17"/>
  <c r="AG13" i="17"/>
  <c r="B13" i="17"/>
  <c r="AF13" i="17"/>
  <c r="D26" i="11"/>
  <c r="E26" i="11"/>
  <c r="O26" i="11"/>
  <c r="P26" i="11" s="1"/>
  <c r="L26" i="11"/>
  <c r="D27" i="11"/>
  <c r="L27" i="11"/>
  <c r="O27" i="11"/>
  <c r="P27" i="11" s="1"/>
  <c r="E27" i="11"/>
  <c r="F27" i="11" s="1"/>
  <c r="G27" i="11" s="1"/>
  <c r="I27" i="11" s="1"/>
  <c r="D25" i="11"/>
  <c r="L25" i="11"/>
  <c r="O25" i="11"/>
  <c r="E25" i="11"/>
  <c r="F25" i="11" s="1"/>
  <c r="G25" i="11" s="1"/>
  <c r="I25" i="11" s="1"/>
  <c r="M14" i="14"/>
  <c r="B24" i="11"/>
  <c r="C24" i="11"/>
  <c r="E14" i="14"/>
  <c r="D38" i="41"/>
  <c r="P3" i="18"/>
  <c r="W64" i="30"/>
  <c r="D73" i="3" s="1"/>
  <c r="W57" i="30"/>
  <c r="D72" i="3" s="1"/>
  <c r="M23" i="11"/>
  <c r="B22" i="11"/>
  <c r="P25" i="11"/>
  <c r="C21" i="11"/>
  <c r="B21" i="11"/>
  <c r="F26" i="11"/>
  <c r="G26" i="11" s="1"/>
  <c r="I26" i="11" s="1"/>
  <c r="J23" i="11"/>
  <c r="C26" i="11"/>
  <c r="T14" i="17"/>
  <c r="T10" i="17"/>
  <c r="T13" i="17"/>
  <c r="T9" i="17"/>
  <c r="T12" i="17"/>
  <c r="T15" i="17"/>
  <c r="S108" i="30"/>
  <c r="W108" i="30"/>
  <c r="O107" i="30"/>
  <c r="Q107" i="30"/>
  <c r="U108" i="30"/>
  <c r="AA108" i="30"/>
  <c r="U107" i="30"/>
  <c r="AA107" i="30"/>
  <c r="Y107" i="30"/>
  <c r="O108" i="30"/>
  <c r="S107" i="30"/>
  <c r="Y108" i="30"/>
  <c r="W107" i="30"/>
  <c r="Q108" i="30"/>
  <c r="V64" i="30"/>
  <c r="V57" i="30"/>
  <c r="V67" i="30"/>
  <c r="V58" i="30"/>
  <c r="D34" i="3" s="1"/>
  <c r="L95" i="30"/>
  <c r="D108" i="30" s="1"/>
  <c r="V65" i="30"/>
  <c r="D35" i="3" s="1"/>
  <c r="V60" i="30"/>
  <c r="B13" i="19"/>
  <c r="J122" i="3"/>
  <c r="E108" i="30"/>
  <c r="O95" i="30"/>
  <c r="B10" i="19"/>
  <c r="B14" i="19"/>
  <c r="E107" i="30"/>
  <c r="O94" i="30"/>
  <c r="B12" i="19"/>
  <c r="B15" i="19"/>
  <c r="F117" i="1"/>
  <c r="B9" i="19"/>
  <c r="L94" i="30"/>
  <c r="D22" i="11" l="1"/>
  <c r="E22" i="11"/>
  <c r="O22" i="11"/>
  <c r="P22" i="11" s="1"/>
  <c r="L22" i="11"/>
  <c r="D24" i="11"/>
  <c r="E24" i="11"/>
  <c r="O24" i="11"/>
  <c r="P24" i="11" s="1"/>
  <c r="L24" i="11"/>
  <c r="D21" i="11"/>
  <c r="L21" i="11"/>
  <c r="O21" i="11"/>
  <c r="P21" i="11" s="1"/>
  <c r="E21" i="11"/>
  <c r="F21" i="11" s="1"/>
  <c r="F24" i="11"/>
  <c r="G24" i="11" s="1"/>
  <c r="I24" i="11" s="1"/>
  <c r="M25" i="11"/>
  <c r="M27" i="11"/>
  <c r="M26" i="11"/>
  <c r="N26" i="11" s="1"/>
  <c r="Q26" i="11" s="1"/>
  <c r="R26" i="11" s="1"/>
  <c r="J25" i="11"/>
  <c r="F22" i="11"/>
  <c r="G22" i="11" s="1"/>
  <c r="I22" i="11" s="1"/>
  <c r="J26" i="11"/>
  <c r="K26" i="11" s="1"/>
  <c r="J27" i="11"/>
  <c r="N95" i="30"/>
  <c r="D107" i="30"/>
  <c r="N94" i="30"/>
  <c r="H14" i="14"/>
  <c r="H9" i="13"/>
  <c r="J9" i="13" s="1"/>
  <c r="L9" i="13" s="1"/>
  <c r="M9" i="13" s="1"/>
  <c r="E117" i="1"/>
  <c r="P14" i="14"/>
  <c r="J24" i="11" l="1"/>
  <c r="M24" i="11"/>
  <c r="M21" i="11"/>
  <c r="N21" i="11" s="1"/>
  <c r="Q21" i="11" s="1"/>
  <c r="R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I21" i="11" l="1"/>
  <c r="G28" i="11"/>
  <c r="P17" i="14"/>
  <c r="C57" i="14"/>
  <c r="H17" i="14"/>
  <c r="C47" i="14"/>
  <c r="J21" i="11" l="1"/>
  <c r="I28" i="11"/>
  <c r="K21" i="11" l="1"/>
  <c r="J28" i="11"/>
  <c r="L107" i="3" l="1"/>
  <c r="O7" i="30" l="1"/>
  <c r="F7" i="30" l="1"/>
  <c r="L8" i="30" s="1"/>
  <c r="L9" i="30" l="1"/>
  <c r="J12" i="30"/>
  <c r="I12" i="30"/>
  <c r="L11" i="30"/>
  <c r="F12" i="30"/>
  <c r="L10" i="30"/>
  <c r="K12" i="30"/>
  <c r="E12" i="30"/>
  <c r="H12" i="30"/>
  <c r="G12" i="30"/>
  <c r="P7" i="30"/>
  <c r="L87" i="30" l="1"/>
  <c r="N87" i="30" s="1"/>
  <c r="D100" i="30" s="1"/>
  <c r="U8" i="30"/>
  <c r="M87" i="30" s="1"/>
  <c r="T12" i="30"/>
  <c r="AA100" i="30" s="1"/>
  <c r="U11" i="30"/>
  <c r="V11" i="30" s="1"/>
  <c r="R12" i="30"/>
  <c r="W100" i="30" s="1"/>
  <c r="S12" i="30"/>
  <c r="Y100" i="30" s="1"/>
  <c r="U9" i="30"/>
  <c r="V9" i="30" s="1"/>
  <c r="D27" i="3" s="1"/>
  <c r="N12" i="30"/>
  <c r="O100" i="30" s="1"/>
  <c r="O12" i="30"/>
  <c r="Q100" i="30" s="1"/>
  <c r="U10" i="30"/>
  <c r="Q12" i="30"/>
  <c r="U100" i="30" s="1"/>
  <c r="P12" i="30"/>
  <c r="S100" i="30" s="1"/>
  <c r="W8" i="30" l="1"/>
  <c r="D65" i="3" s="1"/>
  <c r="V8" i="30"/>
  <c r="O87" i="30"/>
  <c r="E100" i="30" s="1"/>
  <c r="I14" i="30" l="1"/>
  <c r="H14" i="30"/>
  <c r="G14" i="30"/>
  <c r="G21" i="30" l="1"/>
  <c r="H21" i="30"/>
  <c r="I21" i="30"/>
  <c r="Q14" i="30"/>
  <c r="H28" i="30" l="1"/>
  <c r="I28" i="30"/>
  <c r="G28" i="30"/>
  <c r="Q21" i="30"/>
  <c r="R14" i="30"/>
  <c r="H35" i="30" l="1"/>
  <c r="I35" i="30"/>
  <c r="G35" i="30"/>
  <c r="Q28" i="30"/>
  <c r="R21" i="30"/>
  <c r="P14" i="30"/>
  <c r="S14" i="30"/>
  <c r="J14" i="30"/>
  <c r="G42" i="30" l="1"/>
  <c r="H42" i="30"/>
  <c r="I42" i="30"/>
  <c r="Q35" i="30"/>
  <c r="J21" i="30"/>
  <c r="S21" i="30"/>
  <c r="R28" i="30"/>
  <c r="P21" i="30"/>
  <c r="H49" i="30" l="1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52" i="3" l="1"/>
  <c r="D33" i="2"/>
  <c r="C12" i="2"/>
  <c r="E12" i="2" s="1"/>
  <c r="C13" i="3"/>
  <c r="E13" i="3" s="1"/>
  <c r="I109" i="3"/>
  <c r="L109" i="3" s="1"/>
  <c r="I91" i="3"/>
  <c r="C127" i="3"/>
  <c r="I111" i="3"/>
  <c r="L111" i="3" s="1"/>
  <c r="D35" i="2"/>
  <c r="C14" i="2"/>
  <c r="E14" i="2" s="1"/>
  <c r="F54" i="3"/>
  <c r="C15" i="3"/>
  <c r="E15" i="3" s="1"/>
  <c r="C129" i="3"/>
  <c r="I93" i="3"/>
  <c r="S49" i="30"/>
  <c r="J49" i="30"/>
  <c r="P49" i="30"/>
  <c r="F28" i="34" l="1"/>
  <c r="F30" i="34"/>
  <c r="I110" i="3"/>
  <c r="L110" i="3" s="1"/>
  <c r="C13" i="2"/>
  <c r="E13" i="2" s="1"/>
  <c r="C14" i="3"/>
  <c r="E14" i="3" s="1"/>
  <c r="I92" i="3"/>
  <c r="D34" i="2"/>
  <c r="C128" i="3"/>
  <c r="E91" i="30"/>
  <c r="D91" i="30"/>
  <c r="F51" i="3"/>
  <c r="C12" i="3"/>
  <c r="E12" i="3" s="1"/>
  <c r="C11" i="2"/>
  <c r="E11" i="2" s="1"/>
  <c r="I108" i="3"/>
  <c r="I90" i="3"/>
  <c r="D32" i="2"/>
  <c r="C126" i="3"/>
  <c r="F129" i="3"/>
  <c r="E129" i="3"/>
  <c r="G129" i="3"/>
  <c r="D129" i="3"/>
  <c r="H129" i="3" s="1"/>
  <c r="K93" i="30"/>
  <c r="J93" i="30"/>
  <c r="J91" i="30"/>
  <c r="K91" i="30"/>
  <c r="E93" i="30"/>
  <c r="D93" i="30"/>
  <c r="G127" i="3"/>
  <c r="E127" i="3"/>
  <c r="D127" i="3"/>
  <c r="H127" i="3" s="1"/>
  <c r="F127" i="3"/>
  <c r="T14" i="30"/>
  <c r="K14" i="30"/>
  <c r="C36" i="34" l="1"/>
  <c r="I96" i="3"/>
  <c r="E18" i="3"/>
  <c r="E17" i="2"/>
  <c r="K114" i="30"/>
  <c r="I124" i="3"/>
  <c r="J123" i="3" s="1"/>
  <c r="N14" i="30"/>
  <c r="E14" i="30"/>
  <c r="E90" i="30"/>
  <c r="D90" i="30"/>
  <c r="D128" i="3"/>
  <c r="H128" i="3" s="1"/>
  <c r="E128" i="3"/>
  <c r="G128" i="3"/>
  <c r="F128" i="3"/>
  <c r="F27" i="34"/>
  <c r="B36" i="34"/>
  <c r="J92" i="30"/>
  <c r="K92" i="30"/>
  <c r="D92" i="30"/>
  <c r="E92" i="30"/>
  <c r="L108" i="3"/>
  <c r="I114" i="3"/>
  <c r="K90" i="30"/>
  <c r="J90" i="30"/>
  <c r="G126" i="3"/>
  <c r="F126" i="3"/>
  <c r="B161" i="3" s="1"/>
  <c r="E20" i="14" s="1"/>
  <c r="E126" i="3"/>
  <c r="D126" i="3"/>
  <c r="H126" i="3" s="1"/>
  <c r="K21" i="30"/>
  <c r="T21" i="30"/>
  <c r="O14" i="30"/>
  <c r="F14" i="30"/>
  <c r="L114" i="3" l="1"/>
  <c r="H74" i="14"/>
  <c r="F29" i="34"/>
  <c r="F36" i="34" s="1"/>
  <c r="C11" i="34"/>
  <c r="E11" i="34" s="1"/>
  <c r="T19" i="30"/>
  <c r="G132" i="3"/>
  <c r="C15" i="20"/>
  <c r="F19" i="30"/>
  <c r="O19" i="30"/>
  <c r="K115" i="30"/>
  <c r="I125" i="3"/>
  <c r="J124" i="3" s="1"/>
  <c r="E21" i="30"/>
  <c r="N21" i="30"/>
  <c r="E19" i="30"/>
  <c r="L17" i="30"/>
  <c r="L15" i="30"/>
  <c r="L18" i="30"/>
  <c r="L16" i="30"/>
  <c r="H19" i="30"/>
  <c r="G19" i="30"/>
  <c r="I19" i="30"/>
  <c r="J19" i="30"/>
  <c r="K19" i="30"/>
  <c r="U17" i="30"/>
  <c r="U15" i="30"/>
  <c r="M88" i="30" s="1"/>
  <c r="N19" i="30"/>
  <c r="U16" i="30"/>
  <c r="U18" i="30"/>
  <c r="Q19" i="30"/>
  <c r="R19" i="30"/>
  <c r="P19" i="30"/>
  <c r="S19" i="30"/>
  <c r="F132" i="3"/>
  <c r="K28" i="30"/>
  <c r="K116" i="30"/>
  <c r="T28" i="30"/>
  <c r="O21" i="30"/>
  <c r="F21" i="30"/>
  <c r="B68" i="14" l="1"/>
  <c r="K74" i="14"/>
  <c r="D35" i="41"/>
  <c r="D36" i="41" s="1"/>
  <c r="C17" i="20"/>
  <c r="B3" i="20" s="1"/>
  <c r="D11" i="41"/>
  <c r="C189" i="1"/>
  <c r="W15" i="30"/>
  <c r="D66" i="3" s="1"/>
  <c r="F15" i="20"/>
  <c r="F17" i="20" s="1"/>
  <c r="AA101" i="30"/>
  <c r="W101" i="30"/>
  <c r="U101" i="30"/>
  <c r="S101" i="30"/>
  <c r="Q101" i="30"/>
  <c r="Y101" i="30"/>
  <c r="O101" i="30"/>
  <c r="V15" i="30"/>
  <c r="O26" i="30"/>
  <c r="F26" i="30"/>
  <c r="O88" i="30"/>
  <c r="E101" i="30" s="1"/>
  <c r="K26" i="30"/>
  <c r="V16" i="30"/>
  <c r="D28" i="3" s="1"/>
  <c r="I126" i="3"/>
  <c r="J125" i="3" s="1"/>
  <c r="N28" i="30"/>
  <c r="V18" i="30"/>
  <c r="L88" i="30"/>
  <c r="N88" i="30" s="1"/>
  <c r="D101" i="30" s="1"/>
  <c r="E28" i="30"/>
  <c r="T26" i="30"/>
  <c r="U25" i="30"/>
  <c r="U22" i="30"/>
  <c r="M89" i="30" s="1"/>
  <c r="N26" i="30"/>
  <c r="U23" i="30"/>
  <c r="U24" i="30"/>
  <c r="Q26" i="30"/>
  <c r="R26" i="30"/>
  <c r="P26" i="30"/>
  <c r="S26" i="30"/>
  <c r="L24" i="30"/>
  <c r="E26" i="30"/>
  <c r="L23" i="30"/>
  <c r="L22" i="30"/>
  <c r="L25" i="30"/>
  <c r="G26" i="30"/>
  <c r="I26" i="30"/>
  <c r="H26" i="30"/>
  <c r="J26" i="30"/>
  <c r="K35" i="30"/>
  <c r="T35" i="30"/>
  <c r="O28" i="30"/>
  <c r="F28" i="30"/>
  <c r="O102" i="30" l="1"/>
  <c r="D12" i="41"/>
  <c r="C188" i="1"/>
  <c r="D39" i="41"/>
  <c r="C3" i="20"/>
  <c r="W22" i="30"/>
  <c r="D67" i="3" s="1"/>
  <c r="W102" i="30"/>
  <c r="AA102" i="30"/>
  <c r="U102" i="30"/>
  <c r="S102" i="30"/>
  <c r="Y102" i="30"/>
  <c r="Q102" i="30"/>
  <c r="L89" i="30"/>
  <c r="N89" i="30" s="1"/>
  <c r="D102" i="30" s="1"/>
  <c r="V22" i="30"/>
  <c r="F33" i="30"/>
  <c r="O33" i="30"/>
  <c r="V23" i="30"/>
  <c r="D29" i="3" s="1"/>
  <c r="V25" i="30"/>
  <c r="O89" i="30"/>
  <c r="E102" i="30" s="1"/>
  <c r="K117" i="30"/>
  <c r="I127" i="3"/>
  <c r="J126" i="3" s="1"/>
  <c r="U29" i="30"/>
  <c r="M90" i="30" s="1"/>
  <c r="U31" i="30"/>
  <c r="G90" i="30" s="1"/>
  <c r="U32" i="30"/>
  <c r="U30" i="30"/>
  <c r="N33" i="30"/>
  <c r="Q33" i="30"/>
  <c r="R33" i="30"/>
  <c r="P33" i="30"/>
  <c r="S33" i="30"/>
  <c r="N35" i="30"/>
  <c r="L31" i="30"/>
  <c r="F90" i="30" s="1"/>
  <c r="L29" i="30"/>
  <c r="E33" i="30"/>
  <c r="L30" i="30"/>
  <c r="L32" i="30"/>
  <c r="G33" i="30"/>
  <c r="H33" i="30"/>
  <c r="I33" i="30"/>
  <c r="J33" i="30"/>
  <c r="T33" i="30"/>
  <c r="K33" i="30"/>
  <c r="E35" i="30"/>
  <c r="K42" i="30"/>
  <c r="T42" i="30"/>
  <c r="O35" i="30"/>
  <c r="F35" i="30"/>
  <c r="O103" i="30" l="1"/>
  <c r="D40" i="41"/>
  <c r="W29" i="30"/>
  <c r="D68" i="3" s="1"/>
  <c r="S103" i="30"/>
  <c r="AA103" i="30"/>
  <c r="U103" i="30"/>
  <c r="W103" i="30"/>
  <c r="Y103" i="30"/>
  <c r="Q103" i="30"/>
  <c r="L90" i="30"/>
  <c r="N90" i="30" s="1"/>
  <c r="D103" i="30" s="1"/>
  <c r="V29" i="30"/>
  <c r="V30" i="30"/>
  <c r="D30" i="3" s="1"/>
  <c r="K40" i="30"/>
  <c r="K118" i="30"/>
  <c r="I128" i="3"/>
  <c r="J127" i="3" s="1"/>
  <c r="F40" i="30"/>
  <c r="O40" i="30"/>
  <c r="V32" i="30"/>
  <c r="H90" i="30"/>
  <c r="B103" i="30" s="1"/>
  <c r="L36" i="30"/>
  <c r="L37" i="30"/>
  <c r="E40" i="30"/>
  <c r="L38" i="30"/>
  <c r="F91" i="30" s="1"/>
  <c r="L39" i="30"/>
  <c r="G40" i="30"/>
  <c r="H40" i="30"/>
  <c r="I40" i="30"/>
  <c r="J40" i="30"/>
  <c r="U37" i="30"/>
  <c r="U39" i="30"/>
  <c r="U36" i="30"/>
  <c r="M91" i="30" s="1"/>
  <c r="N40" i="30"/>
  <c r="U38" i="30"/>
  <c r="G91" i="30" s="1"/>
  <c r="Q40" i="30"/>
  <c r="R40" i="30"/>
  <c r="S40" i="30"/>
  <c r="P40" i="30"/>
  <c r="I90" i="30"/>
  <c r="C103" i="30" s="1"/>
  <c r="N42" i="30"/>
  <c r="E42" i="30"/>
  <c r="O90" i="30"/>
  <c r="E103" i="30" s="1"/>
  <c r="T40" i="30"/>
  <c r="K49" i="30"/>
  <c r="T49" i="30"/>
  <c r="F42" i="30"/>
  <c r="O42" i="30"/>
  <c r="W36" i="30" l="1"/>
  <c r="D69" i="3" s="1"/>
  <c r="O104" i="30"/>
  <c r="Y104" i="30"/>
  <c r="W104" i="30"/>
  <c r="AA104" i="30"/>
  <c r="U104" i="30"/>
  <c r="S104" i="30"/>
  <c r="Q104" i="30"/>
  <c r="L91" i="30"/>
  <c r="N91" i="30" s="1"/>
  <c r="D104" i="30" s="1"/>
  <c r="V36" i="30"/>
  <c r="F47" i="30"/>
  <c r="F103" i="30"/>
  <c r="Z9" i="32" s="1"/>
  <c r="AF9" i="32" s="1"/>
  <c r="V37" i="30"/>
  <c r="D31" i="3" s="1"/>
  <c r="K119" i="30"/>
  <c r="I129" i="3"/>
  <c r="O91" i="30"/>
  <c r="E104" i="30" s="1"/>
  <c r="V39" i="30"/>
  <c r="U43" i="30"/>
  <c r="M92" i="30" s="1"/>
  <c r="O92" i="30" s="1"/>
  <c r="E105" i="30" s="1"/>
  <c r="U46" i="30"/>
  <c r="N47" i="30"/>
  <c r="U44" i="30"/>
  <c r="U45" i="30"/>
  <c r="G92" i="30" s="1"/>
  <c r="Q47" i="30"/>
  <c r="R47" i="30"/>
  <c r="P47" i="30"/>
  <c r="S47" i="30"/>
  <c r="E49" i="30"/>
  <c r="H91" i="30"/>
  <c r="B104" i="30" s="1"/>
  <c r="O47" i="30"/>
  <c r="N49" i="30"/>
  <c r="L43" i="30"/>
  <c r="L45" i="30"/>
  <c r="F92" i="30" s="1"/>
  <c r="L44" i="30"/>
  <c r="L46" i="30"/>
  <c r="E47" i="30"/>
  <c r="G47" i="30"/>
  <c r="I47" i="30"/>
  <c r="H47" i="30"/>
  <c r="J47" i="30"/>
  <c r="I91" i="30"/>
  <c r="C104" i="30" s="1"/>
  <c r="C116" i="30"/>
  <c r="I103" i="30"/>
  <c r="K47" i="30"/>
  <c r="G103" i="30"/>
  <c r="AA9" i="32" s="1"/>
  <c r="AG9" i="32" s="1"/>
  <c r="H103" i="30"/>
  <c r="B116" i="30"/>
  <c r="T47" i="30"/>
  <c r="O49" i="30"/>
  <c r="F49" i="30"/>
  <c r="J128" i="3" l="1"/>
  <c r="K147" i="3" s="1"/>
  <c r="D116" i="30"/>
  <c r="AK9" i="32"/>
  <c r="AI9" i="32"/>
  <c r="AJ9" i="32"/>
  <c r="AH9" i="32"/>
  <c r="W43" i="30"/>
  <c r="D70" i="3" s="1"/>
  <c r="Y105" i="30"/>
  <c r="W105" i="30"/>
  <c r="S105" i="30"/>
  <c r="O105" i="30"/>
  <c r="AA105" i="30"/>
  <c r="U105" i="30"/>
  <c r="N103" i="30"/>
  <c r="Q105" i="30"/>
  <c r="L92" i="30"/>
  <c r="N92" i="30" s="1"/>
  <c r="D105" i="30" s="1"/>
  <c r="V43" i="30"/>
  <c r="O54" i="30"/>
  <c r="K54" i="30"/>
  <c r="BV9" i="32"/>
  <c r="CB9" i="32" s="1"/>
  <c r="CF9" i="32" s="1"/>
  <c r="J103" i="30"/>
  <c r="K103" i="30" s="1"/>
  <c r="N9" i="32"/>
  <c r="T9" i="32" s="1"/>
  <c r="X9" i="32" s="1"/>
  <c r="AX9" i="32"/>
  <c r="BD9" i="32" s="1"/>
  <c r="BJ9" i="32"/>
  <c r="BP9" i="32" s="1"/>
  <c r="BT9" i="32" s="1"/>
  <c r="AL9" i="32"/>
  <c r="AR9" i="32" s="1"/>
  <c r="B9" i="32"/>
  <c r="H9" i="32" s="1"/>
  <c r="H92" i="30"/>
  <c r="B105" i="30" s="1"/>
  <c r="I92" i="30"/>
  <c r="C105" i="30" s="1"/>
  <c r="G105" i="30" s="1"/>
  <c r="AA11" i="32" s="1"/>
  <c r="AG11" i="32" s="1"/>
  <c r="V44" i="30"/>
  <c r="D32" i="3" s="1"/>
  <c r="T54" i="30"/>
  <c r="V46" i="30"/>
  <c r="B117" i="30"/>
  <c r="H104" i="30"/>
  <c r="L53" i="30"/>
  <c r="E54" i="30"/>
  <c r="L52" i="30"/>
  <c r="F93" i="30" s="1"/>
  <c r="L50" i="30"/>
  <c r="L51" i="30"/>
  <c r="G54" i="30"/>
  <c r="H54" i="30"/>
  <c r="I54" i="30"/>
  <c r="J54" i="30"/>
  <c r="I104" i="30"/>
  <c r="C117" i="30"/>
  <c r="C9" i="32"/>
  <c r="I9" i="32" s="1"/>
  <c r="BW9" i="32"/>
  <c r="CC9" i="32" s="1"/>
  <c r="CG9" i="32" s="1"/>
  <c r="AY9" i="32"/>
  <c r="BE9" i="32" s="1"/>
  <c r="BK9" i="32"/>
  <c r="BQ9" i="32" s="1"/>
  <c r="BU9" i="32" s="1"/>
  <c r="AM9" i="32"/>
  <c r="AS9" i="32" s="1"/>
  <c r="O9" i="32"/>
  <c r="L103" i="30"/>
  <c r="U50" i="30"/>
  <c r="M93" i="30" s="1"/>
  <c r="O93" i="30" s="1"/>
  <c r="E106" i="30" s="1"/>
  <c r="U53" i="30"/>
  <c r="U52" i="30"/>
  <c r="G93" i="30" s="1"/>
  <c r="U51" i="30"/>
  <c r="N54" i="30"/>
  <c r="Q54" i="30"/>
  <c r="R54" i="30"/>
  <c r="S54" i="30"/>
  <c r="P54" i="30"/>
  <c r="F104" i="30"/>
  <c r="F54" i="30"/>
  <c r="G104" i="30"/>
  <c r="L9" i="32" l="1"/>
  <c r="J9" i="32"/>
  <c r="M9" i="32"/>
  <c r="K9" i="32"/>
  <c r="J131" i="3"/>
  <c r="E15" i="14" s="1"/>
  <c r="H15" i="14" s="1"/>
  <c r="D87" i="30"/>
  <c r="E87" i="30"/>
  <c r="G87" i="30" s="1"/>
  <c r="I87" i="30" s="1"/>
  <c r="C100" i="30" s="1"/>
  <c r="C32" i="2"/>
  <c r="E32" i="2" s="1"/>
  <c r="F32" i="2" s="1"/>
  <c r="C30" i="3"/>
  <c r="G30" i="3" s="1"/>
  <c r="O30" i="3" s="1"/>
  <c r="P30" i="3" s="1"/>
  <c r="D117" i="30"/>
  <c r="E116" i="30"/>
  <c r="BI9" i="32"/>
  <c r="BG9" i="32"/>
  <c r="BH9" i="32"/>
  <c r="BF9" i="32"/>
  <c r="AW9" i="32"/>
  <c r="AU9" i="32"/>
  <c r="AV9" i="32"/>
  <c r="AT9" i="32"/>
  <c r="AK11" i="32"/>
  <c r="AI11" i="32"/>
  <c r="U9" i="32"/>
  <c r="Z10" i="32"/>
  <c r="AF10" i="32" s="1"/>
  <c r="N10" i="32"/>
  <c r="T10" i="32" s="1"/>
  <c r="X10" i="32" s="1"/>
  <c r="AA10" i="32"/>
  <c r="AG10" i="32" s="1"/>
  <c r="O10" i="32"/>
  <c r="U10" i="32" s="1"/>
  <c r="Y10" i="32" s="1"/>
  <c r="W50" i="30"/>
  <c r="D71" i="3" s="1"/>
  <c r="N104" i="30"/>
  <c r="T104" i="30" s="1"/>
  <c r="Y106" i="30"/>
  <c r="W106" i="30"/>
  <c r="AA106" i="30"/>
  <c r="U106" i="30"/>
  <c r="S106" i="30"/>
  <c r="O106" i="30"/>
  <c r="V103" i="30"/>
  <c r="Z103" i="30"/>
  <c r="AB103" i="30"/>
  <c r="T103" i="30"/>
  <c r="R103" i="30"/>
  <c r="P103" i="30"/>
  <c r="X103" i="30"/>
  <c r="Q106" i="30"/>
  <c r="F105" i="30"/>
  <c r="N11" i="32" s="1"/>
  <c r="T11" i="32" s="1"/>
  <c r="X11" i="32" s="1"/>
  <c r="L93" i="30"/>
  <c r="N93" i="30" s="1"/>
  <c r="D106" i="30" s="1"/>
  <c r="V50" i="30"/>
  <c r="H105" i="30"/>
  <c r="C118" i="30"/>
  <c r="I105" i="30"/>
  <c r="B118" i="30"/>
  <c r="I93" i="30"/>
  <c r="C106" i="30" s="1"/>
  <c r="I106" i="30" s="1"/>
  <c r="V53" i="30"/>
  <c r="V51" i="30"/>
  <c r="D33" i="3" s="1"/>
  <c r="L104" i="30"/>
  <c r="AL10" i="32"/>
  <c r="AR10" i="32" s="1"/>
  <c r="AX10" i="32"/>
  <c r="BD10" i="32" s="1"/>
  <c r="J104" i="30"/>
  <c r="K104" i="30" s="1"/>
  <c r="BJ10" i="32"/>
  <c r="BP10" i="32" s="1"/>
  <c r="BT10" i="32" s="1"/>
  <c r="B10" i="32"/>
  <c r="H10" i="32" s="1"/>
  <c r="BV10" i="32"/>
  <c r="CB10" i="32" s="1"/>
  <c r="CF10" i="32" s="1"/>
  <c r="C68" i="3"/>
  <c r="E68" i="3" s="1"/>
  <c r="F68" i="3" s="1"/>
  <c r="BW10" i="32"/>
  <c r="CC10" i="32" s="1"/>
  <c r="CG10" i="32" s="1"/>
  <c r="AM10" i="32"/>
  <c r="AS10" i="32" s="1"/>
  <c r="C10" i="32"/>
  <c r="I10" i="32" s="1"/>
  <c r="BK10" i="32"/>
  <c r="BQ10" i="32" s="1"/>
  <c r="BU10" i="32" s="1"/>
  <c r="AY10" i="32"/>
  <c r="BE10" i="32" s="1"/>
  <c r="BK11" i="32"/>
  <c r="BQ11" i="32" s="1"/>
  <c r="BU11" i="32" s="1"/>
  <c r="O11" i="32"/>
  <c r="U11" i="32" s="1"/>
  <c r="Y11" i="32" s="1"/>
  <c r="C11" i="32"/>
  <c r="I11" i="32" s="1"/>
  <c r="BW11" i="32"/>
  <c r="CC11" i="32" s="1"/>
  <c r="CG11" i="32" s="1"/>
  <c r="AY11" i="32"/>
  <c r="BE11" i="32" s="1"/>
  <c r="AM11" i="32"/>
  <c r="AS11" i="32" s="1"/>
  <c r="H93" i="30"/>
  <c r="B106" i="30" s="1"/>
  <c r="M11" i="32" l="1"/>
  <c r="K11" i="32"/>
  <c r="L10" i="32"/>
  <c r="J10" i="32"/>
  <c r="M10" i="32"/>
  <c r="K10" i="32"/>
  <c r="G68" i="3"/>
  <c r="F87" i="30"/>
  <c r="H87" i="30" s="1"/>
  <c r="B100" i="30" s="1"/>
  <c r="I100" i="30"/>
  <c r="C113" i="30"/>
  <c r="G100" i="30"/>
  <c r="C33" i="2"/>
  <c r="E33" i="2" s="1"/>
  <c r="F33" i="2" s="1"/>
  <c r="C31" i="3"/>
  <c r="G31" i="3" s="1"/>
  <c r="O31" i="3" s="1"/>
  <c r="P31" i="3" s="1"/>
  <c r="D118" i="30"/>
  <c r="E118" i="30" s="1"/>
  <c r="CH9" i="32"/>
  <c r="P116" i="30"/>
  <c r="Q116" i="30" s="1"/>
  <c r="N116" i="30"/>
  <c r="O116" i="30" s="1"/>
  <c r="E117" i="30"/>
  <c r="BI10" i="32"/>
  <c r="BG10" i="32"/>
  <c r="BH10" i="32"/>
  <c r="BF10" i="32"/>
  <c r="BI11" i="32"/>
  <c r="BG11" i="32"/>
  <c r="AW11" i="32"/>
  <c r="AU11" i="32"/>
  <c r="AV10" i="32"/>
  <c r="AT10" i="32"/>
  <c r="AW10" i="32"/>
  <c r="AU10" i="32"/>
  <c r="AK10" i="32"/>
  <c r="AI10" i="32"/>
  <c r="AH10" i="32"/>
  <c r="AJ10" i="32"/>
  <c r="Y9" i="32"/>
  <c r="CI9" i="32" s="1"/>
  <c r="N105" i="30"/>
  <c r="V105" i="30" s="1"/>
  <c r="Z11" i="32"/>
  <c r="AF11" i="32" s="1"/>
  <c r="X104" i="30"/>
  <c r="Z104" i="30"/>
  <c r="L105" i="30"/>
  <c r="AL11" i="32"/>
  <c r="AR11" i="32" s="1"/>
  <c r="AX11" i="32"/>
  <c r="BD11" i="32" s="1"/>
  <c r="B11" i="32"/>
  <c r="H11" i="32" s="1"/>
  <c r="J105" i="30"/>
  <c r="K105" i="30" s="1"/>
  <c r="V104" i="30"/>
  <c r="F106" i="30"/>
  <c r="AB104" i="30"/>
  <c r="R104" i="30"/>
  <c r="P104" i="30"/>
  <c r="BJ11" i="32"/>
  <c r="BP11" i="32" s="1"/>
  <c r="BT11" i="32" s="1"/>
  <c r="BV11" i="32"/>
  <c r="CB11" i="32" s="1"/>
  <c r="CF11" i="32" s="1"/>
  <c r="G106" i="30"/>
  <c r="AA12" i="32" s="1"/>
  <c r="AG12" i="32" s="1"/>
  <c r="C119" i="30"/>
  <c r="H106" i="30"/>
  <c r="B119" i="30"/>
  <c r="L11" i="32" l="1"/>
  <c r="J11" i="32"/>
  <c r="H90" i="3"/>
  <c r="G90" i="3"/>
  <c r="B145" i="3"/>
  <c r="C145" i="3" s="1"/>
  <c r="G145" i="3" s="1"/>
  <c r="H108" i="3"/>
  <c r="G108" i="3"/>
  <c r="B113" i="30"/>
  <c r="D113" i="30" s="1"/>
  <c r="E113" i="30" s="1"/>
  <c r="F100" i="30"/>
  <c r="J100" i="30" s="1"/>
  <c r="K100" i="30" s="1"/>
  <c r="H100" i="30"/>
  <c r="C69" i="3"/>
  <c r="E69" i="3" s="1"/>
  <c r="F69" i="3" s="1"/>
  <c r="E94" i="30"/>
  <c r="G94" i="30" s="1"/>
  <c r="I94" i="30" s="1"/>
  <c r="C107" i="30" s="1"/>
  <c r="D94" i="30"/>
  <c r="F94" i="30" s="1"/>
  <c r="H94" i="30" s="1"/>
  <c r="B107" i="30" s="1"/>
  <c r="O6" i="32"/>
  <c r="U6" i="32" s="1"/>
  <c r="Y6" i="32" s="1"/>
  <c r="BK6" i="32"/>
  <c r="BQ6" i="32" s="1"/>
  <c r="BU6" i="32" s="1"/>
  <c r="AY6" i="32"/>
  <c r="BE6" i="32" s="1"/>
  <c r="AM6" i="32"/>
  <c r="AS6" i="32" s="1"/>
  <c r="AA6" i="32"/>
  <c r="AG6" i="32" s="1"/>
  <c r="BW6" i="32"/>
  <c r="CC6" i="32" s="1"/>
  <c r="CG6" i="32" s="1"/>
  <c r="C6" i="32"/>
  <c r="I6" i="32" s="1"/>
  <c r="C34" i="2"/>
  <c r="E34" i="2" s="1"/>
  <c r="F34" i="2" s="1"/>
  <c r="C32" i="3"/>
  <c r="D119" i="30"/>
  <c r="E119" i="30" s="1"/>
  <c r="R116" i="30"/>
  <c r="CI11" i="32"/>
  <c r="N118" i="30"/>
  <c r="P118" i="30"/>
  <c r="Q118" i="30" s="1"/>
  <c r="N117" i="30"/>
  <c r="O117" i="30" s="1"/>
  <c r="P117" i="30"/>
  <c r="Q117" i="30" s="1"/>
  <c r="BH11" i="32"/>
  <c r="BF11" i="32"/>
  <c r="AV11" i="32"/>
  <c r="AT11" i="32"/>
  <c r="AK12" i="32"/>
  <c r="AI12" i="32"/>
  <c r="AJ11" i="32"/>
  <c r="AH11" i="32"/>
  <c r="CH10" i="32"/>
  <c r="CI10" i="32"/>
  <c r="X105" i="30"/>
  <c r="T105" i="30"/>
  <c r="Z105" i="30"/>
  <c r="AB105" i="30"/>
  <c r="P105" i="30"/>
  <c r="R105" i="30"/>
  <c r="AX12" i="32"/>
  <c r="BD12" i="32" s="1"/>
  <c r="BF12" i="32" s="1"/>
  <c r="Z12" i="32"/>
  <c r="AF12" i="32" s="1"/>
  <c r="BV12" i="32"/>
  <c r="CB12" i="32" s="1"/>
  <c r="B12" i="32"/>
  <c r="H12" i="32" s="1"/>
  <c r="BJ12" i="32"/>
  <c r="BP12" i="32" s="1"/>
  <c r="AL12" i="32"/>
  <c r="AR12" i="32" s="1"/>
  <c r="AT12" i="32" s="1"/>
  <c r="J106" i="30"/>
  <c r="K106" i="30" s="1"/>
  <c r="N12" i="32"/>
  <c r="T12" i="32" s="1"/>
  <c r="X12" i="32" s="1"/>
  <c r="N106" i="30"/>
  <c r="O12" i="32"/>
  <c r="U12" i="32" s="1"/>
  <c r="Y12" i="32" s="1"/>
  <c r="C12" i="32"/>
  <c r="I12" i="32" s="1"/>
  <c r="BK12" i="32"/>
  <c r="BQ12" i="32" s="1"/>
  <c r="BU12" i="32" s="1"/>
  <c r="L106" i="30"/>
  <c r="AM12" i="32"/>
  <c r="AS12" i="32" s="1"/>
  <c r="BW12" i="32"/>
  <c r="CC12" i="32" s="1"/>
  <c r="CG12" i="32" s="1"/>
  <c r="AY12" i="32"/>
  <c r="BE12" i="32" s="1"/>
  <c r="L12" i="32" l="1"/>
  <c r="J12" i="32"/>
  <c r="M12" i="32"/>
  <c r="K12" i="32"/>
  <c r="M6" i="32"/>
  <c r="K6" i="32"/>
  <c r="F145" i="3"/>
  <c r="D145" i="3"/>
  <c r="H145" i="3" s="1"/>
  <c r="AL6" i="32"/>
  <c r="AR6" i="32" s="1"/>
  <c r="AV6" i="32" s="1"/>
  <c r="J90" i="3"/>
  <c r="E145" i="3"/>
  <c r="I145" i="3" s="1"/>
  <c r="J108" i="3"/>
  <c r="M108" i="3" s="1"/>
  <c r="L100" i="30"/>
  <c r="C27" i="3" s="1"/>
  <c r="G27" i="3" s="1"/>
  <c r="O27" i="3" s="1"/>
  <c r="P27" i="3" s="1"/>
  <c r="BJ6" i="32"/>
  <c r="BP6" i="32" s="1"/>
  <c r="BT6" i="32" s="1"/>
  <c r="B6" i="32"/>
  <c r="H6" i="32" s="1"/>
  <c r="G69" i="3"/>
  <c r="H91" i="3" s="1"/>
  <c r="BV6" i="32"/>
  <c r="CB6" i="32" s="1"/>
  <c r="CF6" i="32" s="1"/>
  <c r="N100" i="30"/>
  <c r="P100" i="30" s="1"/>
  <c r="AX6" i="32"/>
  <c r="BD6" i="32" s="1"/>
  <c r="BH6" i="32" s="1"/>
  <c r="N6" i="32"/>
  <c r="T6" i="32" s="1"/>
  <c r="X6" i="32" s="1"/>
  <c r="Z6" i="32"/>
  <c r="AF6" i="32" s="1"/>
  <c r="AJ6" i="32" s="1"/>
  <c r="AK6" i="32"/>
  <c r="AI6" i="32"/>
  <c r="C70" i="3"/>
  <c r="E70" i="3" s="1"/>
  <c r="F70" i="3" s="1"/>
  <c r="C29" i="2"/>
  <c r="BF6" i="32"/>
  <c r="F107" i="30"/>
  <c r="H107" i="30"/>
  <c r="B120" i="30"/>
  <c r="AW6" i="32"/>
  <c r="AU6" i="32"/>
  <c r="P113" i="30"/>
  <c r="Q113" i="30" s="1"/>
  <c r="N113" i="30"/>
  <c r="O113" i="30" s="1"/>
  <c r="AT6" i="32"/>
  <c r="I107" i="30"/>
  <c r="C120" i="30"/>
  <c r="G107" i="30"/>
  <c r="BI6" i="32"/>
  <c r="BG6" i="32"/>
  <c r="G32" i="3"/>
  <c r="O32" i="3" s="1"/>
  <c r="P32" i="3" s="1"/>
  <c r="C35" i="2"/>
  <c r="E35" i="2" s="1"/>
  <c r="F35" i="2" s="1"/>
  <c r="C33" i="3"/>
  <c r="G33" i="3" s="1"/>
  <c r="O33" i="3" s="1"/>
  <c r="P33" i="3" s="1"/>
  <c r="R117" i="30"/>
  <c r="P119" i="30"/>
  <c r="Q119" i="30" s="1"/>
  <c r="N119" i="30"/>
  <c r="O119" i="30" s="1"/>
  <c r="CH11" i="32"/>
  <c r="BI12" i="32"/>
  <c r="BG12" i="32"/>
  <c r="AW12" i="32"/>
  <c r="AU12" i="32"/>
  <c r="BH12" i="32"/>
  <c r="AV12" i="32"/>
  <c r="AJ12" i="32"/>
  <c r="AH12" i="32"/>
  <c r="CF12" i="32"/>
  <c r="BT12" i="32"/>
  <c r="Z106" i="30"/>
  <c r="X106" i="30"/>
  <c r="V106" i="30"/>
  <c r="P106" i="30"/>
  <c r="T106" i="30"/>
  <c r="R106" i="30"/>
  <c r="AB106" i="30"/>
  <c r="O118" i="30"/>
  <c r="R118" i="30" s="1"/>
  <c r="L6" i="32" l="1"/>
  <c r="CH6" i="32" s="1"/>
  <c r="J6" i="32"/>
  <c r="J144" i="3"/>
  <c r="V100" i="30"/>
  <c r="Z100" i="30"/>
  <c r="AB100" i="30"/>
  <c r="X100" i="30"/>
  <c r="R100" i="30"/>
  <c r="G70" i="3"/>
  <c r="G110" i="3" s="1"/>
  <c r="T100" i="30"/>
  <c r="AH6" i="32"/>
  <c r="CI6" i="32"/>
  <c r="G91" i="3"/>
  <c r="J91" i="3" s="1"/>
  <c r="D120" i="30"/>
  <c r="E120" i="30" s="1"/>
  <c r="G109" i="3"/>
  <c r="H109" i="3"/>
  <c r="B146" i="3"/>
  <c r="C146" i="3" s="1"/>
  <c r="C71" i="3"/>
  <c r="E71" i="3" s="1"/>
  <c r="F71" i="3" s="1"/>
  <c r="R113" i="30"/>
  <c r="D88" i="30"/>
  <c r="F88" i="30" s="1"/>
  <c r="H88" i="30" s="1"/>
  <c r="B101" i="30" s="1"/>
  <c r="E88" i="30"/>
  <c r="G88" i="30" s="1"/>
  <c r="I88" i="30" s="1"/>
  <c r="C101" i="30" s="1"/>
  <c r="AA13" i="32"/>
  <c r="AG13" i="32" s="1"/>
  <c r="BK13" i="32"/>
  <c r="BQ13" i="32" s="1"/>
  <c r="BU13" i="32" s="1"/>
  <c r="AY13" i="32"/>
  <c r="BE13" i="32" s="1"/>
  <c r="AM13" i="32"/>
  <c r="AS13" i="32" s="1"/>
  <c r="O13" i="32"/>
  <c r="U13" i="32" s="1"/>
  <c r="Y13" i="32" s="1"/>
  <c r="BW13" i="32"/>
  <c r="CC13" i="32" s="1"/>
  <c r="CG13" i="32" s="1"/>
  <c r="C13" i="32"/>
  <c r="I13" i="32" s="1"/>
  <c r="Z13" i="32"/>
  <c r="AF13" i="32" s="1"/>
  <c r="AL13" i="32"/>
  <c r="AR13" i="32" s="1"/>
  <c r="N13" i="32"/>
  <c r="T13" i="32" s="1"/>
  <c r="X13" i="32" s="1"/>
  <c r="N107" i="30"/>
  <c r="BV13" i="32"/>
  <c r="CB13" i="32" s="1"/>
  <c r="CF13" i="32" s="1"/>
  <c r="J107" i="30"/>
  <c r="K107" i="30" s="1"/>
  <c r="BJ13" i="32"/>
  <c r="BP13" i="32" s="1"/>
  <c r="BT13" i="32" s="1"/>
  <c r="B13" i="32"/>
  <c r="H13" i="32" s="1"/>
  <c r="AX13" i="32"/>
  <c r="BD13" i="32" s="1"/>
  <c r="E29" i="2"/>
  <c r="F29" i="2" s="1"/>
  <c r="C65" i="3"/>
  <c r="E65" i="3" s="1"/>
  <c r="F65" i="3" s="1"/>
  <c r="R119" i="30"/>
  <c r="W16" i="32"/>
  <c r="V16" i="32"/>
  <c r="M13" i="32" l="1"/>
  <c r="K13" i="32"/>
  <c r="L13" i="32"/>
  <c r="J13" i="32"/>
  <c r="G71" i="3"/>
  <c r="G65" i="3"/>
  <c r="H110" i="3"/>
  <c r="J110" i="3" s="1"/>
  <c r="M110" i="3" s="1"/>
  <c r="G92" i="3"/>
  <c r="H92" i="3"/>
  <c r="B147" i="3"/>
  <c r="C147" i="3" s="1"/>
  <c r="AK13" i="32"/>
  <c r="AI13" i="32"/>
  <c r="AJ13" i="32"/>
  <c r="AH13" i="32"/>
  <c r="N120" i="30"/>
  <c r="O120" i="30" s="1"/>
  <c r="P120" i="30"/>
  <c r="D9" i="34" s="1"/>
  <c r="F9" i="34" s="1"/>
  <c r="E146" i="3"/>
  <c r="I146" i="3" s="1"/>
  <c r="G146" i="3"/>
  <c r="D146" i="3"/>
  <c r="H146" i="3" s="1"/>
  <c r="F146" i="3"/>
  <c r="J109" i="3"/>
  <c r="M109" i="3" s="1"/>
  <c r="C9" i="34"/>
  <c r="E9" i="34" s="1"/>
  <c r="BH13" i="32"/>
  <c r="BF13" i="32"/>
  <c r="AU13" i="32"/>
  <c r="AW13" i="32"/>
  <c r="G101" i="30"/>
  <c r="AA7" i="32" s="1"/>
  <c r="I101" i="30"/>
  <c r="C114" i="30"/>
  <c r="T107" i="30"/>
  <c r="P107" i="30"/>
  <c r="R107" i="30"/>
  <c r="X107" i="30"/>
  <c r="AB107" i="30"/>
  <c r="Z107" i="30"/>
  <c r="V107" i="30"/>
  <c r="BG13" i="32"/>
  <c r="BI13" i="32"/>
  <c r="H101" i="30"/>
  <c r="B114" i="30"/>
  <c r="F101" i="30"/>
  <c r="C36" i="2"/>
  <c r="L107" i="30"/>
  <c r="C34" i="3" s="1"/>
  <c r="AV13" i="32"/>
  <c r="AT13" i="32"/>
  <c r="E73" i="41"/>
  <c r="CI12" i="32"/>
  <c r="C25" i="11" l="1"/>
  <c r="K25" i="11" s="1"/>
  <c r="Q120" i="30"/>
  <c r="R120" i="30" s="1"/>
  <c r="G87" i="3"/>
  <c r="G105" i="3"/>
  <c r="H105" i="3"/>
  <c r="H87" i="3"/>
  <c r="B142" i="3"/>
  <c r="C142" i="3" s="1"/>
  <c r="D142" i="3" s="1"/>
  <c r="H142" i="3" s="1"/>
  <c r="H93" i="3"/>
  <c r="B148" i="3"/>
  <c r="C148" i="3" s="1"/>
  <c r="D148" i="3" s="1"/>
  <c r="H148" i="3" s="1"/>
  <c r="G93" i="3"/>
  <c r="H111" i="3"/>
  <c r="G111" i="3"/>
  <c r="J92" i="3"/>
  <c r="E147" i="3"/>
  <c r="I147" i="3" s="1"/>
  <c r="G147" i="3"/>
  <c r="F147" i="3"/>
  <c r="D147" i="3"/>
  <c r="H147" i="3" s="1"/>
  <c r="CI13" i="32"/>
  <c r="CH13" i="32"/>
  <c r="D114" i="30"/>
  <c r="E114" i="30" s="1"/>
  <c r="P114" i="30" s="1"/>
  <c r="J145" i="3"/>
  <c r="D95" i="30"/>
  <c r="F95" i="30" s="1"/>
  <c r="H95" i="30" s="1"/>
  <c r="B108" i="30" s="1"/>
  <c r="E95" i="30"/>
  <c r="G95" i="30" s="1"/>
  <c r="I95" i="30" s="1"/>
  <c r="C108" i="30" s="1"/>
  <c r="G34" i="3"/>
  <c r="O34" i="3" s="1"/>
  <c r="P34" i="3" s="1"/>
  <c r="C72" i="3"/>
  <c r="E72" i="3" s="1"/>
  <c r="F72" i="3" s="1"/>
  <c r="Z7" i="32"/>
  <c r="N101" i="30"/>
  <c r="N7" i="32"/>
  <c r="L101" i="30"/>
  <c r="BJ7" i="32"/>
  <c r="J101" i="30"/>
  <c r="K101" i="30" s="1"/>
  <c r="AL7" i="32"/>
  <c r="B7" i="32"/>
  <c r="AX7" i="32"/>
  <c r="BV7" i="32"/>
  <c r="O7" i="32"/>
  <c r="BK7" i="32"/>
  <c r="AM7" i="32"/>
  <c r="BW7" i="32"/>
  <c r="C7" i="32"/>
  <c r="AY7" i="32"/>
  <c r="CH12" i="32"/>
  <c r="N25" i="11" l="1"/>
  <c r="Q25" i="11" s="1"/>
  <c r="R25" i="11" s="1"/>
  <c r="G148" i="3"/>
  <c r="J111" i="3"/>
  <c r="M111" i="3" s="1"/>
  <c r="F142" i="3"/>
  <c r="J93" i="3"/>
  <c r="J147" i="3" s="1"/>
  <c r="E148" i="3"/>
  <c r="I148" i="3" s="1"/>
  <c r="F148" i="3"/>
  <c r="G142" i="3"/>
  <c r="J87" i="3"/>
  <c r="J105" i="3"/>
  <c r="M105" i="3" s="1"/>
  <c r="E142" i="3"/>
  <c r="I142" i="3" s="1"/>
  <c r="G72" i="3"/>
  <c r="J146" i="3"/>
  <c r="N114" i="30"/>
  <c r="O114" i="30" s="1"/>
  <c r="AG7" i="32"/>
  <c r="AI7" i="32" s="1"/>
  <c r="BD7" i="32"/>
  <c r="BP7" i="32"/>
  <c r="AS7" i="32"/>
  <c r="Q114" i="30"/>
  <c r="H7" i="32"/>
  <c r="J7" i="32" s="1"/>
  <c r="C30" i="2"/>
  <c r="C28" i="3"/>
  <c r="G28" i="3" s="1"/>
  <c r="O28" i="3" s="1"/>
  <c r="P28" i="3" s="1"/>
  <c r="I108" i="30"/>
  <c r="G108" i="30"/>
  <c r="C121" i="30"/>
  <c r="BE7" i="32"/>
  <c r="BQ7" i="32"/>
  <c r="AR7" i="32"/>
  <c r="T7" i="32"/>
  <c r="B121" i="30"/>
  <c r="H108" i="30"/>
  <c r="F108" i="30"/>
  <c r="CC7" i="32"/>
  <c r="AF7" i="32"/>
  <c r="AH7" i="32" s="1"/>
  <c r="I7" i="32"/>
  <c r="K7" i="32" s="1"/>
  <c r="U7" i="32"/>
  <c r="CB7" i="32"/>
  <c r="R101" i="30"/>
  <c r="Z101" i="30"/>
  <c r="X101" i="30"/>
  <c r="P101" i="30"/>
  <c r="AB101" i="30"/>
  <c r="T101" i="30"/>
  <c r="V101" i="30"/>
  <c r="J141" i="3" l="1"/>
  <c r="H94" i="3"/>
  <c r="G112" i="3"/>
  <c r="G94" i="3"/>
  <c r="B149" i="3"/>
  <c r="C149" i="3" s="1"/>
  <c r="G149" i="3" s="1"/>
  <c r="H112" i="3"/>
  <c r="D121" i="30"/>
  <c r="E121" i="30" s="1"/>
  <c r="N121" i="30" s="1"/>
  <c r="O121" i="30" s="1"/>
  <c r="CF7" i="32"/>
  <c r="M7" i="32"/>
  <c r="L7" i="32"/>
  <c r="CG7" i="32"/>
  <c r="AV7" i="32"/>
  <c r="AT7" i="32"/>
  <c r="BI7" i="32"/>
  <c r="BG7" i="32"/>
  <c r="AA14" i="32"/>
  <c r="AG14" i="32" s="1"/>
  <c r="O14" i="32"/>
  <c r="U14" i="32" s="1"/>
  <c r="Y14" i="32" s="1"/>
  <c r="BK14" i="32"/>
  <c r="BQ14" i="32" s="1"/>
  <c r="BU14" i="32" s="1"/>
  <c r="AY14" i="32"/>
  <c r="BE14" i="32" s="1"/>
  <c r="BW14" i="32"/>
  <c r="CC14" i="32" s="1"/>
  <c r="CG14" i="32" s="1"/>
  <c r="AM14" i="32"/>
  <c r="AS14" i="32" s="1"/>
  <c r="C14" i="32"/>
  <c r="I14" i="32" s="1"/>
  <c r="AW7" i="32"/>
  <c r="AU7" i="32"/>
  <c r="BH7" i="32"/>
  <c r="BF7" i="32"/>
  <c r="E89" i="30"/>
  <c r="G89" i="30" s="1"/>
  <c r="I89" i="30" s="1"/>
  <c r="C102" i="30" s="1"/>
  <c r="D89" i="30"/>
  <c r="F89" i="30" s="1"/>
  <c r="H89" i="30" s="1"/>
  <c r="B102" i="30" s="1"/>
  <c r="Y7" i="32"/>
  <c r="Z14" i="32"/>
  <c r="AF14" i="32" s="1"/>
  <c r="N108" i="30"/>
  <c r="B14" i="32"/>
  <c r="H14" i="32" s="1"/>
  <c r="BV14" i="32"/>
  <c r="CB14" i="32" s="1"/>
  <c r="CF14" i="32" s="1"/>
  <c r="AX14" i="32"/>
  <c r="BD14" i="32" s="1"/>
  <c r="N14" i="32"/>
  <c r="T14" i="32" s="1"/>
  <c r="X14" i="32" s="1"/>
  <c r="J108" i="30"/>
  <c r="K108" i="30" s="1"/>
  <c r="BJ14" i="32"/>
  <c r="BP14" i="32" s="1"/>
  <c r="BT14" i="32" s="1"/>
  <c r="AL14" i="32"/>
  <c r="AR14" i="32" s="1"/>
  <c r="C66" i="3"/>
  <c r="E66" i="3" s="1"/>
  <c r="F66" i="3" s="1"/>
  <c r="E30" i="2"/>
  <c r="F30" i="2" s="1"/>
  <c r="AJ7" i="32"/>
  <c r="X7" i="32"/>
  <c r="BU7" i="32"/>
  <c r="R114" i="30"/>
  <c r="BT7" i="32"/>
  <c r="AK7" i="32"/>
  <c r="L14" i="32" l="1"/>
  <c r="J14" i="32"/>
  <c r="M14" i="32"/>
  <c r="K14" i="32"/>
  <c r="J94" i="3"/>
  <c r="J148" i="3" s="1"/>
  <c r="E149" i="3"/>
  <c r="I149" i="3" s="1"/>
  <c r="D149" i="3"/>
  <c r="H149" i="3" s="1"/>
  <c r="J112" i="3"/>
  <c r="F149" i="3"/>
  <c r="G66" i="3"/>
  <c r="P121" i="30"/>
  <c r="D10" i="34" s="1"/>
  <c r="F10" i="34" s="1"/>
  <c r="AJ14" i="32"/>
  <c r="AH14" i="32"/>
  <c r="AK14" i="32"/>
  <c r="AI14" i="32"/>
  <c r="C10" i="34"/>
  <c r="E10" i="34" s="1"/>
  <c r="AV14" i="32"/>
  <c r="AT14" i="32"/>
  <c r="BH14" i="32"/>
  <c r="BF14" i="32"/>
  <c r="G102" i="30"/>
  <c r="C115" i="30"/>
  <c r="I102" i="30"/>
  <c r="CH7" i="32"/>
  <c r="AU14" i="32"/>
  <c r="AW14" i="32"/>
  <c r="CI7" i="32"/>
  <c r="L108" i="30"/>
  <c r="C35" i="3" s="1"/>
  <c r="G35" i="3" s="1"/>
  <c r="O35" i="3" s="1"/>
  <c r="P35" i="3" s="1"/>
  <c r="C37" i="2"/>
  <c r="C73" i="3" s="1"/>
  <c r="E73" i="3" s="1"/>
  <c r="F73" i="3" s="1"/>
  <c r="AB108" i="30"/>
  <c r="Z108" i="30"/>
  <c r="V108" i="30"/>
  <c r="R108" i="30"/>
  <c r="T108" i="30"/>
  <c r="X108" i="30"/>
  <c r="P108" i="30"/>
  <c r="B115" i="30"/>
  <c r="H102" i="30"/>
  <c r="F102" i="30"/>
  <c r="BI14" i="32"/>
  <c r="BG14" i="32"/>
  <c r="Q121" i="30" l="1"/>
  <c r="R121" i="30" s="1"/>
  <c r="H88" i="3"/>
  <c r="G88" i="3"/>
  <c r="B143" i="3"/>
  <c r="C143" i="3" s="1"/>
  <c r="E143" i="3" s="1"/>
  <c r="I143" i="3" s="1"/>
  <c r="G106" i="3"/>
  <c r="H106" i="3"/>
  <c r="G73" i="3"/>
  <c r="D115" i="30"/>
  <c r="E115" i="30" s="1"/>
  <c r="E122" i="30" s="1"/>
  <c r="B20" i="20" s="1"/>
  <c r="CH14" i="32"/>
  <c r="CI14" i="32"/>
  <c r="AA8" i="32"/>
  <c r="BW8" i="32"/>
  <c r="C8" i="32"/>
  <c r="O8" i="32"/>
  <c r="AY8" i="32"/>
  <c r="AM8" i="32"/>
  <c r="BK8" i="32"/>
  <c r="Z8" i="32"/>
  <c r="N8" i="32"/>
  <c r="B8" i="32"/>
  <c r="BJ8" i="32"/>
  <c r="BV8" i="32"/>
  <c r="J102" i="30"/>
  <c r="K102" i="30" s="1"/>
  <c r="K109" i="30" s="1"/>
  <c r="N102" i="30"/>
  <c r="AL8" i="32"/>
  <c r="AX8" i="32"/>
  <c r="L102" i="30"/>
  <c r="G143" i="3" l="1"/>
  <c r="F143" i="3"/>
  <c r="J106" i="3"/>
  <c r="M106" i="3" s="1"/>
  <c r="J88" i="3"/>
  <c r="D143" i="3"/>
  <c r="H143" i="3" s="1"/>
  <c r="H95" i="3"/>
  <c r="G95" i="3"/>
  <c r="B150" i="3"/>
  <c r="C150" i="3" s="1"/>
  <c r="D150" i="3" s="1"/>
  <c r="H150" i="3" s="1"/>
  <c r="H113" i="3"/>
  <c r="G113" i="3"/>
  <c r="C8" i="34"/>
  <c r="P115" i="30"/>
  <c r="Q115" i="30" s="1"/>
  <c r="Q122" i="30" s="1"/>
  <c r="N115" i="30"/>
  <c r="N122" i="30" s="1"/>
  <c r="P102" i="30"/>
  <c r="V102" i="30"/>
  <c r="Z102" i="30"/>
  <c r="AB102" i="30"/>
  <c r="X102" i="30"/>
  <c r="T102" i="30"/>
  <c r="R102" i="30"/>
  <c r="N109" i="30"/>
  <c r="H8" i="32"/>
  <c r="J8" i="32" s="1"/>
  <c r="J16" i="32" s="1"/>
  <c r="B15" i="32"/>
  <c r="C17" i="29" s="1"/>
  <c r="AS8" i="32"/>
  <c r="AM15" i="32"/>
  <c r="D20" i="29" s="1"/>
  <c r="CC8" i="32"/>
  <c r="BW15" i="32"/>
  <c r="D23" i="29" s="1"/>
  <c r="C31" i="2"/>
  <c r="C29" i="3"/>
  <c r="T8" i="32"/>
  <c r="N15" i="32"/>
  <c r="C18" i="29" s="1"/>
  <c r="BE8" i="32"/>
  <c r="AY15" i="32"/>
  <c r="D21" i="29" s="1"/>
  <c r="AG8" i="32"/>
  <c r="AI8" i="32" s="1"/>
  <c r="AI16" i="32" s="1"/>
  <c r="AA15" i="32"/>
  <c r="D19" i="29" s="1"/>
  <c r="BD8" i="32"/>
  <c r="AX15" i="32"/>
  <c r="C21" i="29" s="1"/>
  <c r="CB8" i="32"/>
  <c r="BV15" i="32"/>
  <c r="C23" i="29" s="1"/>
  <c r="AF8" i="32"/>
  <c r="AH8" i="32" s="1"/>
  <c r="AH16" i="32" s="1"/>
  <c r="Z15" i="32"/>
  <c r="C19" i="29" s="1"/>
  <c r="U8" i="32"/>
  <c r="O15" i="32"/>
  <c r="D18" i="29" s="1"/>
  <c r="AR8" i="32"/>
  <c r="AL15" i="32"/>
  <c r="C20" i="29" s="1"/>
  <c r="BP8" i="32"/>
  <c r="BJ15" i="32"/>
  <c r="C22" i="29" s="1"/>
  <c r="BQ8" i="32"/>
  <c r="BK15" i="32"/>
  <c r="D22" i="29" s="1"/>
  <c r="I8" i="32"/>
  <c r="K8" i="32" s="1"/>
  <c r="K16" i="32" s="1"/>
  <c r="C15" i="32"/>
  <c r="D17" i="29" s="1"/>
  <c r="G150" i="3"/>
  <c r="F154" i="3" s="1"/>
  <c r="E72" i="41" l="1"/>
  <c r="E150" i="3"/>
  <c r="I150" i="3" s="1"/>
  <c r="F150" i="3"/>
  <c r="D162" i="3" s="1"/>
  <c r="M21" i="14" s="1"/>
  <c r="P21" i="14" s="1"/>
  <c r="J95" i="3"/>
  <c r="J149" i="3" s="1"/>
  <c r="O115" i="30"/>
  <c r="O122" i="30" s="1"/>
  <c r="D8" i="34"/>
  <c r="F8" i="34" s="1"/>
  <c r="F18" i="34" s="1"/>
  <c r="J142" i="3"/>
  <c r="J113" i="3"/>
  <c r="M113" i="3" s="1"/>
  <c r="E8" i="34"/>
  <c r="E18" i="34" s="1"/>
  <c r="I15" i="17"/>
  <c r="I11" i="17"/>
  <c r="I14" i="17"/>
  <c r="I10" i="17"/>
  <c r="I13" i="17"/>
  <c r="I9" i="17"/>
  <c r="I12" i="17"/>
  <c r="E23" i="29"/>
  <c r="E74" i="41"/>
  <c r="P122" i="30"/>
  <c r="E19" i="29"/>
  <c r="D168" i="1" s="1"/>
  <c r="E21" i="29"/>
  <c r="E20" i="29"/>
  <c r="D169" i="1" s="1"/>
  <c r="M8" i="32"/>
  <c r="I16" i="32"/>
  <c r="Y8" i="32"/>
  <c r="Y16" i="32" s="1"/>
  <c r="D5" i="29" s="1"/>
  <c r="U16" i="32"/>
  <c r="CF8" i="32"/>
  <c r="CF16" i="32" s="1"/>
  <c r="C10" i="29" s="1"/>
  <c r="CB16" i="32"/>
  <c r="E162" i="3"/>
  <c r="E78" i="14" s="1"/>
  <c r="H78" i="14" s="1"/>
  <c r="K78" i="14" s="1"/>
  <c r="AT8" i="32"/>
  <c r="AT16" i="32" s="1"/>
  <c r="AV8" i="32"/>
  <c r="AR16" i="32"/>
  <c r="BI8" i="32"/>
  <c r="BI16" i="32" s="1"/>
  <c r="D8" i="29" s="1"/>
  <c r="BG8" i="32"/>
  <c r="BG16" i="32" s="1"/>
  <c r="BE16" i="32"/>
  <c r="G29" i="3"/>
  <c r="O29" i="3" s="1"/>
  <c r="P29" i="3" s="1"/>
  <c r="P36" i="3" s="1"/>
  <c r="C67" i="3"/>
  <c r="E67" i="3" s="1"/>
  <c r="F67" i="3" s="1"/>
  <c r="E31" i="2"/>
  <c r="F31" i="2" s="1"/>
  <c r="F38" i="2" s="1"/>
  <c r="AW8" i="32"/>
  <c r="AW16" i="32" s="1"/>
  <c r="D7" i="29" s="1"/>
  <c r="AU8" i="32"/>
  <c r="AU16" i="32" s="1"/>
  <c r="AS16" i="32"/>
  <c r="BU8" i="32"/>
  <c r="BU16" i="32" s="1"/>
  <c r="D9" i="29" s="1"/>
  <c r="BQ16" i="32"/>
  <c r="D24" i="29"/>
  <c r="E22" i="29"/>
  <c r="AJ8" i="32"/>
  <c r="AJ16" i="32" s="1"/>
  <c r="C6" i="29" s="1"/>
  <c r="AF16" i="32"/>
  <c r="BF8" i="32"/>
  <c r="BF16" i="32" s="1"/>
  <c r="BH8" i="32"/>
  <c r="BH16" i="32" s="1"/>
  <c r="C8" i="29" s="1"/>
  <c r="BD16" i="32"/>
  <c r="E18" i="29"/>
  <c r="E17" i="29"/>
  <c r="C24" i="29"/>
  <c r="BT8" i="32"/>
  <c r="BT16" i="32" s="1"/>
  <c r="C9" i="29" s="1"/>
  <c r="BP16" i="32"/>
  <c r="AK8" i="32"/>
  <c r="AK16" i="32" s="1"/>
  <c r="D6" i="29" s="1"/>
  <c r="AG16" i="32"/>
  <c r="X8" i="32"/>
  <c r="X16" i="32" s="1"/>
  <c r="C5" i="29" s="1"/>
  <c r="T16" i="32"/>
  <c r="CG8" i="32"/>
  <c r="CG16" i="32" s="1"/>
  <c r="D10" i="29" s="1"/>
  <c r="CC16" i="32"/>
  <c r="L8" i="32"/>
  <c r="L16" i="32" s="1"/>
  <c r="C4" i="29" s="1"/>
  <c r="H16" i="32"/>
  <c r="E19" i="34"/>
  <c r="R115" i="30" l="1"/>
  <c r="R122" i="30" s="1"/>
  <c r="E9" i="29"/>
  <c r="G67" i="3"/>
  <c r="C3" i="35"/>
  <c r="C171" i="1"/>
  <c r="D171" i="1"/>
  <c r="D167" i="1"/>
  <c r="D170" i="1"/>
  <c r="E8" i="29"/>
  <c r="E5" i="29"/>
  <c r="E76" i="41"/>
  <c r="E6" i="29"/>
  <c r="CH8" i="32"/>
  <c r="CH16" i="32" s="1"/>
  <c r="AV16" i="32"/>
  <c r="C7" i="29" s="1"/>
  <c r="E7" i="29" s="1"/>
  <c r="E75" i="41"/>
  <c r="E10" i="29"/>
  <c r="D166" i="1"/>
  <c r="E24" i="29"/>
  <c r="E25" i="29" s="1"/>
  <c r="CI8" i="32"/>
  <c r="CI16" i="32" s="1"/>
  <c r="M16" i="32"/>
  <c r="D4" i="29" s="1"/>
  <c r="D11" i="29" s="1"/>
  <c r="AV13" i="17"/>
  <c r="D44" i="41" l="1"/>
  <c r="E23" i="16"/>
  <c r="C206" i="1"/>
  <c r="C37" i="14"/>
  <c r="F37" i="14" s="1"/>
  <c r="D14" i="17"/>
  <c r="BY14" i="17" s="1"/>
  <c r="D77" i="41"/>
  <c r="I9" i="18"/>
  <c r="BI14" i="17" s="1"/>
  <c r="H89" i="3"/>
  <c r="G89" i="3"/>
  <c r="B144" i="3"/>
  <c r="C144" i="3" s="1"/>
  <c r="G144" i="3" s="1"/>
  <c r="F153" i="3" s="1"/>
  <c r="G107" i="3"/>
  <c r="H107" i="3"/>
  <c r="B44" i="34"/>
  <c r="C167" i="1"/>
  <c r="B40" i="34" s="1"/>
  <c r="C168" i="1"/>
  <c r="B41" i="34" s="1"/>
  <c r="C170" i="1"/>
  <c r="B43" i="34" s="1"/>
  <c r="C169" i="1"/>
  <c r="B42" i="34" s="1"/>
  <c r="C205" i="1"/>
  <c r="I8" i="18"/>
  <c r="BI13" i="17" s="1"/>
  <c r="C36" i="14"/>
  <c r="F36" i="14" s="1"/>
  <c r="D76" i="41"/>
  <c r="E22" i="16"/>
  <c r="D13" i="17"/>
  <c r="S13" i="17" s="1"/>
  <c r="E19" i="16"/>
  <c r="I5" i="18"/>
  <c r="BI10" i="17" s="1"/>
  <c r="C202" i="1"/>
  <c r="C22" i="11"/>
  <c r="C33" i="14"/>
  <c r="F33" i="14" s="1"/>
  <c r="D73" i="41"/>
  <c r="E79" i="41"/>
  <c r="D10" i="17"/>
  <c r="C34" i="14"/>
  <c r="F34" i="14" s="1"/>
  <c r="D11" i="17"/>
  <c r="E20" i="16"/>
  <c r="I6" i="18"/>
  <c r="BI11" i="17" s="1"/>
  <c r="D74" i="41"/>
  <c r="C203" i="1"/>
  <c r="E24" i="16"/>
  <c r="C38" i="14"/>
  <c r="F38" i="14" s="1"/>
  <c r="D78" i="41"/>
  <c r="D15" i="17"/>
  <c r="I10" i="18"/>
  <c r="BI15" i="17" s="1"/>
  <c r="C207" i="1"/>
  <c r="C11" i="29"/>
  <c r="C204" i="1"/>
  <c r="D12" i="17"/>
  <c r="I7" i="18"/>
  <c r="BI12" i="17" s="1"/>
  <c r="D75" i="41"/>
  <c r="E21" i="16"/>
  <c r="C35" i="14"/>
  <c r="F35" i="14" s="1"/>
  <c r="E4" i="29"/>
  <c r="AV12" i="17"/>
  <c r="AV15" i="17"/>
  <c r="AV14" i="17"/>
  <c r="AV10" i="17"/>
  <c r="AP11" i="17"/>
  <c r="AM10" i="17"/>
  <c r="AM11" i="17"/>
  <c r="AM12" i="17"/>
  <c r="AP14" i="17"/>
  <c r="AM13" i="17"/>
  <c r="AI14" i="17"/>
  <c r="AM14" i="17"/>
  <c r="AM15" i="17"/>
  <c r="AO10" i="17"/>
  <c r="AI10" i="17"/>
  <c r="AI12" i="17"/>
  <c r="AP10" i="17"/>
  <c r="AP15" i="17"/>
  <c r="AO12" i="17"/>
  <c r="AP12" i="17"/>
  <c r="AI13" i="17"/>
  <c r="AO11" i="17"/>
  <c r="AP13" i="17"/>
  <c r="AV11" i="17"/>
  <c r="AI11" i="17"/>
  <c r="AI15" i="17"/>
  <c r="C23" i="11" l="1"/>
  <c r="K23" i="11" s="1"/>
  <c r="F144" i="3"/>
  <c r="D161" i="3" s="1"/>
  <c r="M20" i="14" s="1"/>
  <c r="F57" i="14" s="1"/>
  <c r="BS14" i="17"/>
  <c r="K24" i="11"/>
  <c r="N24" i="11"/>
  <c r="Q24" i="11" s="1"/>
  <c r="R24" i="11" s="1"/>
  <c r="AS14" i="17"/>
  <c r="J89" i="3"/>
  <c r="J96" i="3" s="1"/>
  <c r="S14" i="17"/>
  <c r="BX13" i="17"/>
  <c r="U14" i="17"/>
  <c r="BX14" i="17"/>
  <c r="BZ14" i="17" s="1"/>
  <c r="D144" i="3"/>
  <c r="H144" i="3" s="1"/>
  <c r="J107" i="3"/>
  <c r="J114" i="3" s="1"/>
  <c r="B151" i="3"/>
  <c r="E144" i="3"/>
  <c r="I144" i="3" s="1"/>
  <c r="K14" i="10"/>
  <c r="C166" i="1"/>
  <c r="B39" i="34" s="1"/>
  <c r="BS13" i="17"/>
  <c r="AS13" i="17"/>
  <c r="U13" i="17"/>
  <c r="BY13" i="17"/>
  <c r="BS10" i="17"/>
  <c r="AS10" i="17"/>
  <c r="BX10" i="17"/>
  <c r="U10" i="17"/>
  <c r="S10" i="17"/>
  <c r="BY10" i="17"/>
  <c r="E10" i="11"/>
  <c r="H10" i="11" s="1"/>
  <c r="H13" i="11" s="1"/>
  <c r="D16" i="7" s="1"/>
  <c r="E16" i="7" s="1"/>
  <c r="AS12" i="17"/>
  <c r="BY12" i="17"/>
  <c r="U12" i="17"/>
  <c r="BS12" i="17"/>
  <c r="BX12" i="17"/>
  <c r="S12" i="17"/>
  <c r="BX15" i="17"/>
  <c r="U15" i="17"/>
  <c r="AS15" i="17"/>
  <c r="BY15" i="17"/>
  <c r="BS15" i="17"/>
  <c r="S15" i="17"/>
  <c r="BS11" i="17"/>
  <c r="AS11" i="17"/>
  <c r="S11" i="17"/>
  <c r="BY11" i="17"/>
  <c r="U11" i="17"/>
  <c r="BX11" i="17"/>
  <c r="E18" i="16"/>
  <c r="E26" i="16" s="1"/>
  <c r="C11" i="16" s="1"/>
  <c r="C201" i="1"/>
  <c r="I4" i="18"/>
  <c r="D72" i="41"/>
  <c r="D79" i="41" s="1"/>
  <c r="C32" i="14"/>
  <c r="F32" i="14" s="1"/>
  <c r="F39" i="14" s="1"/>
  <c r="D9" i="17"/>
  <c r="E11" i="29"/>
  <c r="D5" i="7" s="1"/>
  <c r="E5" i="7" s="1"/>
  <c r="C35" i="7" s="1"/>
  <c r="K22" i="11"/>
  <c r="N22" i="11"/>
  <c r="Q22" i="11" s="1"/>
  <c r="R22" i="11" s="1"/>
  <c r="C27" i="11"/>
  <c r="E151" i="3"/>
  <c r="H77" i="14"/>
  <c r="AO15" i="17"/>
  <c r="AO9" i="17"/>
  <c r="AO13" i="17"/>
  <c r="AP9" i="17"/>
  <c r="AV9" i="17"/>
  <c r="AO14" i="17"/>
  <c r="AI9" i="17"/>
  <c r="AM9" i="17"/>
  <c r="P20" i="14" l="1"/>
  <c r="N23" i="11"/>
  <c r="Q23" i="11" s="1"/>
  <c r="R23" i="11" s="1"/>
  <c r="B5" i="39"/>
  <c r="B7" i="39" s="1"/>
  <c r="B8" i="39" s="1"/>
  <c r="B9" i="39" s="1"/>
  <c r="B10" i="39" s="1"/>
  <c r="F6" i="1"/>
  <c r="AV16" i="17"/>
  <c r="J143" i="3"/>
  <c r="K150" i="3" s="1"/>
  <c r="M15" i="14" s="1"/>
  <c r="P15" i="14" s="1"/>
  <c r="BZ13" i="17"/>
  <c r="M107" i="3"/>
  <c r="M114" i="3" s="1"/>
  <c r="K8" i="7" s="1"/>
  <c r="L8" i="7" s="1"/>
  <c r="M8" i="7" s="1"/>
  <c r="BZ10" i="17"/>
  <c r="H20" i="14"/>
  <c r="F47" i="14"/>
  <c r="F16" i="7"/>
  <c r="BZ15" i="17"/>
  <c r="AM16" i="17"/>
  <c r="AI16" i="17"/>
  <c r="AP16" i="17"/>
  <c r="AO16" i="17"/>
  <c r="E12" i="29"/>
  <c r="D6" i="41"/>
  <c r="D11" i="7"/>
  <c r="E11" i="7" s="1"/>
  <c r="D6" i="7"/>
  <c r="E6" i="7" s="1"/>
  <c r="E10" i="28"/>
  <c r="D8" i="7"/>
  <c r="E8" i="7" s="1"/>
  <c r="E7" i="1"/>
  <c r="D14" i="7"/>
  <c r="E14" i="7" s="1"/>
  <c r="K13" i="10"/>
  <c r="K16" i="10" s="1"/>
  <c r="D7" i="7"/>
  <c r="E7" i="7" s="1"/>
  <c r="D12" i="7"/>
  <c r="E12" i="7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K5" i="7"/>
  <c r="L5" i="7" s="1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Q3" i="18" s="1"/>
  <c r="BI9" i="17"/>
  <c r="BI16" i="17" s="1"/>
  <c r="K7" i="7"/>
  <c r="L7" i="7" s="1"/>
  <c r="N27" i="11"/>
  <c r="Q27" i="11" s="1"/>
  <c r="K27" i="11"/>
  <c r="K28" i="11" s="1"/>
  <c r="S9" i="17"/>
  <c r="BS9" i="17"/>
  <c r="BS16" i="17" s="1"/>
  <c r="BX9" i="17"/>
  <c r="BX16" i="17" s="1"/>
  <c r="D16" i="17"/>
  <c r="BY9" i="17"/>
  <c r="AS9" i="17"/>
  <c r="AS16" i="17" s="1"/>
  <c r="U9" i="17"/>
  <c r="U16" i="17" s="1"/>
  <c r="BZ11" i="17"/>
  <c r="BZ12" i="17"/>
  <c r="K77" i="14"/>
  <c r="K12" i="7" s="1"/>
  <c r="L12" i="7" s="1"/>
  <c r="C68" i="14"/>
  <c r="K11" i="7" s="1"/>
  <c r="L11" i="7" s="1"/>
  <c r="E16" i="14"/>
  <c r="M16" i="14"/>
  <c r="P16" i="14" s="1"/>
  <c r="J11" i="16"/>
  <c r="L11" i="16"/>
  <c r="M11" i="16"/>
  <c r="K11" i="16"/>
  <c r="N11" i="16"/>
  <c r="J150" i="3" l="1"/>
  <c r="B3" i="19"/>
  <c r="D21" i="41" s="1"/>
  <c r="S16" i="17"/>
  <c r="O11" i="16"/>
  <c r="K13" i="7" s="1"/>
  <c r="J6" i="39"/>
  <c r="B13" i="39" s="1"/>
  <c r="E57" i="14"/>
  <c r="I58" i="14" s="1"/>
  <c r="J59" i="14" s="1"/>
  <c r="K10" i="7" s="1"/>
  <c r="L10" i="7" s="1"/>
  <c r="M10" i="7" s="1"/>
  <c r="H16" i="14"/>
  <c r="H22" i="14" s="1"/>
  <c r="B6" i="14" s="1"/>
  <c r="D9" i="7" s="1"/>
  <c r="E9" i="7" s="1"/>
  <c r="E47" i="14"/>
  <c r="I48" i="14" s="1"/>
  <c r="J49" i="14" s="1"/>
  <c r="D10" i="7" s="1"/>
  <c r="E10" i="7" s="1"/>
  <c r="BZ9" i="17"/>
  <c r="BY16" i="17"/>
  <c r="BZ16" i="17" s="1"/>
  <c r="M5" i="7"/>
  <c r="D35" i="7"/>
  <c r="M6" i="7"/>
  <c r="D34" i="7"/>
  <c r="F12" i="7"/>
  <c r="F6" i="7"/>
  <c r="C34" i="7"/>
  <c r="M11" i="7"/>
  <c r="D33" i="7"/>
  <c r="R27" i="11"/>
  <c r="R28" i="11" s="1"/>
  <c r="K16" i="7"/>
  <c r="L16" i="7" s="1"/>
  <c r="M16" i="7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3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7" i="7"/>
  <c r="D44" i="10"/>
  <c r="G44" i="10" s="1"/>
  <c r="K19" i="10"/>
  <c r="L17" i="7"/>
  <c r="E17" i="7"/>
  <c r="K6" i="41"/>
  <c r="C186" i="1"/>
  <c r="G13" i="41"/>
  <c r="G12" i="41"/>
  <c r="G38" i="41"/>
  <c r="J6" i="41"/>
  <c r="G33" i="41"/>
  <c r="G10" i="41"/>
  <c r="C200" i="1"/>
  <c r="G39" i="41"/>
  <c r="G34" i="41"/>
  <c r="G11" i="41"/>
  <c r="G9" i="41"/>
  <c r="P22" i="14"/>
  <c r="C6" i="14" s="1"/>
  <c r="K9" i="7" s="1"/>
  <c r="L9" i="7" s="1"/>
  <c r="E11" i="39"/>
  <c r="C13" i="37" s="1"/>
  <c r="E54" i="41" s="1"/>
  <c r="B13" i="37"/>
  <c r="D54" i="41" s="1"/>
  <c r="C10" i="39"/>
  <c r="B11" i="37" s="1"/>
  <c r="D52" i="41" s="1"/>
  <c r="F14" i="7"/>
  <c r="C37" i="7"/>
  <c r="F5" i="7"/>
  <c r="B15" i="39" l="1"/>
  <c r="B4" i="37" s="1"/>
  <c r="D28" i="41" s="1"/>
  <c r="G27" i="41" s="1"/>
  <c r="C199" i="1" s="1"/>
  <c r="B2" i="37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C185" i="1"/>
  <c r="J21" i="41"/>
  <c r="K21" i="41"/>
  <c r="G21" i="41"/>
  <c r="D13" i="7"/>
  <c r="C36" i="7" s="1"/>
  <c r="B14" i="39"/>
  <c r="B3" i="37" s="1"/>
  <c r="G40" i="41"/>
  <c r="G41" i="41" s="1"/>
  <c r="F11" i="39"/>
  <c r="C14" i="37" s="1"/>
  <c r="E55" i="41" s="1"/>
  <c r="G35" i="41"/>
  <c r="M17" i="7"/>
  <c r="D38" i="7"/>
  <c r="D51" i="41"/>
  <c r="B17" i="37"/>
  <c r="M9" i="7"/>
  <c r="D32" i="7"/>
  <c r="K15" i="7"/>
  <c r="L15" i="7" s="1"/>
  <c r="D15" i="7"/>
  <c r="E15" i="7" s="1"/>
  <c r="F15" i="7" s="1"/>
  <c r="E51" i="41"/>
  <c r="F10" i="7"/>
  <c r="L13" i="7"/>
  <c r="L18" i="7" s="1"/>
  <c r="D36" i="7"/>
  <c r="F9" i="7"/>
  <c r="C32" i="7"/>
  <c r="C11" i="39"/>
  <c r="C11" i="37" s="1"/>
  <c r="E52" i="41" s="1"/>
  <c r="F17" i="7"/>
  <c r="C38" i="7"/>
  <c r="B17" i="39" l="1"/>
  <c r="B6" i="37" s="1"/>
  <c r="C197" i="1" s="1"/>
  <c r="B18" i="39"/>
  <c r="B7" i="37" s="1"/>
  <c r="J31" i="41" s="1"/>
  <c r="B16" i="39"/>
  <c r="B5" i="37" s="1"/>
  <c r="J29" i="41" s="1"/>
  <c r="C196" i="1" s="1"/>
  <c r="D58" i="41"/>
  <c r="AK9" i="17"/>
  <c r="BL9" i="17" s="1"/>
  <c r="C9" i="19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E13" i="7"/>
  <c r="D27" i="41"/>
  <c r="M18" i="7"/>
  <c r="D39" i="7"/>
  <c r="C39" i="7"/>
  <c r="D31" i="41"/>
  <c r="M15" i="7"/>
  <c r="M13" i="7"/>
  <c r="C17" i="37"/>
  <c r="BC9" i="17"/>
  <c r="AZ9" i="17"/>
  <c r="BG15" i="17"/>
  <c r="AX11" i="17"/>
  <c r="AX13" i="17"/>
  <c r="AX10" i="17"/>
  <c r="BG14" i="17"/>
  <c r="AZ11" i="17"/>
  <c r="BG9" i="17"/>
  <c r="BC11" i="17"/>
  <c r="BG13" i="17"/>
  <c r="BC15" i="17"/>
  <c r="AZ13" i="17"/>
  <c r="AX12" i="17"/>
  <c r="AX9" i="17"/>
  <c r="AZ15" i="17"/>
  <c r="AZ14" i="17"/>
  <c r="BC10" i="17"/>
  <c r="AX14" i="17"/>
  <c r="BG10" i="17"/>
  <c r="AX15" i="17"/>
  <c r="AZ10" i="17"/>
  <c r="AZ12" i="17"/>
  <c r="BC12" i="17"/>
  <c r="BG12" i="17"/>
  <c r="BC14" i="17"/>
  <c r="BC13" i="17"/>
  <c r="BG11" i="17"/>
  <c r="F13" i="7" l="1"/>
  <c r="E18" i="7"/>
  <c r="C198" i="1"/>
  <c r="J30" i="41"/>
  <c r="K29" i="41"/>
  <c r="K30" i="41"/>
  <c r="K31" i="41"/>
  <c r="E58" i="41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G13" i="7"/>
  <c r="N13" i="7"/>
  <c r="N6" i="7"/>
  <c r="N7" i="7"/>
  <c r="N5" i="7"/>
  <c r="N17" i="7"/>
  <c r="N9" i="7"/>
  <c r="N8" i="7"/>
  <c r="N10" i="7"/>
  <c r="N11" i="7"/>
  <c r="N18" i="7"/>
  <c r="N12" i="7"/>
  <c r="N14" i="7"/>
  <c r="C195" i="1"/>
  <c r="J34" i="41"/>
  <c r="G30" i="41"/>
  <c r="K34" i="41"/>
  <c r="D45" i="7"/>
  <c r="D44" i="7"/>
  <c r="D9" i="19" l="1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G12" i="7"/>
  <c r="G10" i="7"/>
  <c r="G6" i="7"/>
  <c r="G5" i="7"/>
  <c r="F18" i="7"/>
  <c r="G11" i="7"/>
  <c r="G17" i="7"/>
  <c r="G7" i="7"/>
  <c r="G18" i="7"/>
  <c r="G9" i="7"/>
  <c r="G14" i="7"/>
  <c r="G8" i="7"/>
  <c r="D24" i="41"/>
  <c r="D46" i="7"/>
  <c r="BV9" i="17" l="1"/>
  <c r="C2" i="19" s="1"/>
  <c r="D17" i="41" s="1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W9" i="17"/>
  <c r="D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3" i="1" s="1"/>
  <c r="K25" i="41"/>
  <c r="G24" i="41"/>
  <c r="C194" i="1" s="1"/>
  <c r="K24" i="41"/>
  <c r="K37" i="41" s="1"/>
  <c r="J25" i="41"/>
  <c r="C192" i="1" s="1"/>
  <c r="C190" i="1"/>
  <c r="J24" i="41"/>
  <c r="G9" i="19" l="1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C183" i="1"/>
  <c r="E16" i="19"/>
  <c r="BQ14" i="17"/>
  <c r="H14" i="19" s="1"/>
  <c r="J14" i="19" s="1"/>
  <c r="G14" i="19"/>
  <c r="D67" i="41" s="1"/>
  <c r="C184" i="1"/>
  <c r="D18" i="41"/>
  <c r="C191" i="1"/>
  <c r="J37" i="41"/>
  <c r="I15" i="19" l="1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1" i="1"/>
  <c r="G16" i="41"/>
  <c r="J16" i="41"/>
  <c r="C161" i="1"/>
  <c r="C182" i="1" l="1"/>
  <c r="D161" i="1"/>
  <c r="C44" i="34" s="1"/>
  <c r="D44" i="34"/>
  <c r="C159" i="1"/>
  <c r="C158" i="1"/>
  <c r="C157" i="1"/>
  <c r="C160" i="1"/>
  <c r="F44" i="34" l="1"/>
  <c r="D43" i="34"/>
  <c r="D41" i="34"/>
  <c r="D40" i="34"/>
  <c r="D42" i="34"/>
  <c r="D160" i="1"/>
  <c r="D159" i="1"/>
  <c r="D157" i="1"/>
  <c r="D158" i="1"/>
  <c r="C156" i="1"/>
  <c r="C43" i="34" l="1"/>
  <c r="F43" i="34" s="1"/>
  <c r="C41" i="34"/>
  <c r="F41" i="34" s="1"/>
  <c r="C40" i="34"/>
  <c r="F40" i="34" s="1"/>
  <c r="C42" i="34"/>
  <c r="F42" i="34" s="1"/>
  <c r="D39" i="34"/>
  <c r="D156" i="1"/>
  <c r="C39" i="34" l="1"/>
  <c r="F39" i="34" s="1"/>
  <c r="B172" i="1"/>
  <c r="C162" i="1"/>
  <c r="A45" i="34" l="1"/>
  <c r="D172" i="1"/>
  <c r="C172" i="1"/>
  <c r="D162" i="1"/>
  <c r="C45" i="34" l="1"/>
  <c r="B45" i="34"/>
  <c r="B46" i="34" s="1"/>
  <c r="B55" i="34" s="1"/>
  <c r="D45" i="34"/>
  <c r="D46" i="34" s="1"/>
  <c r="D55" i="34" s="1"/>
  <c r="C46" i="34" l="1"/>
  <c r="C55" i="34" s="1"/>
  <c r="F45" i="34"/>
  <c r="F46" i="34" s="1"/>
  <c r="F55" i="34" s="1"/>
  <c r="B60" i="34" s="1"/>
  <c r="C60" i="34" l="1"/>
  <c r="D60" i="34" l="1"/>
  <c r="E60" i="34" l="1"/>
  <c r="F60" i="34" l="1"/>
  <c r="G60" i="34" l="1"/>
  <c r="H60" i="34" l="1"/>
  <c r="I60" i="34" l="1"/>
  <c r="J60" i="34" l="1"/>
  <c r="K60" i="34" l="1"/>
  <c r="B59" i="34" l="1"/>
  <c r="B61" i="34" s="1"/>
  <c r="B68" i="34" l="1"/>
  <c r="C10" i="35"/>
  <c r="E10" i="35" s="1"/>
  <c r="C68" i="34"/>
  <c r="D68" i="34"/>
  <c r="B86" i="34"/>
  <c r="D10" i="35" s="1"/>
  <c r="C59" i="34"/>
  <c r="E59" i="34"/>
  <c r="G59" i="34"/>
  <c r="K59" i="34"/>
  <c r="D59" i="34"/>
  <c r="I59" i="34"/>
  <c r="H59" i="34"/>
  <c r="J59" i="34"/>
  <c r="F59" i="34"/>
  <c r="B92" i="34" l="1"/>
  <c r="D16" i="35" s="1"/>
  <c r="H61" i="34"/>
  <c r="B89" i="34"/>
  <c r="D13" i="35" s="1"/>
  <c r="E61" i="34"/>
  <c r="B91" i="34"/>
  <c r="D15" i="35" s="1"/>
  <c r="G61" i="34"/>
  <c r="I61" i="34"/>
  <c r="B93" i="34"/>
  <c r="D17" i="35" s="1"/>
  <c r="F61" i="34"/>
  <c r="B90" i="34"/>
  <c r="D14" i="35" s="1"/>
  <c r="B88" i="34"/>
  <c r="D12" i="35" s="1"/>
  <c r="D61" i="34"/>
  <c r="B87" i="34"/>
  <c r="D11" i="35" s="1"/>
  <c r="C61" i="34"/>
  <c r="J61" i="34"/>
  <c r="B94" i="34"/>
  <c r="D18" i="35" s="1"/>
  <c r="B95" i="34"/>
  <c r="D19" i="35" s="1"/>
  <c r="K61" i="34"/>
  <c r="C14" i="35" l="1"/>
  <c r="E14" i="35" s="1"/>
  <c r="B72" i="34"/>
  <c r="C72" i="34" s="1"/>
  <c r="B71" i="34"/>
  <c r="C71" i="34" s="1"/>
  <c r="C13" i="35"/>
  <c r="E13" i="35" s="1"/>
  <c r="C12" i="35"/>
  <c r="E12" i="35" s="1"/>
  <c r="B70" i="34"/>
  <c r="C70" i="34" s="1"/>
  <c r="B73" i="34"/>
  <c r="C73" i="34" s="1"/>
  <c r="C15" i="35"/>
  <c r="E15" i="35" s="1"/>
  <c r="C16" i="35"/>
  <c r="E16" i="35" s="1"/>
  <c r="B74" i="34"/>
  <c r="C74" i="34" s="1"/>
  <c r="B76" i="34"/>
  <c r="C76" i="34" s="1"/>
  <c r="C18" i="35"/>
  <c r="E18" i="35" s="1"/>
  <c r="B77" i="34"/>
  <c r="C77" i="34" s="1"/>
  <c r="C19" i="35"/>
  <c r="E19" i="35" s="1"/>
  <c r="C11" i="35"/>
  <c r="E11" i="35" s="1"/>
  <c r="B69" i="34"/>
  <c r="B75" i="34"/>
  <c r="C75" i="34" s="1"/>
  <c r="C17" i="35"/>
  <c r="E17" i="35" s="1"/>
  <c r="C69" i="34" l="1"/>
  <c r="D69" i="34" s="1"/>
  <c r="B83" i="34" l="1"/>
  <c r="C25" i="35" s="1"/>
  <c r="E69" i="34"/>
  <c r="D70" i="34"/>
  <c r="E70" i="34" l="1"/>
  <c r="D71" i="34"/>
  <c r="D72" i="34" l="1"/>
  <c r="E71" i="34"/>
  <c r="D73" i="34" l="1"/>
  <c r="E72" i="34"/>
  <c r="E73" i="34" l="1"/>
  <c r="D74" i="34"/>
  <c r="E74" i="34" l="1"/>
  <c r="D75" i="34"/>
  <c r="D76" i="34" l="1"/>
  <c r="E75" i="34"/>
  <c r="E76" i="34" l="1"/>
  <c r="D77" i="34"/>
  <c r="B81" i="34" l="1"/>
  <c r="E77" i="34"/>
  <c r="C81" i="34" s="1"/>
  <c r="D81" i="34" l="1"/>
  <c r="C22" i="35" s="1"/>
</calcChain>
</file>

<file path=xl/comments1.xml><?xml version="1.0" encoding="utf-8"?>
<comments xmlns="http://schemas.openxmlformats.org/spreadsheetml/2006/main">
  <authors>
    <author>Jessica Mukiri</author>
  </authors>
  <commentList>
    <comment ref="A100" authorId="0" shapeId="0">
      <text>
        <r>
          <rPr>
            <b/>
            <sz val="9"/>
            <color indexed="81"/>
            <rFont val="Tahoma"/>
            <family val="2"/>
          </rPr>
          <t>Jessica Mukiri:</t>
        </r>
        <r>
          <rPr>
            <sz val="9"/>
            <color indexed="81"/>
            <rFont val="Tahoma"/>
            <family val="2"/>
          </rPr>
          <t xml:space="preserve">
3 different types of Rhodes grass Boma Elmba Masaba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<sst xmlns="http://schemas.openxmlformats.org/spreadsheetml/2006/main" count="3125" uniqueCount="1757">
  <si>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</si>
  <si>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</si>
  <si>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</si>
  <si>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</si>
  <si>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</si>
  <si>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</si>
  <si>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</si>
  <si>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</si>
  <si>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</si>
  <si>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</si>
  <si>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</si>
  <si>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</si>
  <si>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</si>
  <si>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</si>
  <si>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</si>
  <si>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</si>
  <si>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</si>
  <si>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</si>
  <si>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</si>
  <si>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</si>
  <si>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</si>
  <si>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</si>
  <si>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</si>
  <si>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</si>
  <si>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</si>
  <si>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</si>
  <si>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</si>
  <si>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</si>
  <si>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</si>
  <si>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</si>
  <si>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</si>
  <si>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</si>
  <si>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</si>
  <si>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</si>
  <si>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</si>
  <si>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</si>
  <si>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</si>
  <si>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</si>
  <si>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</si>
  <si>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</si>
  <si>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</si>
  <si>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</si>
  <si>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</si>
  <si>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</si>
  <si>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</si>
  <si>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</si>
  <si>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</si>
  <si>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</si>
  <si>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Poultry</t>
  </si>
  <si>
    <t>Mules</t>
  </si>
  <si>
    <t>Horses</t>
  </si>
  <si>
    <t>Camels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</si>
  <si>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</si>
  <si>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</si>
  <si>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</si>
  <si>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</si>
  <si>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</si>
  <si>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</si>
  <si>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</si>
  <si>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</si>
  <si>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</si>
  <si>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</si>
  <si>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</si>
  <si>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Market Swine</t>
  </si>
  <si>
    <t>Other cattle</t>
  </si>
  <si>
    <t>Dairy cows</t>
  </si>
  <si>
    <t xml:space="preserve">Most livestock manure is managed as a solid on pastures and ranges. A smaller but significant fraction is burned as fuel. </t>
  </si>
  <si>
    <t>Africa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</si>
  <si>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</si>
  <si>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</si>
  <si>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</si>
  <si>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</si>
  <si>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</si>
  <si>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</si>
  <si>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</si>
  <si>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</si>
  <si>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</si>
  <si>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</si>
  <si>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</si>
  <si>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</si>
  <si>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</si>
  <si>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</si>
  <si>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</si>
  <si>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</si>
  <si>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EF ( developing country)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</si>
  <si>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</si>
  <si>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</si>
  <si>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</si>
  <si>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</si>
  <si>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</si>
  <si>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</si>
  <si>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</si>
  <si>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</si>
  <si>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</si>
  <si>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</si>
  <si>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</si>
  <si>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</si>
  <si>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</si>
  <si>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</si>
  <si>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</si>
  <si>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</si>
  <si>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</si>
  <si>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Bull grazing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</si>
  <si>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</si>
  <si>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</si>
  <si>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</si>
  <si>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</si>
  <si>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</si>
  <si>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</si>
  <si>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</si>
  <si>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</si>
  <si>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</si>
  <si>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</si>
  <si>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</si>
  <si>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</si>
  <si>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</si>
  <si>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</si>
  <si>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</si>
  <si>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</si>
  <si>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</si>
  <si>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</si>
  <si>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</si>
  <si>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</si>
  <si>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</si>
  <si>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</si>
  <si>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</si>
  <si>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</si>
  <si>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</si>
  <si>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</si>
  <si>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</si>
  <si>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</si>
  <si>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</si>
  <si>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</si>
  <si>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</si>
  <si>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</si>
  <si>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</si>
  <si>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</si>
  <si>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</si>
  <si>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</si>
  <si>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</si>
  <si>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</si>
  <si>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</si>
  <si>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</si>
  <si>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</si>
  <si>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</si>
  <si>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</si>
  <si>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</si>
  <si>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</si>
  <si>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</si>
  <si>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</si>
  <si>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</si>
  <si>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</si>
  <si>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</si>
  <si>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</si>
  <si>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</si>
  <si>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</si>
  <si>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</si>
  <si>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</si>
  <si>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</si>
  <si>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</si>
  <si>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</si>
  <si>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</si>
  <si>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</si>
  <si>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</si>
  <si>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</si>
  <si>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</si>
  <si>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</si>
  <si>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</si>
  <si>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</si>
  <si>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</si>
  <si>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</si>
  <si>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</si>
  <si>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</si>
  <si>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</si>
  <si>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</si>
  <si>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</si>
  <si>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</si>
  <si>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</si>
  <si>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</si>
  <si>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</si>
  <si>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</si>
  <si>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</si>
  <si>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</si>
  <si>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</si>
  <si>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</si>
  <si>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</si>
  <si>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</si>
  <si>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</si>
  <si>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</si>
  <si>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</si>
  <si>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</si>
  <si>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</si>
  <si>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</si>
  <si>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</si>
  <si>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</si>
  <si>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</si>
  <si>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</si>
  <si>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</si>
  <si>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</si>
  <si>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</si>
  <si>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</si>
  <si>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</si>
  <si>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</si>
  <si>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</si>
  <si>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</si>
  <si>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</si>
  <si>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</si>
  <si>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</si>
  <si>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</si>
  <si>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</si>
  <si>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</si>
  <si>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</si>
  <si>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</si>
  <si>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</si>
  <si>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</si>
  <si>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</si>
  <si>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</si>
  <si>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</si>
  <si>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</si>
  <si>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</si>
  <si>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</si>
  <si>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</si>
  <si>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</si>
  <si>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</si>
  <si>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</si>
  <si>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</si>
  <si>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</si>
  <si>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</si>
  <si>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</si>
  <si>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</si>
  <si>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</si>
  <si>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</si>
  <si>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</si>
  <si>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</si>
  <si>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</si>
  <si>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</si>
  <si>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</si>
  <si>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</si>
  <si>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</si>
  <si>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</si>
  <si>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</si>
  <si>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</si>
  <si>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</si>
  <si>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</si>
  <si>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</si>
  <si>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</si>
  <si>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</si>
  <si>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</si>
  <si>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</si>
  <si>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</si>
  <si>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</si>
  <si>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</si>
  <si>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</si>
  <si>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</si>
  <si>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</si>
  <si>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</si>
  <si>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</si>
  <si>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</si>
  <si>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</si>
  <si>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</si>
  <si>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</si>
  <si>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</si>
  <si>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</si>
  <si>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</si>
  <si>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</si>
  <si>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</si>
  <si>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</si>
  <si>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</si>
  <si>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</si>
  <si>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</si>
  <si>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</si>
  <si>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</si>
  <si>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</si>
  <si>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</si>
  <si>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</si>
  <si>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</si>
  <si>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</si>
  <si>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</si>
  <si>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</si>
  <si>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</si>
  <si>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</si>
  <si>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</si>
  <si>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emisison factor for manure management</t>
  </si>
  <si>
    <t>CH4 emisisons from manure management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</si>
  <si>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</si>
  <si>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</si>
  <si>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</si>
  <si>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</si>
  <si>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</si>
  <si>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</si>
  <si>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</si>
  <si>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</si>
  <si>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</si>
  <si>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</si>
  <si>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</si>
  <si>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</si>
  <si>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</si>
  <si>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</si>
  <si>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</si>
  <si>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</si>
  <si>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</si>
  <si>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</si>
  <si>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</si>
  <si>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Annural change in carbon stocks in biomass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</si>
  <si>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</si>
  <si>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</si>
  <si>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</si>
  <si>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</si>
  <si>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</si>
  <si>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</si>
  <si>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</si>
  <si>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</si>
  <si>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</si>
  <si>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</si>
  <si>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</si>
  <si>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</si>
  <si>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</si>
  <si>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</si>
  <si>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</si>
  <si>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</si>
  <si>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</si>
  <si>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</si>
  <si>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</si>
  <si>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</si>
  <si>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</si>
  <si>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</si>
  <si>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</si>
  <si>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</si>
  <si>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</si>
  <si>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</si>
  <si>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</si>
  <si>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</si>
  <si>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</si>
  <si>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</si>
  <si>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</si>
  <si>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</si>
  <si>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</si>
  <si>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</si>
  <si>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</si>
  <si>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</si>
  <si>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</si>
  <si>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</si>
  <si>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</si>
  <si>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</si>
  <si>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</si>
  <si>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</si>
  <si>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</si>
  <si>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</si>
  <si>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</si>
  <si>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</si>
  <si>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</si>
  <si>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</si>
  <si>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</si>
  <si>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</si>
  <si>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</si>
  <si>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</si>
  <si>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</si>
  <si>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</si>
  <si>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</si>
  <si>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</si>
  <si>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</si>
  <si>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</si>
  <si>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</si>
  <si>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</si>
  <si>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</si>
  <si>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</si>
  <si>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</si>
  <si>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</si>
  <si>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</si>
  <si>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</si>
  <si>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</si>
  <si>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</si>
  <si>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</si>
  <si>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</si>
  <si>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</si>
  <si>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</si>
  <si>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</si>
  <si>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</si>
  <si>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</si>
  <si>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</si>
  <si>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</si>
  <si>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</si>
  <si>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</si>
  <si>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</si>
  <si>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</si>
  <si>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</si>
  <si>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DEVELOPING COUNTRY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</si>
  <si>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</si>
  <si>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</si>
  <si>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</si>
  <si>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</si>
  <si>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</si>
  <si>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</si>
  <si>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</si>
  <si>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</si>
  <si>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>TableTable 10A.4 +</t>
  </si>
  <si>
    <t xml:space="preserve">t </t>
  </si>
  <si>
    <t>equation 10.23</t>
  </si>
  <si>
    <t>(MCF/100)*MS</t>
  </si>
  <si>
    <t xml:space="preserve">Livestock category </t>
  </si>
  <si>
    <t>Nrate (t)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</si>
  <si>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</si>
  <si>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</si>
  <si>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</si>
  <si>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</si>
  <si>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</si>
  <si>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</si>
  <si>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</si>
  <si>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</si>
  <si>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</si>
  <si>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</si>
  <si>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</si>
  <si>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</si>
  <si>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</si>
  <si>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</si>
  <si>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</si>
  <si>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</si>
  <si>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</si>
  <si>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</si>
  <si>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</si>
  <si>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</si>
  <si>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</si>
  <si>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</si>
  <si>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</si>
  <si>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</si>
  <si>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</si>
  <si>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</si>
  <si>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</si>
  <si>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</si>
  <si>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</si>
  <si>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</si>
  <si>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</si>
  <si>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</si>
  <si>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</si>
  <si>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</si>
  <si>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</si>
  <si>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</si>
  <si>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</si>
  <si>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</si>
  <si>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</si>
  <si>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</si>
  <si>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Feedlot cattle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</si>
  <si>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</si>
  <si>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</si>
  <si>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</si>
  <si>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</si>
  <si>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</si>
  <si>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</si>
  <si>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</si>
  <si>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</si>
  <si>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</si>
  <si>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</si>
  <si>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</si>
  <si>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</si>
  <si>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</si>
  <si>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</si>
  <si>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</si>
  <si>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</si>
  <si>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</si>
  <si>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Developing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</si>
  <si>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</si>
  <si>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</si>
  <si>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</si>
  <si>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</si>
  <si>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</si>
  <si>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</si>
  <si>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</si>
  <si>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</si>
  <si>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</si>
  <si>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</si>
  <si>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</si>
  <si>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</si>
  <si>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</si>
  <si>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</si>
  <si>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</si>
  <si>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</si>
  <si>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</si>
  <si>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</si>
  <si>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</si>
  <si>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</si>
  <si>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</si>
  <si>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</si>
  <si>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</si>
  <si>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</si>
  <si>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</si>
  <si>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</si>
  <si>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</si>
  <si>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</si>
  <si>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</si>
  <si>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</si>
  <si>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</si>
  <si>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</si>
  <si>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</si>
  <si>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</si>
  <si>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</si>
  <si>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</si>
  <si>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</si>
  <si>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</si>
  <si>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</si>
  <si>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</si>
  <si>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</si>
  <si>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</si>
  <si>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</si>
  <si>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</si>
  <si>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</si>
  <si>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</si>
  <si>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</si>
  <si>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</si>
  <si>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</si>
  <si>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</si>
  <si>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</si>
  <si>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</si>
  <si>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</si>
  <si>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</si>
  <si>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</si>
  <si>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</si>
  <si>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</si>
  <si>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</si>
  <si>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</si>
  <si>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</si>
  <si>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</si>
  <si>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</si>
  <si>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</si>
  <si>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</si>
  <si>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</si>
  <si>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</si>
  <si>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</si>
  <si>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</si>
  <si>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</si>
  <si>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</si>
  <si>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</si>
  <si>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</si>
  <si>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</si>
  <si>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</si>
  <si>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</si>
  <si>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</si>
  <si>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</si>
  <si>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</si>
  <si>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</si>
  <si>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</si>
  <si>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</si>
  <si>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</si>
  <si>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</si>
  <si>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</si>
  <si>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</si>
  <si>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</si>
  <si>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</si>
  <si>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</si>
  <si>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</si>
  <si>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</si>
  <si>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</si>
  <si>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</si>
  <si>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</si>
  <si>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</si>
  <si>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</si>
  <si>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</si>
  <si>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</si>
  <si>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</si>
  <si>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</si>
  <si>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</si>
  <si>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</si>
  <si>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</si>
  <si>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</si>
  <si>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</si>
  <si>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</si>
  <si>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</si>
  <si>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</si>
  <si>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</si>
  <si>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</si>
  <si>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</si>
  <si>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</si>
  <si>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</si>
  <si>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</si>
  <si>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</si>
  <si>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</si>
  <si>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</si>
  <si>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</si>
  <si>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</si>
  <si>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</si>
  <si>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</si>
  <si>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</si>
  <si>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</si>
  <si>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</si>
  <si>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</si>
  <si>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</si>
  <si>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</si>
  <si>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</si>
  <si>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</si>
  <si>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</si>
  <si>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</si>
  <si>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</si>
  <si>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</si>
  <si>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</si>
  <si>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</si>
  <si>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</si>
  <si>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</si>
  <si>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</si>
  <si>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</si>
  <si>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</si>
  <si>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</si>
  <si>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</si>
  <si>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</si>
  <si>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</si>
  <si>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</si>
  <si>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</si>
  <si>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</si>
  <si>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</si>
  <si>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</si>
  <si>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</si>
  <si>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</si>
  <si>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</si>
  <si>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</si>
  <si>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</si>
  <si>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</si>
  <si>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</si>
  <si>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</si>
  <si>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</si>
  <si>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</si>
  <si>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</si>
  <si>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</si>
  <si>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</si>
  <si>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</si>
  <si>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</si>
  <si>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</si>
  <si>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</si>
  <si>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</si>
  <si>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</si>
  <si>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</si>
  <si>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</si>
  <si>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</si>
  <si>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</si>
  <si>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</si>
  <si>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</si>
  <si>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</si>
  <si>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</si>
  <si>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</si>
  <si>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</si>
  <si>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</si>
  <si>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</si>
  <si>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</si>
  <si>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</si>
  <si>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</si>
  <si>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</si>
  <si>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</si>
  <si>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</si>
  <si>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</si>
  <si>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</si>
  <si>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</si>
  <si>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</si>
  <si>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</si>
  <si>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</si>
  <si>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</si>
  <si>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>A paved or unpaved open confinment area without any significant vegetative cover where accumulating manure may be removed periodically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</si>
  <si>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</si>
  <si>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</si>
  <si>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</si>
  <si>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</si>
  <si>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</si>
  <si>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</si>
  <si>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</si>
  <si>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</si>
  <si>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</si>
  <si>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</si>
  <si>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</si>
  <si>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</si>
  <si>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>TOTAL GHG Balance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</si>
  <si>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</si>
  <si>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</si>
  <si>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</si>
  <si>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</si>
  <si>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</si>
  <si>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</si>
  <si>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</si>
  <si>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</si>
  <si>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</si>
  <si>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</si>
  <si>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</si>
  <si>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</si>
  <si>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>total stock change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</si>
  <si>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</si>
  <si>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</si>
  <si>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</si>
  <si>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</si>
  <si>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</si>
  <si>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</si>
  <si>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</si>
  <si>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</si>
  <si>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</si>
  <si>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</si>
  <si>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</si>
  <si>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</si>
  <si>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</si>
  <si>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</si>
  <si>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</si>
  <si>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</si>
  <si>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</si>
  <si>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</si>
  <si>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</si>
  <si>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</si>
  <si>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</si>
  <si>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</si>
  <si>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</si>
  <si>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</si>
  <si>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</si>
  <si>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</si>
  <si>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</si>
  <si>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</si>
  <si>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</si>
  <si>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</si>
  <si>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</si>
  <si>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</si>
  <si>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</si>
  <si>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</si>
  <si>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</si>
  <si>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</si>
  <si>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</si>
  <si>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</si>
  <si>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</si>
  <si>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</si>
  <si>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</si>
  <si>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</si>
  <si>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</si>
  <si>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</si>
  <si>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</si>
  <si>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</si>
  <si>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</si>
  <si>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</si>
  <si>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</si>
  <si>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</si>
  <si>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</si>
  <si>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</si>
  <si>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</si>
  <si>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</si>
  <si>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</si>
  <si>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</si>
  <si>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</si>
  <si>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</si>
  <si>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</si>
  <si>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</si>
  <si>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</si>
  <si>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</si>
  <si>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</si>
  <si>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</si>
  <si>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</si>
  <si>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</si>
  <si>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</si>
  <si>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</si>
  <si>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</si>
  <si>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</si>
  <si>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</si>
  <si>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</si>
  <si>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</si>
  <si>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</si>
  <si>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</si>
  <si>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</si>
  <si>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</si>
  <si>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</si>
  <si>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</si>
  <si>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</si>
  <si>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</si>
  <si>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</si>
  <si>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</si>
  <si>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</si>
  <si>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</si>
  <si>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</si>
  <si>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</si>
  <si>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</si>
  <si>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</si>
  <si>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</si>
  <si>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</si>
  <si>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</si>
  <si>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</si>
  <si>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</si>
  <si>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</si>
  <si>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</si>
  <si>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</si>
  <si>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</si>
  <si>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</si>
  <si>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</si>
  <si>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</si>
  <si>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Napier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</si>
  <si>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</si>
  <si>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</si>
  <si>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</si>
  <si>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</si>
  <si>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</si>
  <si>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</si>
  <si>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</si>
  <si>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</si>
  <si>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</si>
  <si>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</si>
  <si>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</si>
  <si>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</si>
  <si>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</si>
  <si>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</si>
  <si>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</si>
  <si>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</si>
  <si>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</si>
  <si>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</si>
  <si>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</si>
  <si>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</si>
  <si>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</si>
  <si>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</si>
  <si>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</si>
  <si>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</si>
  <si>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</si>
  <si>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</si>
  <si>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</si>
  <si>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</si>
  <si>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</si>
  <si>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</si>
  <si>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</si>
  <si>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</si>
  <si>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</si>
  <si>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</si>
  <si>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</si>
  <si>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</si>
  <si>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</si>
  <si>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</si>
  <si>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</si>
  <si>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</si>
  <si>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</si>
  <si>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</si>
  <si>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</si>
  <si>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</si>
  <si>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</si>
  <si>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</si>
  <si>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</si>
  <si>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</si>
  <si>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</si>
  <si>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</si>
  <si>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</si>
  <si>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</si>
  <si>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</si>
  <si>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</si>
  <si>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</si>
  <si>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</si>
  <si>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</si>
  <si>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</si>
  <si>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</si>
  <si>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</si>
  <si>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</si>
  <si>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</si>
  <si>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</si>
  <si>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</si>
  <si>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</si>
  <si>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</si>
  <si>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</si>
  <si>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</si>
  <si>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</si>
  <si>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</si>
  <si>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</si>
  <si>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</si>
  <si>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</si>
  <si>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</si>
  <si>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</si>
  <si>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</si>
  <si>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</si>
  <si>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</si>
  <si>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</si>
  <si>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</si>
  <si>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</si>
  <si>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</si>
  <si>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</si>
  <si>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</si>
  <si>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</si>
  <si>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</si>
  <si>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</si>
  <si>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</si>
  <si>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</si>
  <si>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</si>
  <si>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</si>
  <si>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</si>
  <si>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</si>
  <si>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</si>
  <si>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</si>
  <si>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</si>
  <si>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</si>
  <si>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</si>
  <si>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</si>
  <si>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</si>
  <si>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</si>
  <si>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</si>
  <si>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</si>
  <si>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</si>
  <si>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</si>
  <si>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</si>
  <si>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</si>
  <si>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</si>
  <si>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</si>
  <si>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</si>
  <si>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</si>
  <si>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</si>
  <si>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</si>
  <si>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</si>
  <si>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</si>
  <si>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</si>
  <si>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</si>
  <si>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</si>
  <si>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</si>
  <si>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</si>
  <si>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</si>
  <si>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</si>
  <si>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</si>
  <si>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</si>
  <si>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</si>
  <si>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</si>
  <si>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</si>
  <si>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</si>
  <si>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</si>
  <si>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</si>
  <si>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</si>
  <si>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>Crop residues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</si>
  <si>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</si>
  <si>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</si>
  <si>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</si>
  <si>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</si>
  <si>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</si>
  <si>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</si>
  <si>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</si>
  <si>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</si>
  <si>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</si>
  <si>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</si>
  <si>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</si>
  <si>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</si>
  <si>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</si>
  <si>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</si>
  <si>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</si>
  <si>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</si>
  <si>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</si>
  <si>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</si>
  <si>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Sheep and others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</si>
  <si>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</si>
  <si>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</si>
  <si>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</si>
  <si>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</si>
  <si>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</si>
  <si>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</si>
  <si>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</si>
  <si>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</si>
  <si>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</si>
  <si>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</si>
  <si>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</si>
  <si>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</si>
  <si>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</si>
  <si>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</si>
  <si>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</si>
  <si>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</si>
  <si>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</si>
  <si>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</si>
  <si>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</si>
  <si>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</si>
  <si>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</si>
  <si>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</si>
  <si>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</si>
  <si>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</si>
  <si>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</si>
  <si>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</si>
  <si>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</si>
  <si>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</si>
  <si>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</si>
  <si>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</si>
  <si>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</si>
  <si>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</si>
  <si>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</si>
  <si>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</si>
  <si>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SEASON 1 - WET SEASON</t>
  </si>
  <si>
    <t>Season 2- DRY SEASON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</si>
  <si>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</si>
  <si>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</si>
  <si>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</si>
  <si>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</si>
  <si>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</si>
  <si>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</si>
  <si>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</si>
  <si>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</si>
  <si>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</si>
  <si>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</si>
  <si>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</si>
  <si>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</si>
  <si>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</si>
  <si>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</si>
  <si>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</si>
  <si>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</si>
  <si>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</si>
  <si>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</si>
  <si>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</si>
  <si>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</si>
  <si>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</si>
  <si>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</si>
  <si>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</si>
  <si>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</si>
  <si>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</si>
  <si>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</si>
  <si>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</si>
  <si>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</si>
  <si>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</si>
  <si>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</si>
  <si>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</si>
  <si>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</si>
  <si>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</si>
  <si>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</si>
  <si>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</si>
  <si>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</si>
  <si>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</si>
  <si>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</si>
  <si>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</si>
  <si>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</si>
  <si>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</si>
  <si>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</si>
  <si>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</si>
  <si>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</si>
  <si>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</si>
  <si>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</si>
  <si>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</si>
  <si>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</si>
  <si>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</si>
  <si>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</si>
  <si>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</si>
  <si>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</si>
  <si>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</si>
  <si>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</si>
  <si>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</si>
  <si>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</si>
  <si>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</si>
  <si>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Fresh Yiedl (t FW/ha)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</si>
  <si>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</si>
  <si>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</si>
  <si>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</si>
  <si>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</si>
  <si>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</si>
  <si>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</si>
  <si>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</si>
  <si>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</si>
  <si>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</si>
  <si>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</si>
  <si>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calving interval (years)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</si>
  <si>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</si>
  <si>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</si>
  <si>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</si>
  <si>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</si>
  <si>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</si>
  <si>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</si>
  <si>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</si>
  <si>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</si>
  <si>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</si>
  <si>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</si>
  <si>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</si>
  <si>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</si>
  <si>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</si>
  <si>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</si>
  <si>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</si>
  <si>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</si>
  <si>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</si>
  <si>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</si>
  <si>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</si>
  <si>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</si>
  <si>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</si>
  <si>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</si>
  <si>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</si>
  <si>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</si>
  <si>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</si>
  <si>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</si>
  <si>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</si>
  <si>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</si>
  <si>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</si>
  <si>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</si>
  <si>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</si>
  <si>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</si>
  <si>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</si>
  <si>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</si>
  <si>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>Application of collected manure for fertilization (fraction)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</si>
  <si>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</si>
  <si>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</si>
  <si>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</si>
  <si>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</si>
  <si>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</si>
  <si>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</si>
  <si>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</si>
  <si>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</si>
  <si>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</si>
  <si>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</si>
  <si>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</si>
  <si>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</si>
  <si>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</si>
  <si>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</si>
  <si>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</si>
  <si>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</si>
  <si>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</si>
  <si>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</si>
  <si>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</si>
  <si>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>Long rainy season</t>
  </si>
  <si>
    <t>Short rainy season</t>
  </si>
  <si>
    <t>Length of season (days)</t>
  </si>
  <si>
    <t>Removal from field (fraction)</t>
  </si>
  <si>
    <t>Burnt (fraction)</t>
  </si>
  <si>
    <t xml:space="preserve">Water regime prior to rice cultivation </t>
  </si>
  <si>
    <t>Cultivation period</t>
  </si>
  <si>
    <t>Dry season</t>
  </si>
  <si>
    <t xml:space="preserve">Wet season </t>
  </si>
  <si>
    <t>Dairy cows - local</t>
  </si>
  <si>
    <t>Dairy cows - improved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</si>
  <si>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</si>
  <si>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</si>
  <si>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</si>
  <si>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</si>
  <si>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</si>
  <si>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</si>
  <si>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</si>
  <si>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</si>
  <si>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</si>
  <si>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</si>
  <si>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</si>
  <si>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</si>
  <si>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</si>
  <si>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</si>
  <si>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</si>
  <si>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</si>
  <si>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</si>
  <si>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</si>
  <si>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</si>
  <si>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</si>
  <si>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</si>
  <si>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</si>
  <si>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</si>
  <si>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</si>
  <si>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</si>
  <si>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</si>
  <si>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</si>
  <si>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</si>
  <si>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</si>
  <si>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</si>
  <si>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</si>
  <si>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</si>
  <si>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</si>
  <si>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</si>
  <si>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</si>
  <si>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LIVESTOCK ENTREPRISE ONLY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</si>
  <si>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</si>
  <si>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</si>
  <si>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</si>
  <si>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</si>
  <si>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</si>
  <si>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</si>
  <si>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</si>
  <si>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</si>
  <si>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</si>
  <si>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Fertilizer rate per crop (kg N /ha)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</si>
  <si>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</si>
  <si>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</si>
  <si>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</si>
  <si>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</si>
  <si>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</si>
  <si>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</si>
  <si>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</si>
  <si>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</si>
  <si>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</si>
  <si>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</si>
  <si>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</si>
  <si>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</si>
  <si>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</si>
  <si>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</si>
  <si>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</si>
  <si>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</si>
  <si>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</si>
  <si>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</si>
  <si>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</si>
  <si>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</si>
  <si>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</si>
  <si>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Planting date wet season 1</t>
  </si>
  <si>
    <t>Harvest date wet season 1</t>
  </si>
  <si>
    <t>Planting date wet season 2</t>
  </si>
  <si>
    <t>Harvest date wet season 2</t>
  </si>
  <si>
    <t>collection of manure in fields/pasture (fraction)</t>
  </si>
  <si>
    <t>Fodder maize</t>
  </si>
  <si>
    <t>Crop residue removal from field (fraction)</t>
  </si>
  <si>
    <t>Crop residue burnt (fraction)</t>
  </si>
  <si>
    <t>Wet Season</t>
  </si>
  <si>
    <t>Dry Season</t>
  </si>
  <si>
    <t>Annual</t>
  </si>
  <si>
    <t>Feed items specific N balance</t>
  </si>
  <si>
    <t>Inputs 
(kg N/year)</t>
  </si>
  <si>
    <t>Outputs 
(kg N/year)</t>
  </si>
  <si>
    <t>Value</t>
  </si>
  <si>
    <t>Date (MM/DD/YYYY)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</si>
  <si>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</si>
  <si>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</si>
  <si>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</si>
  <si>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</si>
  <si>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</si>
  <si>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</si>
  <si>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</si>
  <si>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</si>
  <si>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</si>
  <si>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</si>
  <si>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</si>
  <si>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</si>
  <si>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</si>
  <si>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</si>
  <si>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</si>
  <si>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</si>
  <si>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</si>
  <si>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</si>
  <si>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</si>
  <si>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</si>
  <si>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</si>
  <si>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</si>
  <si>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</si>
  <si>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</si>
  <si>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</si>
  <si>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</si>
  <si>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</si>
  <si>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</si>
  <si>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</si>
  <si>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</si>
  <si>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</si>
  <si>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</si>
  <si>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</si>
  <si>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</si>
  <si>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>Average 2 seasons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</si>
  <si>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</si>
  <si>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</si>
  <si>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</si>
  <si>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</si>
  <si>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</si>
  <si>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</si>
  <si>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</si>
  <si>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</si>
  <si>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</si>
  <si>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</si>
  <si>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</si>
  <si>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</si>
  <si>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</si>
  <si>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</si>
  <si>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</si>
  <si>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</si>
  <si>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</si>
  <si>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</si>
  <si>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</si>
  <si>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</si>
  <si>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</si>
  <si>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</si>
  <si>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</si>
  <si>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</si>
  <si>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</si>
  <si>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</si>
  <si>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</si>
  <si>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</si>
  <si>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</si>
  <si>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</si>
  <si>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</si>
  <si>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</si>
  <si>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</si>
  <si>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</si>
  <si>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</si>
  <si>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</si>
  <si>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Maintance of Animals</t>
  </si>
  <si>
    <t>Maintance of Forages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</si>
  <si>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</si>
  <si>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</si>
  <si>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</si>
  <si>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</si>
  <si>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</si>
  <si>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</si>
  <si>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</si>
  <si>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</si>
  <si>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</si>
  <si>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</si>
  <si>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</si>
  <si>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</si>
  <si>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</si>
  <si>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</si>
  <si>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</si>
  <si>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>Total field area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</si>
  <si>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</si>
  <si>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</si>
  <si>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</si>
  <si>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</si>
  <si>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</si>
  <si>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</si>
  <si>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</si>
  <si>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</si>
  <si>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</si>
  <si>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</si>
  <si>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</si>
  <si>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</si>
  <si>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</si>
  <si>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</si>
  <si>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</si>
  <si>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</si>
  <si>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</si>
  <si>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</si>
  <si>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</si>
  <si>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</si>
  <si>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</si>
  <si>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</si>
  <si>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</si>
  <si>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</si>
  <si>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</si>
  <si>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</si>
  <si>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</si>
  <si>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</si>
  <si>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</si>
  <si>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</si>
  <si>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</si>
  <si>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</si>
  <si>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</si>
  <si>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</si>
  <si>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</si>
  <si>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</si>
  <si>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</si>
  <si>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</si>
  <si>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</si>
  <si>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</si>
  <si>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</si>
  <si>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</si>
  <si>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</si>
  <si>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</si>
  <si>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</si>
  <si>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</si>
  <si>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</si>
  <si>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</si>
  <si>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</si>
  <si>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</si>
  <si>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</si>
  <si>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</si>
  <si>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</si>
  <si>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</si>
  <si>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</si>
  <si>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</si>
  <si>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</si>
  <si>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</si>
  <si>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</si>
  <si>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</si>
  <si>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</si>
  <si>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</si>
  <si>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</si>
  <si>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</si>
  <si>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</si>
  <si>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</si>
  <si>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</si>
  <si>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</si>
  <si>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</si>
  <si>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</si>
  <si>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</si>
  <si>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</si>
  <si>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</si>
  <si>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</si>
  <si>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</si>
  <si>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</si>
  <si>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</si>
  <si>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</si>
  <si>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</si>
  <si>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area double counted</t>
  </si>
  <si>
    <t>Steers/heifers improved</t>
  </si>
  <si>
    <t>Calves improved</t>
  </si>
  <si>
    <t>ON FARM-Total N on pasture excreted from sheep and others</t>
  </si>
  <si>
    <t>Total Area DM S1</t>
  </si>
  <si>
    <t>Total Area DM S2</t>
  </si>
  <si>
    <t>double count nr of animals</t>
  </si>
  <si>
    <t>better use tier 1 values?</t>
  </si>
  <si>
    <t>Ym factor = 6.5 (not 3)</t>
  </si>
  <si>
    <t>CH4 emissions from enteric fermentation</t>
  </si>
  <si>
    <t>TDN</t>
  </si>
  <si>
    <t>ME Mcal</t>
  </si>
  <si>
    <t>ME MJ</t>
  </si>
  <si>
    <t>GE MJ</t>
  </si>
  <si>
    <t>GE intake</t>
  </si>
  <si>
    <t>GE: 18.45 MJ/kg DM</t>
  </si>
  <si>
    <t>Estimated Production (Manure Collected)</t>
  </si>
  <si>
    <t>Total Production (kg/year)</t>
  </si>
  <si>
    <t>own calculations</t>
  </si>
  <si>
    <t>cost  USD/ha or kg</t>
  </si>
  <si>
    <t>Total Costs</t>
  </si>
  <si>
    <t>Economics</t>
  </si>
  <si>
    <t>farmer interviews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</si>
  <si>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</si>
  <si>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</si>
  <si>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</si>
  <si>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</si>
  <si>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</si>
  <si>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</si>
  <si>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</si>
  <si>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</si>
  <si>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</si>
  <si>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</si>
  <si>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</si>
  <si>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</si>
  <si>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</si>
  <si>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</si>
  <si>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</si>
  <si>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</si>
  <si>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</si>
  <si>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</si>
  <si>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</si>
  <si>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</si>
  <si>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</si>
  <si>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</si>
  <si>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</si>
  <si>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</si>
  <si>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</si>
  <si>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</si>
  <si>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</si>
  <si>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</si>
  <si>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hectares</t>
  </si>
  <si>
    <t>kg</t>
  </si>
  <si>
    <t>area</t>
  </si>
  <si>
    <t>milk</t>
  </si>
  <si>
    <t>Cows - local</t>
  </si>
  <si>
    <t>Cows - improved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</si>
  <si>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</si>
  <si>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</si>
  <si>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</si>
  <si>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</si>
  <si>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</si>
  <si>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</si>
  <si>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</si>
  <si>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</si>
  <si>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</si>
  <si>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</si>
  <si>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</si>
  <si>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</si>
  <si>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</si>
  <si>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</si>
  <si>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</si>
  <si>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</si>
  <si>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</si>
  <si>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</si>
  <si>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</si>
  <si>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</si>
  <si>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</si>
  <si>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</si>
  <si>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</si>
  <si>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</si>
  <si>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</si>
  <si>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</si>
  <si>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</si>
  <si>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</si>
  <si>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</si>
  <si>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</si>
  <si>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</si>
  <si>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</si>
  <si>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</si>
  <si>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</si>
  <si>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</si>
  <si>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</si>
  <si>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</si>
  <si>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</si>
  <si>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</si>
  <si>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</si>
  <si>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</si>
  <si>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</si>
  <si>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Carbon stock changes- SOC</t>
  </si>
  <si>
    <r>
      <t>t C ha</t>
    </r>
    <r>
      <rPr>
        <vertAlign val="superscript"/>
        <sz val="12"/>
        <rFont val="Calibri"/>
        <family val="2"/>
        <scheme val="minor"/>
      </rPr>
      <t>-1</t>
    </r>
  </si>
  <si>
    <t>Carbon stock changes- Woody biomass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</si>
  <si>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</si>
  <si>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</si>
  <si>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</si>
  <si>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</si>
  <si>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</si>
  <si>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</si>
  <si>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</si>
  <si>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</si>
  <si>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</si>
  <si>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</si>
  <si>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</si>
  <si>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</si>
  <si>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</si>
  <si>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</si>
  <si>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</si>
  <si>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</si>
  <si>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</si>
  <si>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</si>
  <si>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</si>
  <si>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</si>
  <si>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</si>
  <si>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</si>
  <si>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</si>
  <si>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</si>
  <si>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</si>
  <si>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r>
      <t>Fertilizer rate per crop (</t>
    </r>
    <r>
      <rPr>
        <b/>
        <sz val="12"/>
        <color theme="1"/>
        <rFont val="Calibri"/>
        <family val="2"/>
        <scheme val="minor"/>
      </rPr>
      <t xml:space="preserve">kg N/ </t>
    </r>
    <r>
      <rPr>
        <sz val="12"/>
        <color theme="1"/>
        <rFont val="Calibri"/>
        <family val="2"/>
        <scheme val="minor"/>
      </rPr>
      <t>ha)</t>
    </r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</si>
  <si>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</si>
  <si>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</si>
  <si>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</si>
  <si>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</si>
  <si>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</si>
  <si>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</si>
  <si>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</si>
  <si>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</si>
  <si>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</si>
  <si>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</si>
  <si>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</si>
  <si>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</si>
  <si>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</si>
  <si>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</si>
  <si>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</si>
  <si>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</si>
  <si>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</si>
  <si>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</si>
  <si>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</si>
  <si>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</si>
  <si>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</si>
  <si>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</si>
  <si>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</si>
  <si>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</si>
  <si>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 xml:space="preserve">Meat cattle 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</si>
  <si>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</si>
  <si>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</si>
  <si>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</si>
  <si>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</si>
  <si>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</si>
  <si>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</si>
  <si>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</si>
  <si>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</si>
  <si>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</si>
  <si>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</si>
  <si>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</si>
  <si>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</si>
  <si>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lactation (ME, MJ/kg milk)</t>
  </si>
  <si>
    <t>Energy requirement growth (ME, MJ/kg LWG)</t>
  </si>
  <si>
    <t>Crude Protein requirement maintenance (kg/day/kg LWG)</t>
  </si>
  <si>
    <t>Crude Protein requirement grazing (kg/km)</t>
  </si>
  <si>
    <t>Crude Protein requirement pregnancy (kg/day/kg LWG)</t>
  </si>
  <si>
    <t>Crude Protein requirement lactation (kg/kg milk)</t>
  </si>
  <si>
    <t>Crude Protein requirement growth (kg/kg LWG)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</si>
  <si>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</si>
  <si>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</si>
  <si>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</si>
  <si>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</si>
  <si>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</si>
  <si>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</si>
  <si>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</si>
  <si>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</si>
  <si>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</si>
  <si>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</si>
  <si>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</si>
  <si>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</si>
  <si>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</si>
  <si>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</si>
  <si>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</si>
  <si>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</si>
  <si>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</si>
  <si>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</si>
  <si>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</si>
  <si>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</si>
  <si>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</si>
  <si>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</si>
  <si>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</si>
  <si>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</si>
  <si>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</si>
  <si>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</si>
  <si>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carbon stock changes (t CO2eq/yr)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</si>
  <si>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</si>
  <si>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</si>
  <si>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</si>
  <si>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</si>
  <si>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</si>
  <si>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</si>
  <si>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</si>
  <si>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</si>
  <si>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</si>
  <si>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</si>
  <si>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</si>
  <si>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</si>
  <si>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</si>
  <si>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</si>
  <si>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</si>
  <si>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</si>
  <si>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</si>
  <si>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</si>
  <si>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</si>
  <si>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</si>
  <si>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</si>
  <si>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</si>
  <si>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green fodder</t>
  </si>
  <si>
    <t>Maize (Zea mays) - silage</t>
  </si>
  <si>
    <t>Maize (Zea mays) - stover</t>
  </si>
  <si>
    <t>Maize (Zea mays) -BOUGHT stover</t>
  </si>
  <si>
    <t>Maize (Zea mays) - whole grain</t>
  </si>
  <si>
    <t>Mucuna (Mucuna pruriens) - green fodder</t>
  </si>
  <si>
    <t>Mucuna (Mucuna pruriens) - seed</t>
  </si>
  <si>
    <t>Mulberry (Morus alba)</t>
  </si>
  <si>
    <t>Napier grass (Pennisetum purpureum) - green fodder</t>
  </si>
  <si>
    <t>Naturally occuring pasture - grazing</t>
  </si>
  <si>
    <t xml:space="preserve">Naturally occuring pasture - green fodder </t>
  </si>
  <si>
    <t xml:space="preserve">Naturally occuring pasture - hay (tropical) </t>
  </si>
  <si>
    <t>Oat (Avena sativa) - grain</t>
  </si>
  <si>
    <t>Oat (Avena sativa) - green fodder</t>
  </si>
  <si>
    <t>Oat (Avena sativa) - hay</t>
  </si>
  <si>
    <t>Oat (Avena sativa) - hulls</t>
  </si>
  <si>
    <t>Oat (Avena sativa) - meal/cereal by-product</t>
  </si>
  <si>
    <t>Oat (Avena sativa) - silage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</si>
  <si>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</si>
  <si>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</si>
  <si>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</si>
  <si>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</si>
  <si>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</si>
  <si>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Paspalum notatum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</si>
  <si>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</si>
  <si>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</si>
  <si>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</si>
  <si>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</si>
  <si>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</si>
  <si>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</si>
  <si>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</si>
  <si>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</si>
  <si>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</si>
  <si>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</si>
  <si>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</si>
  <si>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Rhodes grass (Chloris gayana) - green fodder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</si>
  <si>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</si>
  <si>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</si>
  <si>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</si>
  <si>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</si>
  <si>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Sorghum (Sorghum bicolor) - green fodder</t>
  </si>
  <si>
    <t>Soybean (Glycine max) - crop residue</t>
  </si>
  <si>
    <t>Soybean (Glycine max) - meal</t>
  </si>
  <si>
    <t>Soybean (Glycine max) - seed coats</t>
  </si>
  <si>
    <t>Soybean (Glycine max) - whole seed</t>
  </si>
  <si>
    <t>Stylo (Stylosanthes guianensis) - green fodder</t>
  </si>
  <si>
    <t>Sugarcane (Saccharum officinarum) - BOUGHT</t>
  </si>
  <si>
    <t>Sugarcane (Saccharum officinarum) - tops (green fodder)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</si>
  <si>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</si>
  <si>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</si>
  <si>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</si>
  <si>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</si>
  <si>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</si>
  <si>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</si>
  <si>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</si>
  <si>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Lablab bean</t>
  </si>
  <si>
    <t>Lucerne</t>
  </si>
  <si>
    <t>Lupins</t>
  </si>
  <si>
    <t>Oat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</si>
  <si>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</si>
  <si>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</si>
  <si>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</si>
  <si>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</si>
  <si>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</si>
  <si>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</si>
  <si>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</si>
  <si>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</si>
  <si>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</si>
  <si>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</si>
  <si>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</si>
  <si>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</si>
  <si>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</si>
  <si>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</si>
  <si>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</si>
  <si>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</si>
  <si>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</si>
  <si>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</si>
  <si>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</si>
  <si>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</si>
  <si>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</si>
  <si>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</si>
  <si>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</si>
  <si>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</si>
  <si>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</si>
  <si>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</si>
  <si>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</si>
  <si>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</si>
  <si>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Calving interval</t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</si>
  <si>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</si>
  <si>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</si>
  <si>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</si>
  <si>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</si>
  <si>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</si>
  <si>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</si>
  <si>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</si>
  <si>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</si>
  <si>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</si>
  <si>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</si>
  <si>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</si>
  <si>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</si>
  <si>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</si>
  <si>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</si>
  <si>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</si>
  <si>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</si>
  <si>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</si>
  <si>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</si>
  <si>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</si>
  <si>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</si>
  <si>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</si>
  <si>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</si>
  <si>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</si>
  <si>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t>Crude Protein requirement pregnancy (kg)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</si>
  <si>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</si>
  <si>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</si>
  <si>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</si>
  <si>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</si>
  <si>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Canavalia brasiliensis</t>
  </si>
  <si>
    <t>Cassava</t>
  </si>
  <si>
    <t>Cratylia</t>
  </si>
  <si>
    <t>Gliricidia</t>
  </si>
  <si>
    <t>Guava</t>
  </si>
  <si>
    <t>Hyparrhenia rufa</t>
  </si>
  <si>
    <t>Ischaemus indicum</t>
  </si>
  <si>
    <t>Natural trees</t>
  </si>
  <si>
    <t>Red pepper</t>
  </si>
  <si>
    <t>Bermuda grass (Cynodon dactylon) - forage</t>
  </si>
  <si>
    <t>Bermuda</t>
  </si>
  <si>
    <t>Bermuda grass (Cynodon dactylon) - hay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</si>
  <si>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</si>
  <si>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</si>
  <si>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</si>
  <si>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</si>
  <si>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</si>
  <si>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</si>
  <si>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</si>
  <si>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</si>
  <si>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</si>
  <si>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Ischaemus indicum  (forage)</t>
  </si>
  <si>
    <t>Lablab (Lablab purpureus) - forage</t>
  </si>
  <si>
    <t>Lablab</t>
  </si>
  <si>
    <t>Leucaena (Leucaena leucocephala) - forage</t>
  </si>
  <si>
    <t>Maize (Zea mays)-forage</t>
  </si>
  <si>
    <t>Maize (Zea mays)-silage</t>
  </si>
  <si>
    <t>Maize (Zea mays)-stover</t>
  </si>
  <si>
    <t>Mucuna (Mucuna pruriens) - forage</t>
  </si>
  <si>
    <t>Napier grass (Pennisetum purpureum)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</si>
  <si>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</si>
  <si>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</si>
  <si>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</si>
  <si>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</si>
  <si>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</si>
  <si>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</si>
  <si>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</si>
  <si>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</si>
  <si>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</si>
  <si>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</si>
  <si>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</si>
  <si>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</si>
  <si>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</si>
  <si>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</si>
  <si>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</si>
  <si>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</si>
  <si>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</si>
  <si>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</si>
  <si>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</si>
  <si>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</si>
  <si>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</si>
  <si>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</si>
  <si>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</si>
  <si>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</si>
  <si>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</si>
  <si>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</si>
  <si>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</si>
  <si>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</si>
  <si>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 xml:space="preserve">Gross Margins </t>
  </si>
  <si>
    <t>Is only calculated for scenarios</t>
  </si>
  <si>
    <t>T23</t>
  </si>
  <si>
    <t>Mufindi</t>
  </si>
  <si>
    <t>Guatemala</t>
  </si>
  <si>
    <t>Buffel</t>
  </si>
  <si>
    <t>Buffel grass (Cenchrus ciliaris) - forage</t>
  </si>
  <si>
    <t>Guatemala grass (Tripsacum andersonii) - forage</t>
  </si>
  <si>
    <r>
      <t>t C ha</t>
    </r>
    <r>
      <rPr>
        <vertAlign val="superscript"/>
        <sz val="12"/>
        <color rgb="FFC00000"/>
        <rFont val="Calibri"/>
        <family val="2"/>
        <scheme val="minor"/>
      </rPr>
      <t>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</si>
</sst>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2"/>
      <color rgb="FFFF000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i/>
      <sz val="12"/>
      <color theme="0" tint="-0.34998626667073579"/>
      <name val="Calibri"/>
      <family val="2"/>
      <scheme val="minor"/>
    </font>
    <font>
      <sz val="12"/>
      <color rgb="FFC00000"/>
      <name val="Calibri"/>
      <family val="2"/>
      <scheme val="minor"/>
    </font>
    <font>
      <vertAlign val="superscript"/>
      <sz val="12"/>
      <color rgb="FFC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</borders>
  <cellStyleXfs count="1842">
    <xf numFmtId="0" fontId="0" fillId="0" borderId="0"/>
    <xf numFmtId="0" fontId="22" fillId="2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6" fillId="13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9" fillId="15" borderId="0" applyNumberFormat="0" applyBorder="0" applyAlignment="0" applyProtection="0"/>
    <xf numFmtId="9" fontId="20" fillId="0" borderId="0" applyFont="0" applyFill="0" applyBorder="0" applyAlignment="0" applyProtection="0"/>
    <xf numFmtId="0" fontId="51" fillId="16" borderId="62" applyNumberFormat="0" applyAlignment="0" applyProtection="0"/>
    <xf numFmtId="0" fontId="59" fillId="0" borderId="0" applyNumberFormat="0" applyFill="0" applyBorder="0" applyAlignment="0" applyProtection="0"/>
    <xf numFmtId="0" fontId="19" fillId="0" borderId="0"/>
    <xf numFmtId="0" fontId="3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4" fontId="20" fillId="0" borderId="0" applyFont="0" applyFill="0" applyBorder="0" applyAlignment="0" applyProtection="0"/>
    <xf numFmtId="0" fontId="17" fillId="0" borderId="0"/>
    <xf numFmtId="164" fontId="20" fillId="0" borderId="0" applyFont="0" applyFill="0" applyBorder="0" applyAlignment="0" applyProtection="0"/>
  </cellStyleXfs>
  <cellXfs count="1617">
    <xf numFmtId="0" fontId="0" fillId="0" borderId="0" xfId="0"/>
    <xf numFmtId="0" fontId="23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8" fillId="0" borderId="0" xfId="0" applyFont="1"/>
    <xf numFmtId="0" fontId="29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4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7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0" fillId="5" borderId="1" xfId="1" applyFont="1" applyFill="1" applyBorder="1" applyAlignment="1">
      <alignment horizontal="center" vertical="center"/>
    </xf>
    <xf numFmtId="0" fontId="30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30" fillId="5" borderId="1" xfId="1" applyFont="1" applyFill="1" applyBorder="1" applyAlignment="1">
      <alignment horizontal="center" vertical="center" wrapText="1"/>
    </xf>
    <xf numFmtId="0" fontId="27" fillId="0" borderId="0" xfId="0" applyFont="1"/>
    <xf numFmtId="0" fontId="31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4" fillId="6" borderId="1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2" fontId="27" fillId="0" borderId="1" xfId="0" applyNumberFormat="1" applyFont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/>
    </xf>
    <xf numFmtId="0" fontId="35" fillId="5" borderId="1" xfId="1" applyFont="1" applyFill="1" applyBorder="1" applyAlignment="1">
      <alignment horizontal="center" vertical="center"/>
    </xf>
    <xf numFmtId="166" fontId="34" fillId="5" borderId="1" xfId="1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5" fillId="6" borderId="1" xfId="1" applyFont="1" applyFill="1" applyBorder="1" applyAlignment="1">
      <alignment horizontal="center" vertical="center" wrapText="1"/>
    </xf>
    <xf numFmtId="2" fontId="35" fillId="6" borderId="1" xfId="1" applyNumberFormat="1" applyFont="1" applyFill="1" applyBorder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2" fontId="34" fillId="6" borderId="19" xfId="1" applyNumberFormat="1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2" fontId="35" fillId="6" borderId="1" xfId="1" applyNumberFormat="1" applyFont="1" applyFill="1" applyBorder="1" applyAlignment="1">
      <alignment horizontal="center" vertical="center"/>
    </xf>
    <xf numFmtId="0" fontId="35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7" fillId="0" borderId="1" xfId="0" applyFont="1" applyBorder="1" applyAlignment="1">
      <alignment vertical="top"/>
    </xf>
    <xf numFmtId="0" fontId="27" fillId="0" borderId="1" xfId="0" applyFont="1" applyBorder="1" applyAlignment="1">
      <alignment vertical="top" wrapText="1"/>
    </xf>
    <xf numFmtId="2" fontId="34" fillId="6" borderId="1" xfId="1" applyNumberFormat="1" applyFont="1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7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7" fillId="6" borderId="1" xfId="0" applyNumberFormat="1" applyFont="1" applyFill="1" applyBorder="1" applyAlignment="1">
      <alignment horizontal="center" vertical="center" wrapText="1"/>
    </xf>
    <xf numFmtId="2" fontId="24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0" fillId="5" borderId="1" xfId="0" applyNumberFormat="1" applyFill="1" applyBorder="1" applyAlignment="1">
      <alignment horizontal="center" vertical="center" wrapText="1"/>
    </xf>
    <xf numFmtId="2" fontId="24" fillId="6" borderId="1" xfId="6" applyNumberFormat="1" applyFill="1" applyBorder="1" applyAlignment="1">
      <alignment horizontal="center" vertical="center"/>
    </xf>
    <xf numFmtId="0" fontId="24" fillId="5" borderId="1" xfId="6" applyFill="1" applyBorder="1" applyAlignment="1">
      <alignment horizontal="center" vertical="center"/>
    </xf>
    <xf numFmtId="2" fontId="27" fillId="6" borderId="1" xfId="0" applyNumberFormat="1" applyFont="1" applyFill="1" applyBorder="1" applyAlignment="1">
      <alignment horizontal="center" vertical="center"/>
    </xf>
    <xf numFmtId="0" fontId="32" fillId="0" borderId="0" xfId="0" applyFont="1"/>
    <xf numFmtId="0" fontId="0" fillId="0" borderId="13" xfId="0" applyBorder="1" applyAlignment="1">
      <alignment horizontal="center"/>
    </xf>
    <xf numFmtId="0" fontId="40" fillId="0" borderId="1" xfId="0" applyFont="1" applyBorder="1" applyAlignment="1">
      <alignment horizontal="center" vertical="center" wrapText="1"/>
    </xf>
    <xf numFmtId="0" fontId="40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5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7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7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7" fillId="0" borderId="1" xfId="0" applyNumberFormat="1" applyFont="1" applyBorder="1" applyAlignment="1">
      <alignment horizontal="center"/>
    </xf>
    <xf numFmtId="0" fontId="27" fillId="6" borderId="0" xfId="0" applyFont="1" applyFill="1" applyAlignment="1">
      <alignment horizontal="center" vertical="center" wrapText="1"/>
    </xf>
    <xf numFmtId="2" fontId="40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7" fillId="0" borderId="12" xfId="0" applyNumberFormat="1" applyFont="1" applyBorder="1"/>
    <xf numFmtId="2" fontId="27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4" fillId="4" borderId="0" xfId="0" applyFont="1" applyFill="1" applyAlignment="1">
      <alignment horizontal="center" wrapText="1"/>
    </xf>
    <xf numFmtId="0" fontId="24" fillId="11" borderId="0" xfId="0" applyFont="1" applyFill="1" applyAlignment="1">
      <alignment horizontal="center" wrapText="1"/>
    </xf>
    <xf numFmtId="0" fontId="23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4" fillId="0" borderId="0" xfId="0" applyFont="1" applyAlignment="1">
      <alignment vertical="top" wrapText="1"/>
    </xf>
    <xf numFmtId="0" fontId="0" fillId="10" borderId="0" xfId="0" applyFill="1"/>
    <xf numFmtId="0" fontId="24" fillId="0" borderId="0" xfId="0" applyFont="1"/>
    <xf numFmtId="0" fontId="24" fillId="10" borderId="0" xfId="0" applyFont="1" applyFill="1" applyAlignment="1">
      <alignment horizontal="center" wrapText="1"/>
    </xf>
    <xf numFmtId="0" fontId="30" fillId="0" borderId="0" xfId="0" applyFont="1"/>
    <xf numFmtId="0" fontId="34" fillId="0" borderId="0" xfId="0" applyFont="1" applyAlignment="1">
      <alignment wrapText="1"/>
    </xf>
    <xf numFmtId="0" fontId="34" fillId="0" borderId="1" xfId="0" applyFont="1" applyBorder="1" applyAlignment="1">
      <alignment horizontal="center" vertical="center" wrapText="1"/>
    </xf>
    <xf numFmtId="0" fontId="23" fillId="9" borderId="12" xfId="0" applyFont="1" applyFill="1" applyBorder="1"/>
    <xf numFmtId="0" fontId="27" fillId="0" borderId="1" xfId="0" applyFont="1" applyBorder="1" applyAlignment="1">
      <alignment horizontal="left" wrapText="1"/>
    </xf>
    <xf numFmtId="0" fontId="0" fillId="5" borderId="8" xfId="0" applyFill="1" applyBorder="1"/>
    <xf numFmtId="0" fontId="30" fillId="4" borderId="1" xfId="0" applyFont="1" applyFill="1" applyBorder="1"/>
    <xf numFmtId="2" fontId="34" fillId="4" borderId="1" xfId="0" applyNumberFormat="1" applyFon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2" fontId="30" fillId="0" borderId="1" xfId="1" applyNumberFormat="1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5" fillId="0" borderId="1" xfId="1" applyNumberFormat="1" applyFont="1" applyFill="1" applyBorder="1" applyAlignment="1">
      <alignment horizontal="center" vertical="center" wrapText="1"/>
    </xf>
    <xf numFmtId="0" fontId="35" fillId="0" borderId="1" xfId="1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left" vertical="center"/>
    </xf>
    <xf numFmtId="2" fontId="48" fillId="0" borderId="1" xfId="0" applyNumberFormat="1" applyFont="1" applyBorder="1" applyAlignment="1">
      <alignment horizontal="center" vertical="center"/>
    </xf>
    <xf numFmtId="0" fontId="30" fillId="0" borderId="1" xfId="1" applyFont="1" applyFill="1" applyBorder="1" applyAlignment="1">
      <alignment horizontal="center" vertical="center"/>
    </xf>
    <xf numFmtId="0" fontId="46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2" fontId="46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7" fillId="5" borderId="15" xfId="0" applyFont="1" applyFill="1" applyBorder="1" applyAlignment="1">
      <alignment horizontal="center" vertical="center"/>
    </xf>
    <xf numFmtId="0" fontId="27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30" fillId="0" borderId="1" xfId="0" applyFont="1" applyBorder="1"/>
    <xf numFmtId="0" fontId="34" fillId="0" borderId="1" xfId="0" applyFont="1" applyBorder="1"/>
    <xf numFmtId="49" fontId="30" fillId="0" borderId="1" xfId="0" applyNumberFormat="1" applyFont="1" applyBorder="1"/>
    <xf numFmtId="0" fontId="46" fillId="13" borderId="0" xfId="996"/>
    <xf numFmtId="2" fontId="46" fillId="13" borderId="0" xfId="996" applyNumberFormat="1" applyAlignment="1">
      <alignment horizontal="center" vertical="center"/>
    </xf>
    <xf numFmtId="2" fontId="24" fillId="0" borderId="0" xfId="6" applyNumberFormat="1" applyAlignment="1">
      <alignment horizontal="center" vertical="center"/>
    </xf>
    <xf numFmtId="0" fontId="47" fillId="0" borderId="9" xfId="0" applyFont="1" applyBorder="1" applyAlignment="1">
      <alignment vertical="center"/>
    </xf>
    <xf numFmtId="0" fontId="47" fillId="0" borderId="10" xfId="0" applyFont="1" applyBorder="1" applyAlignment="1">
      <alignment vertical="center"/>
    </xf>
    <xf numFmtId="0" fontId="47" fillId="0" borderId="13" xfId="0" applyFont="1" applyBorder="1" applyAlignment="1">
      <alignment vertical="center"/>
    </xf>
    <xf numFmtId="0" fontId="47" fillId="0" borderId="14" xfId="0" applyFont="1" applyBorder="1" applyAlignment="1">
      <alignment vertical="center"/>
    </xf>
    <xf numFmtId="0" fontId="23" fillId="5" borderId="1" xfId="0" applyFont="1" applyFill="1" applyBorder="1" applyAlignment="1">
      <alignment horizontal="left" vertical="center" wrapText="1"/>
    </xf>
    <xf numFmtId="0" fontId="23" fillId="5" borderId="1" xfId="0" applyFont="1" applyFill="1" applyBorder="1" applyAlignment="1">
      <alignment horizontal="center" vertical="center"/>
    </xf>
    <xf numFmtId="2" fontId="30" fillId="0" borderId="0" xfId="0" applyNumberFormat="1" applyFont="1"/>
    <xf numFmtId="2" fontId="0" fillId="10" borderId="0" xfId="0" applyNumberFormat="1" applyFill="1"/>
    <xf numFmtId="2" fontId="42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7" fillId="0" borderId="59" xfId="0" applyNumberFormat="1" applyFont="1" applyBorder="1"/>
    <xf numFmtId="0" fontId="45" fillId="12" borderId="0" xfId="0" applyFont="1" applyFill="1" applyAlignment="1">
      <alignment horizontal="center" vertical="center" wrapText="1"/>
    </xf>
    <xf numFmtId="2" fontId="37" fillId="0" borderId="59" xfId="996" applyNumberFormat="1" applyFont="1" applyFill="1" applyBorder="1"/>
    <xf numFmtId="2" fontId="30" fillId="0" borderId="0" xfId="996" applyNumberFormat="1" applyFont="1" applyFill="1"/>
    <xf numFmtId="2" fontId="37" fillId="0" borderId="59" xfId="0" applyNumberFormat="1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0" fontId="24" fillId="9" borderId="0" xfId="0" applyFont="1" applyFill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4" fillId="10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2" fontId="23" fillId="0" borderId="0" xfId="0" applyNumberFormat="1" applyFont="1" applyAlignment="1">
      <alignment horizontal="center" vertical="center" wrapText="1"/>
    </xf>
    <xf numFmtId="0" fontId="24" fillId="9" borderId="14" xfId="0" applyFont="1" applyFill="1" applyBorder="1" applyAlignment="1">
      <alignment horizontal="center" vertical="center" wrapText="1"/>
    </xf>
    <xf numFmtId="0" fontId="23" fillId="9" borderId="0" xfId="0" applyFont="1" applyFill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7" fillId="0" borderId="1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36" fillId="0" borderId="0" xfId="0" applyFont="1"/>
    <xf numFmtId="0" fontId="36" fillId="0" borderId="0" xfId="0" applyFont="1" applyAlignment="1">
      <alignment vertical="center"/>
    </xf>
    <xf numFmtId="0" fontId="23" fillId="0" borderId="1" xfId="0" applyFont="1" applyBorder="1" applyAlignment="1">
      <alignment horizontal="center" wrapText="1"/>
    </xf>
    <xf numFmtId="0" fontId="24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30" fillId="0" borderId="1" xfId="0" applyNumberFormat="1" applyFont="1" applyBorder="1" applyAlignment="1">
      <alignment horizontal="center" vertical="center" wrapText="1"/>
    </xf>
    <xf numFmtId="0" fontId="24" fillId="17" borderId="0" xfId="0" applyFont="1" applyFill="1" applyAlignment="1">
      <alignment horizontal="center" wrapText="1"/>
    </xf>
    <xf numFmtId="0" fontId="24" fillId="11" borderId="10" xfId="0" applyFont="1" applyFill="1" applyBorder="1" applyAlignment="1">
      <alignment wrapText="1"/>
    </xf>
    <xf numFmtId="0" fontId="30" fillId="0" borderId="0" xfId="0" applyFont="1" applyAlignment="1">
      <alignment wrapText="1"/>
    </xf>
    <xf numFmtId="2" fontId="30" fillId="0" borderId="1" xfId="0" applyNumberFormat="1" applyFont="1" applyBorder="1" applyAlignment="1">
      <alignment horizontal="center" vertical="center"/>
    </xf>
    <xf numFmtId="166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/>
    <xf numFmtId="0" fontId="30" fillId="0" borderId="0" xfId="0" applyFont="1" applyAlignment="1">
      <alignment horizontal="center"/>
    </xf>
    <xf numFmtId="0" fontId="30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 wrapText="1"/>
    </xf>
    <xf numFmtId="0" fontId="30" fillId="0" borderId="28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left" vertical="center"/>
    </xf>
    <xf numFmtId="0" fontId="30" fillId="0" borderId="28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1" xfId="0" applyFont="1" applyBorder="1" applyAlignment="1">
      <alignment wrapText="1"/>
    </xf>
    <xf numFmtId="1" fontId="30" fillId="0" borderId="1" xfId="0" applyNumberFormat="1" applyFont="1" applyBorder="1" applyAlignment="1">
      <alignment horizontal="center" vertical="top" wrapText="1"/>
    </xf>
    <xf numFmtId="0" fontId="53" fillId="0" borderId="1" xfId="0" applyFont="1" applyBorder="1" applyAlignment="1">
      <alignment horizontal="center" vertical="center" wrapText="1"/>
    </xf>
    <xf numFmtId="1" fontId="30" fillId="0" borderId="1" xfId="0" applyNumberFormat="1" applyFont="1" applyBorder="1" applyAlignment="1">
      <alignment horizontal="center" vertical="center" wrapText="1"/>
    </xf>
    <xf numFmtId="0" fontId="30" fillId="0" borderId="1" xfId="0" quotePrefix="1" applyFont="1" applyBorder="1" applyAlignment="1">
      <alignment horizontal="center" vertical="center"/>
    </xf>
    <xf numFmtId="166" fontId="30" fillId="0" borderId="0" xfId="0" applyNumberFormat="1" applyFont="1" applyAlignment="1">
      <alignment horizontal="center" vertical="center" wrapText="1"/>
    </xf>
    <xf numFmtId="0" fontId="30" fillId="0" borderId="12" xfId="0" applyFont="1" applyBorder="1" applyAlignment="1">
      <alignment horizontal="left" vertical="center"/>
    </xf>
    <xf numFmtId="1" fontId="30" fillId="0" borderId="1" xfId="0" applyNumberFormat="1" applyFont="1" applyBorder="1"/>
    <xf numFmtId="0" fontId="30" fillId="0" borderId="0" xfId="0" applyFont="1" applyAlignment="1">
      <alignment horizontal="left" vertical="top"/>
    </xf>
    <xf numFmtId="0" fontId="34" fillId="0" borderId="0" xfId="0" applyFont="1"/>
    <xf numFmtId="0" fontId="30" fillId="0" borderId="1" xfId="0" applyFont="1" applyBorder="1" applyAlignment="1">
      <alignment horizontal="left" vertical="center" wrapText="1"/>
    </xf>
    <xf numFmtId="166" fontId="30" fillId="0" borderId="0" xfId="0" applyNumberFormat="1" applyFont="1" applyAlignment="1">
      <alignment wrapText="1"/>
    </xf>
    <xf numFmtId="0" fontId="30" fillId="0" borderId="0" xfId="0" applyFont="1" applyAlignment="1">
      <alignment horizontal="center" wrapText="1"/>
    </xf>
    <xf numFmtId="0" fontId="30" fillId="0" borderId="11" xfId="0" applyFont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30" fillId="0" borderId="8" xfId="0" applyFont="1" applyBorder="1" applyAlignment="1">
      <alignment horizontal="center" vertical="center"/>
    </xf>
    <xf numFmtId="0" fontId="34" fillId="0" borderId="41" xfId="0" applyFont="1" applyBorder="1" applyAlignment="1">
      <alignment horizontal="center" vertical="center" wrapText="1"/>
    </xf>
    <xf numFmtId="0" fontId="30" fillId="0" borderId="42" xfId="0" applyFont="1" applyBorder="1" applyAlignment="1">
      <alignment horizontal="center" vertical="center"/>
    </xf>
    <xf numFmtId="2" fontId="30" fillId="0" borderId="42" xfId="0" applyNumberFormat="1" applyFont="1" applyBorder="1" applyAlignment="1">
      <alignment horizontal="center" vertical="center"/>
    </xf>
    <xf numFmtId="2" fontId="30" fillId="0" borderId="40" xfId="0" applyNumberFormat="1" applyFont="1" applyBorder="1" applyAlignment="1">
      <alignment horizontal="center" vertical="center"/>
    </xf>
    <xf numFmtId="2" fontId="30" fillId="0" borderId="8" xfId="0" applyNumberFormat="1" applyFont="1" applyBorder="1" applyAlignment="1">
      <alignment horizontal="center" vertical="center"/>
    </xf>
    <xf numFmtId="0" fontId="30" fillId="0" borderId="19" xfId="0" applyFont="1" applyBorder="1" applyAlignment="1">
      <alignment vertical="center"/>
    </xf>
    <xf numFmtId="0" fontId="30" fillId="0" borderId="1" xfId="0" applyFont="1" applyBorder="1" applyAlignment="1">
      <alignment shrinkToFit="1"/>
    </xf>
    <xf numFmtId="0" fontId="42" fillId="0" borderId="0" xfId="0" applyFont="1" applyAlignment="1">
      <alignment vertical="center"/>
    </xf>
    <xf numFmtId="0" fontId="30" fillId="0" borderId="0" xfId="0" applyFont="1" applyAlignment="1">
      <alignment horizontal="right"/>
    </xf>
    <xf numFmtId="2" fontId="30" fillId="0" borderId="0" xfId="723" applyNumberFormat="1" applyFont="1" applyAlignment="1">
      <alignment horizontal="center" vertical="center" wrapText="1"/>
    </xf>
    <xf numFmtId="2" fontId="30" fillId="0" borderId="0" xfId="723" applyNumberFormat="1" applyFont="1"/>
    <xf numFmtId="166" fontId="30" fillId="0" borderId="0" xfId="723" applyNumberFormat="1" applyFont="1"/>
    <xf numFmtId="166" fontId="24" fillId="0" borderId="0" xfId="6" applyNumberFormat="1"/>
    <xf numFmtId="0" fontId="24" fillId="0" borderId="0" xfId="6" applyAlignment="1">
      <alignment horizontal="center"/>
    </xf>
    <xf numFmtId="0" fontId="24" fillId="0" borderId="0" xfId="6" applyAlignment="1">
      <alignment horizontal="center" vertical="center"/>
    </xf>
    <xf numFmtId="0" fontId="52" fillId="0" borderId="1" xfId="0" applyFont="1" applyBorder="1" applyAlignment="1">
      <alignment horizontal="left" vertical="center"/>
    </xf>
    <xf numFmtId="0" fontId="50" fillId="0" borderId="0" xfId="6" applyFont="1"/>
    <xf numFmtId="0" fontId="3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wrapText="1"/>
    </xf>
    <xf numFmtId="1" fontId="30" fillId="0" borderId="0" xfId="0" applyNumberFormat="1" applyFont="1" applyAlignment="1">
      <alignment horizontal="center"/>
    </xf>
    <xf numFmtId="1" fontId="30" fillId="0" borderId="1" xfId="0" applyNumberFormat="1" applyFont="1" applyBorder="1" applyAlignment="1">
      <alignment horizontal="center"/>
    </xf>
    <xf numFmtId="1" fontId="30" fillId="0" borderId="0" xfId="0" applyNumberFormat="1" applyFont="1" applyAlignment="1">
      <alignment horizontal="center" vertical="center"/>
    </xf>
    <xf numFmtId="0" fontId="54" fillId="0" borderId="63" xfId="0" applyFont="1" applyBorder="1" applyAlignment="1">
      <alignment vertical="center"/>
    </xf>
    <xf numFmtId="0" fontId="56" fillId="0" borderId="10" xfId="0" applyFont="1" applyBorder="1" applyAlignment="1">
      <alignment horizontal="center" vertical="center" wrapText="1"/>
    </xf>
    <xf numFmtId="0" fontId="30" fillId="0" borderId="0" xfId="0" applyFont="1" applyAlignment="1">
      <alignment vertical="top" wrapText="1"/>
    </xf>
    <xf numFmtId="0" fontId="57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3" fontId="56" fillId="0" borderId="0" xfId="0" applyNumberFormat="1" applyFont="1" applyAlignment="1">
      <alignment horizontal="center" vertical="center" wrapText="1"/>
    </xf>
    <xf numFmtId="1" fontId="30" fillId="0" borderId="0" xfId="0" applyNumberFormat="1" applyFont="1" applyAlignment="1">
      <alignment horizontal="center" vertical="top" wrapText="1"/>
    </xf>
    <xf numFmtId="0" fontId="56" fillId="0" borderId="14" xfId="0" applyFont="1" applyBorder="1" applyAlignment="1">
      <alignment horizontal="center" vertical="center" wrapText="1"/>
    </xf>
    <xf numFmtId="0" fontId="30" fillId="0" borderId="14" xfId="0" applyFont="1" applyBorder="1" applyAlignment="1">
      <alignment vertical="top" wrapText="1"/>
    </xf>
    <xf numFmtId="0" fontId="53" fillId="0" borderId="0" xfId="0" applyFont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167" fontId="30" fillId="0" borderId="0" xfId="0" applyNumberFormat="1" applyFont="1"/>
    <xf numFmtId="167" fontId="27" fillId="0" borderId="1" xfId="0" applyNumberFormat="1" applyFont="1" applyBorder="1"/>
    <xf numFmtId="167" fontId="27" fillId="0" borderId="0" xfId="0" applyNumberFormat="1" applyFont="1"/>
    <xf numFmtId="0" fontId="60" fillId="0" borderId="0" xfId="0" applyFont="1"/>
    <xf numFmtId="2" fontId="60" fillId="0" borderId="0" xfId="0" applyNumberFormat="1" applyFont="1"/>
    <xf numFmtId="0" fontId="60" fillId="0" borderId="1" xfId="0" applyFont="1" applyBorder="1"/>
    <xf numFmtId="0" fontId="60" fillId="0" borderId="1" xfId="0" applyFont="1" applyBorder="1" applyAlignment="1">
      <alignment vertical="top" wrapText="1"/>
    </xf>
    <xf numFmtId="0" fontId="60" fillId="0" borderId="8" xfId="0" applyFont="1" applyBorder="1"/>
    <xf numFmtId="0" fontId="30" fillId="0" borderId="0" xfId="1556" applyFont="1"/>
    <xf numFmtId="2" fontId="30" fillId="0" borderId="0" xfId="1556" applyNumberFormat="1" applyFont="1"/>
    <xf numFmtId="166" fontId="30" fillId="0" borderId="0" xfId="1556" applyNumberFormat="1" applyFont="1"/>
    <xf numFmtId="0" fontId="19" fillId="0" borderId="0" xfId="1557"/>
    <xf numFmtId="0" fontId="41" fillId="0" borderId="0" xfId="1557" applyFont="1"/>
    <xf numFmtId="0" fontId="62" fillId="0" borderId="0" xfId="0" applyFont="1" applyAlignment="1">
      <alignment vertical="center" wrapText="1"/>
    </xf>
    <xf numFmtId="0" fontId="63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7" fillId="0" borderId="0" xfId="0" applyFont="1" applyAlignment="1">
      <alignment vertical="center"/>
    </xf>
    <xf numFmtId="2" fontId="23" fillId="0" borderId="0" xfId="0" applyNumberFormat="1" applyFont="1" applyAlignment="1">
      <alignment vertical="top" wrapText="1"/>
    </xf>
    <xf numFmtId="0" fontId="66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4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30" fillId="18" borderId="0" xfId="996" applyNumberFormat="1" applyFont="1" applyFill="1"/>
    <xf numFmtId="0" fontId="37" fillId="0" borderId="0" xfId="0" applyFont="1"/>
    <xf numFmtId="2" fontId="37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0" fontId="0" fillId="6" borderId="45" xfId="0" applyFill="1" applyBorder="1" applyAlignment="1">
      <alignment horizontal="center" vertical="center"/>
    </xf>
    <xf numFmtId="9" fontId="61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7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7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7" fillId="0" borderId="4" xfId="0" applyFont="1" applyBorder="1" applyAlignment="1">
      <alignment horizontal="left" wrapText="1"/>
    </xf>
    <xf numFmtId="0" fontId="0" fillId="18" borderId="5" xfId="0" applyFill="1" applyBorder="1"/>
    <xf numFmtId="0" fontId="34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7" fillId="5" borderId="50" xfId="0" applyFont="1" applyFill="1" applyBorder="1" applyAlignment="1">
      <alignment horizontal="left" wrapText="1"/>
    </xf>
    <xf numFmtId="0" fontId="27" fillId="5" borderId="3" xfId="0" applyFont="1" applyFill="1" applyBorder="1" applyAlignment="1">
      <alignment horizontal="left" wrapText="1"/>
    </xf>
    <xf numFmtId="2" fontId="35" fillId="6" borderId="0" xfId="6" applyNumberFormat="1" applyFont="1" applyFill="1" applyAlignment="1">
      <alignment horizontal="center" vertical="center"/>
    </xf>
    <xf numFmtId="0" fontId="34" fillId="6" borderId="2" xfId="0" applyFont="1" applyFill="1" applyBorder="1" applyAlignment="1">
      <alignment horizontal="center" vertical="center"/>
    </xf>
    <xf numFmtId="0" fontId="34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4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5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2" fontId="30" fillId="6" borderId="0" xfId="6" applyNumberFormat="1" applyFont="1" applyFill="1" applyAlignment="1">
      <alignment horizontal="center" vertical="center"/>
    </xf>
    <xf numFmtId="0" fontId="37" fillId="6" borderId="57" xfId="0" applyFont="1" applyFill="1" applyBorder="1" applyAlignment="1">
      <alignment horizontal="center" vertical="center"/>
    </xf>
    <xf numFmtId="0" fontId="37" fillId="6" borderId="53" xfId="0" applyFont="1" applyFill="1" applyBorder="1" applyAlignment="1">
      <alignment horizontal="center" vertical="center"/>
    </xf>
    <xf numFmtId="0" fontId="70" fillId="6" borderId="52" xfId="0" applyFont="1" applyFill="1" applyBorder="1" applyAlignment="1">
      <alignment horizontal="center" vertical="center"/>
    </xf>
    <xf numFmtId="0" fontId="34" fillId="6" borderId="72" xfId="0" applyFont="1" applyFill="1" applyBorder="1" applyAlignment="1">
      <alignment horizontal="center" vertical="center"/>
    </xf>
    <xf numFmtId="0" fontId="0" fillId="6" borderId="72" xfId="0" applyFill="1" applyBorder="1" applyAlignment="1">
      <alignment horizontal="center" vertical="center"/>
    </xf>
    <xf numFmtId="0" fontId="37" fillId="6" borderId="71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30" fillId="6" borderId="45" xfId="0" applyFont="1" applyFill="1" applyBorder="1" applyAlignment="1">
      <alignment horizontal="center" vertical="center"/>
    </xf>
    <xf numFmtId="0" fontId="34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30" fillId="19" borderId="0" xfId="0" applyFont="1" applyFill="1"/>
    <xf numFmtId="2" fontId="34" fillId="0" borderId="2" xfId="723" applyNumberFormat="1" applyFont="1" applyBorder="1" applyAlignment="1">
      <alignment vertical="center" wrapText="1"/>
    </xf>
    <xf numFmtId="2" fontId="34" fillId="0" borderId="50" xfId="723" applyNumberFormat="1" applyFont="1" applyBorder="1" applyAlignment="1">
      <alignment vertical="center" wrapText="1"/>
    </xf>
    <xf numFmtId="2" fontId="34" fillId="0" borderId="3" xfId="723" applyNumberFormat="1" applyFont="1" applyBorder="1" applyAlignment="1">
      <alignment vertical="center" wrapText="1"/>
    </xf>
    <xf numFmtId="2" fontId="30" fillId="0" borderId="4" xfId="1556" applyNumberFormat="1" applyFont="1" applyBorder="1"/>
    <xf numFmtId="2" fontId="30" fillId="0" borderId="5" xfId="1556" applyNumberFormat="1" applyFont="1" applyBorder="1" applyAlignment="1">
      <alignment horizontal="center"/>
    </xf>
    <xf numFmtId="2" fontId="30" fillId="0" borderId="4" xfId="723" applyNumberFormat="1" applyFont="1" applyBorder="1"/>
    <xf numFmtId="2" fontId="30" fillId="0" borderId="5" xfId="723" applyNumberFormat="1" applyFont="1" applyBorder="1" applyAlignment="1">
      <alignment horizontal="center"/>
    </xf>
    <xf numFmtId="2" fontId="30" fillId="0" borderId="4" xfId="0" applyNumberFormat="1" applyFont="1" applyBorder="1"/>
    <xf numFmtId="2" fontId="30" fillId="0" borderId="5" xfId="0" applyNumberFormat="1" applyFont="1" applyBorder="1" applyAlignment="1">
      <alignment horizontal="center"/>
    </xf>
    <xf numFmtId="2" fontId="30" fillId="0" borderId="5" xfId="723" applyNumberFormat="1" applyFont="1" applyBorder="1"/>
    <xf numFmtId="0" fontId="30" fillId="0" borderId="4" xfId="0" applyFont="1" applyBorder="1"/>
    <xf numFmtId="0" fontId="30" fillId="0" borderId="5" xfId="0" applyFont="1" applyBorder="1" applyAlignment="1">
      <alignment horizontal="center"/>
    </xf>
    <xf numFmtId="2" fontId="30" fillId="0" borderId="2" xfId="723" applyNumberFormat="1" applyFont="1" applyBorder="1" applyAlignment="1">
      <alignment horizontal="center" vertical="center" wrapText="1"/>
    </xf>
    <xf numFmtId="2" fontId="34" fillId="0" borderId="5" xfId="723" applyNumberFormat="1" applyFont="1" applyBorder="1" applyAlignment="1">
      <alignment horizontal="center" vertical="center"/>
    </xf>
    <xf numFmtId="2" fontId="30" fillId="0" borderId="5" xfId="1556" applyNumberFormat="1" applyFont="1" applyBorder="1" applyAlignment="1">
      <alignment horizontal="center" vertical="center"/>
    </xf>
    <xf numFmtId="2" fontId="30" fillId="0" borderId="5" xfId="723" applyNumberFormat="1" applyFont="1" applyBorder="1" applyAlignment="1">
      <alignment horizontal="center" vertical="center"/>
    </xf>
    <xf numFmtId="2" fontId="30" fillId="0" borderId="5" xfId="0" applyNumberFormat="1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2" fontId="30" fillId="6" borderId="4" xfId="723" applyNumberFormat="1" applyFont="1" applyFill="1" applyBorder="1"/>
    <xf numFmtId="0" fontId="30" fillId="6" borderId="4" xfId="0" applyFont="1" applyFill="1" applyBorder="1"/>
    <xf numFmtId="1" fontId="0" fillId="6" borderId="0" xfId="0" applyNumberFormat="1" applyFill="1"/>
    <xf numFmtId="0" fontId="69" fillId="18" borderId="4" xfId="0" applyFont="1" applyFill="1" applyBorder="1"/>
    <xf numFmtId="166" fontId="0" fillId="0" borderId="1" xfId="0" applyNumberFormat="1" applyBorder="1"/>
    <xf numFmtId="0" fontId="59" fillId="5" borderId="1" xfId="1556" applyFill="1" applyBorder="1" applyAlignment="1">
      <alignment horizontal="left" vertical="center" wrapText="1"/>
    </xf>
    <xf numFmtId="0" fontId="59" fillId="5" borderId="1" xfId="1556" applyFill="1" applyBorder="1" applyAlignment="1">
      <alignment horizontal="center" vertical="center"/>
    </xf>
    <xf numFmtId="0" fontId="59" fillId="0" borderId="0" xfId="1556" applyAlignment="1">
      <alignment vertical="center"/>
    </xf>
    <xf numFmtId="0" fontId="59" fillId="0" borderId="1" xfId="1556" applyBorder="1" applyAlignment="1">
      <alignment horizontal="center" wrapText="1"/>
    </xf>
    <xf numFmtId="0" fontId="59" fillId="0" borderId="0" xfId="1556"/>
    <xf numFmtId="0" fontId="59" fillId="0" borderId="1" xfId="1556" applyBorder="1"/>
    <xf numFmtId="2" fontId="59" fillId="0" borderId="1" xfId="1556" applyNumberFormat="1" applyBorder="1"/>
    <xf numFmtId="166" fontId="59" fillId="0" borderId="1" xfId="1556" applyNumberFormat="1" applyBorder="1"/>
    <xf numFmtId="0" fontId="40" fillId="18" borderId="4" xfId="0" applyFont="1" applyFill="1" applyBorder="1"/>
    <xf numFmtId="0" fontId="23" fillId="6" borderId="0" xfId="6" applyFont="1" applyFill="1"/>
    <xf numFmtId="0" fontId="27" fillId="18" borderId="4" xfId="0" applyFont="1" applyFill="1" applyBorder="1" applyAlignment="1">
      <alignment horizontal="left" vertical="top"/>
    </xf>
    <xf numFmtId="0" fontId="27" fillId="18" borderId="0" xfId="0" applyFont="1" applyFill="1" applyAlignment="1">
      <alignment horizontal="left" vertical="top"/>
    </xf>
    <xf numFmtId="0" fontId="27" fillId="18" borderId="0" xfId="0" applyFont="1" applyFill="1" applyAlignment="1">
      <alignment vertical="top"/>
    </xf>
    <xf numFmtId="0" fontId="0" fillId="0" borderId="0" xfId="0" applyAlignment="1">
      <alignment vertical="top"/>
    </xf>
    <xf numFmtId="0" fontId="27" fillId="0" borderId="0" xfId="0" applyFont="1" applyAlignment="1">
      <alignment vertical="top"/>
    </xf>
    <xf numFmtId="0" fontId="27" fillId="18" borderId="5" xfId="0" applyFont="1" applyFill="1" applyBorder="1" applyAlignment="1">
      <alignment horizontal="right" vertical="top"/>
    </xf>
    <xf numFmtId="168" fontId="27" fillId="0" borderId="0" xfId="1833" applyNumberFormat="1" applyFont="1" applyAlignment="1">
      <alignment horizontal="left"/>
    </xf>
    <xf numFmtId="168" fontId="27" fillId="0" borderId="5" xfId="1833" applyNumberFormat="1" applyFont="1" applyBorder="1" applyAlignment="1">
      <alignment horizontal="left"/>
    </xf>
    <xf numFmtId="168" fontId="34" fillId="0" borderId="45" xfId="1833" applyNumberFormat="1" applyFont="1" applyBorder="1" applyAlignment="1">
      <alignment horizontal="left"/>
    </xf>
    <xf numFmtId="168" fontId="27" fillId="0" borderId="7" xfId="1833" applyNumberFormat="1" applyFont="1" applyBorder="1" applyAlignment="1">
      <alignment horizontal="left"/>
    </xf>
    <xf numFmtId="170" fontId="0" fillId="0" borderId="0" xfId="1833" applyNumberFormat="1" applyFont="1" applyAlignment="1">
      <alignment vertical="top"/>
    </xf>
    <xf numFmtId="170" fontId="69" fillId="0" borderId="0" xfId="0" applyNumberFormat="1" applyFont="1" applyAlignment="1">
      <alignment vertical="top"/>
    </xf>
    <xf numFmtId="2" fontId="23" fillId="0" borderId="52" xfId="0" applyNumberFormat="1" applyFont="1" applyBorder="1" applyAlignment="1">
      <alignment horizontal="center" vertical="center" wrapText="1"/>
    </xf>
    <xf numFmtId="2" fontId="23" fillId="0" borderId="57" xfId="0" applyNumberFormat="1" applyFont="1" applyBorder="1" applyAlignment="1">
      <alignment horizontal="center" vertical="center" wrapText="1"/>
    </xf>
    <xf numFmtId="1" fontId="37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30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/>
    </xf>
    <xf numFmtId="0" fontId="36" fillId="6" borderId="0" xfId="0" applyFont="1" applyFill="1" applyAlignment="1">
      <alignment horizontal="center" vertical="center"/>
    </xf>
    <xf numFmtId="0" fontId="0" fillId="6" borderId="52" xfId="0" applyFill="1" applyBorder="1" applyAlignment="1">
      <alignment horizontal="left" vertical="center"/>
    </xf>
    <xf numFmtId="0" fontId="0" fillId="6" borderId="53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14" fontId="30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7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71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30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0" fillId="6" borderId="70" xfId="0" applyFill="1" applyBorder="1" applyAlignment="1">
      <alignment horizontal="center" vertical="center" wrapText="1"/>
    </xf>
    <xf numFmtId="0" fontId="73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4" fillId="6" borderId="0" xfId="1556" applyFont="1" applyFill="1"/>
    <xf numFmtId="0" fontId="74" fillId="6" borderId="0" xfId="1556" applyFont="1" applyFill="1" applyAlignment="1">
      <alignment horizontal="center" vertical="center" wrapText="1"/>
    </xf>
    <xf numFmtId="0" fontId="74" fillId="6" borderId="0" xfId="1556" applyFont="1" applyFill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2" fontId="74" fillId="6" borderId="0" xfId="1556" applyNumberFormat="1" applyFont="1" applyFill="1" applyAlignment="1">
      <alignment horizontal="center" vertical="center"/>
    </xf>
    <xf numFmtId="0" fontId="0" fillId="4" borderId="1" xfId="0" applyFill="1" applyBorder="1"/>
    <xf numFmtId="0" fontId="30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30" fillId="4" borderId="11" xfId="0" applyFont="1" applyFill="1" applyBorder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73" fillId="6" borderId="0" xfId="0" applyFont="1" applyFill="1" applyAlignment="1">
      <alignment horizontal="center" vertical="center" wrapText="1"/>
    </xf>
    <xf numFmtId="0" fontId="75" fillId="6" borderId="0" xfId="0" applyFont="1" applyFill="1" applyAlignment="1">
      <alignment horizontal="center" vertical="center"/>
    </xf>
    <xf numFmtId="0" fontId="27" fillId="6" borderId="4" xfId="0" applyFont="1" applyFill="1" applyBorder="1" applyAlignment="1">
      <alignment horizontal="center" vertical="center"/>
    </xf>
    <xf numFmtId="0" fontId="30" fillId="6" borderId="0" xfId="0" applyFont="1" applyFill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14" fontId="30" fillId="14" borderId="54" xfId="0" applyNumberFormat="1" applyFont="1" applyFill="1" applyBorder="1" applyAlignment="1" applyProtection="1">
      <alignment horizontal="center" vertical="center"/>
      <protection locked="0"/>
    </xf>
    <xf numFmtId="0" fontId="30" fillId="6" borderId="1" xfId="0" applyFont="1" applyFill="1" applyBorder="1"/>
    <xf numFmtId="0" fontId="30" fillId="6" borderId="1" xfId="0" applyFont="1" applyFill="1" applyBorder="1" applyAlignment="1">
      <alignment wrapText="1"/>
    </xf>
    <xf numFmtId="2" fontId="30" fillId="6" borderId="1" xfId="0" applyNumberFormat="1" applyFont="1" applyFill="1" applyBorder="1" applyAlignment="1">
      <alignment wrapText="1"/>
    </xf>
    <xf numFmtId="0" fontId="76" fillId="6" borderId="0" xfId="0" applyFont="1" applyFill="1" applyAlignment="1">
      <alignment horizontal="center" vertical="center"/>
    </xf>
    <xf numFmtId="165" fontId="71" fillId="6" borderId="0" xfId="1556" applyNumberFormat="1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27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7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0" fontId="27" fillId="0" borderId="4" xfId="0" applyFont="1" applyBorder="1" applyAlignment="1">
      <alignment horizontal="left"/>
    </xf>
    <xf numFmtId="0" fontId="0" fillId="0" borderId="5" xfId="0" applyBorder="1"/>
    <xf numFmtId="0" fontId="27" fillId="0" borderId="0" xfId="0" applyFont="1" applyAlignment="1">
      <alignment horizontal="left"/>
    </xf>
    <xf numFmtId="0" fontId="77" fillId="6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left"/>
    </xf>
    <xf numFmtId="0" fontId="25" fillId="0" borderId="0" xfId="1838"/>
    <xf numFmtId="0" fontId="48" fillId="0" borderId="1" xfId="0" applyFont="1" applyBorder="1" applyAlignment="1">
      <alignment horizontal="center" vertical="center" wrapText="1"/>
    </xf>
    <xf numFmtId="2" fontId="30" fillId="0" borderId="1" xfId="0" applyNumberFormat="1" applyFont="1" applyBorder="1"/>
    <xf numFmtId="2" fontId="30" fillId="6" borderId="0" xfId="0" applyNumberFormat="1" applyFont="1" applyFill="1" applyAlignment="1">
      <alignment horizontal="center" vertical="center" wrapText="1"/>
    </xf>
    <xf numFmtId="0" fontId="30" fillId="6" borderId="0" xfId="0" applyFont="1" applyFill="1"/>
    <xf numFmtId="2" fontId="30" fillId="6" borderId="0" xfId="0" applyNumberFormat="1" applyFont="1" applyFill="1"/>
    <xf numFmtId="1" fontId="30" fillId="6" borderId="0" xfId="0" applyNumberFormat="1" applyFont="1" applyFill="1"/>
    <xf numFmtId="0" fontId="27" fillId="6" borderId="0" xfId="0" applyFont="1" applyFill="1" applyAlignment="1">
      <alignment horizontal="right"/>
    </xf>
    <xf numFmtId="2" fontId="27" fillId="6" borderId="0" xfId="0" applyNumberFormat="1" applyFont="1" applyFill="1" applyAlignment="1">
      <alignment horizontal="right"/>
    </xf>
    <xf numFmtId="0" fontId="27" fillId="6" borderId="0" xfId="0" applyFont="1" applyFill="1" applyAlignment="1">
      <alignment horizontal="left"/>
    </xf>
    <xf numFmtId="0" fontId="30" fillId="0" borderId="53" xfId="0" applyFont="1" applyBorder="1" applyAlignment="1">
      <alignment horizontal="center" vertical="center"/>
    </xf>
    <xf numFmtId="2" fontId="30" fillId="6" borderId="0" xfId="723" applyNumberFormat="1" applyFont="1" applyFill="1"/>
    <xf numFmtId="166" fontId="30" fillId="6" borderId="0" xfId="723" applyNumberFormat="1" applyFont="1" applyFill="1"/>
    <xf numFmtId="2" fontId="30" fillId="6" borderId="5" xfId="723" applyNumberFormat="1" applyFont="1" applyFill="1" applyBorder="1" applyAlignment="1">
      <alignment horizontal="center"/>
    </xf>
    <xf numFmtId="2" fontId="30" fillId="6" borderId="5" xfId="723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2" fontId="30" fillId="0" borderId="1" xfId="723" applyNumberFormat="1" applyFont="1" applyBorder="1" applyAlignment="1">
      <alignment horizontal="center" vertical="center" wrapText="1"/>
    </xf>
    <xf numFmtId="166" fontId="30" fillId="0" borderId="1" xfId="723" applyNumberFormat="1" applyFont="1" applyBorder="1" applyAlignment="1">
      <alignment horizontal="center" vertical="center" wrapText="1"/>
    </xf>
    <xf numFmtId="1" fontId="48" fillId="0" borderId="1" xfId="1" applyNumberFormat="1" applyFont="1" applyFill="1" applyBorder="1" applyAlignment="1">
      <alignment horizontal="center"/>
    </xf>
    <xf numFmtId="1" fontId="48" fillId="0" borderId="1" xfId="723" applyNumberFormat="1" applyFont="1" applyBorder="1"/>
    <xf numFmtId="1" fontId="48" fillId="0" borderId="1" xfId="723" applyNumberFormat="1" applyFont="1" applyBorder="1" applyAlignment="1">
      <alignment horizontal="center"/>
    </xf>
    <xf numFmtId="2" fontId="30" fillId="0" borderId="2" xfId="723" applyNumberFormat="1" applyFont="1" applyBorder="1"/>
    <xf numFmtId="2" fontId="30" fillId="0" borderId="3" xfId="723" applyNumberFormat="1" applyFont="1" applyBorder="1"/>
    <xf numFmtId="2" fontId="30" fillId="6" borderId="4" xfId="1556" applyNumberFormat="1" applyFont="1" applyFill="1" applyBorder="1" applyAlignment="1">
      <alignment horizontal="right" vertical="center" wrapText="1"/>
    </xf>
    <xf numFmtId="2" fontId="30" fillId="6" borderId="5" xfId="1556" applyNumberFormat="1" applyFont="1" applyFill="1" applyBorder="1" applyAlignment="1">
      <alignment horizontal="right" vertical="center"/>
    </xf>
    <xf numFmtId="2" fontId="30" fillId="6" borderId="4" xfId="723" applyNumberFormat="1" applyFont="1" applyFill="1" applyBorder="1" applyAlignment="1">
      <alignment horizontal="right" vertical="center" wrapText="1"/>
    </xf>
    <xf numFmtId="2" fontId="30" fillId="6" borderId="5" xfId="723" applyNumberFormat="1" applyFont="1" applyFill="1" applyBorder="1" applyAlignment="1">
      <alignment horizontal="right" vertical="center"/>
    </xf>
    <xf numFmtId="0" fontId="30" fillId="6" borderId="4" xfId="1556" applyFont="1" applyFill="1" applyBorder="1" applyAlignment="1">
      <alignment horizontal="right" vertical="center" wrapText="1"/>
    </xf>
    <xf numFmtId="0" fontId="30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30" fillId="6" borderId="4" xfId="723" applyNumberFormat="1" applyFont="1" applyFill="1" applyBorder="1" applyAlignment="1">
      <alignment horizontal="right" vertical="center"/>
    </xf>
    <xf numFmtId="2" fontId="30" fillId="6" borderId="4" xfId="1556" applyNumberFormat="1" applyFont="1" applyFill="1" applyBorder="1" applyAlignment="1">
      <alignment horizontal="right" vertical="center"/>
    </xf>
    <xf numFmtId="0" fontId="30" fillId="6" borderId="4" xfId="0" applyFont="1" applyFill="1" applyBorder="1" applyAlignment="1">
      <alignment horizontal="right" vertical="center"/>
    </xf>
    <xf numFmtId="0" fontId="30" fillId="0" borderId="52" xfId="0" applyFont="1" applyBorder="1" applyAlignment="1">
      <alignment horizontal="center" vertical="center" wrapText="1"/>
    </xf>
    <xf numFmtId="0" fontId="30" fillId="0" borderId="57" xfId="0" applyFont="1" applyBorder="1"/>
    <xf numFmtId="0" fontId="30" fillId="0" borderId="57" xfId="0" applyFont="1" applyBorder="1" applyAlignment="1">
      <alignment horizontal="right" wrapText="1"/>
    </xf>
    <xf numFmtId="2" fontId="34" fillId="0" borderId="57" xfId="0" applyNumberFormat="1" applyFont="1" applyBorder="1"/>
    <xf numFmtId="166" fontId="30" fillId="0" borderId="57" xfId="0" applyNumberFormat="1" applyFont="1" applyBorder="1"/>
    <xf numFmtId="0" fontId="30" fillId="0" borderId="57" xfId="0" applyFont="1" applyBorder="1" applyAlignment="1">
      <alignment horizontal="center"/>
    </xf>
    <xf numFmtId="0" fontId="30" fillId="0" borderId="57" xfId="0" applyFont="1" applyBorder="1" applyAlignment="1">
      <alignment wrapText="1"/>
    </xf>
    <xf numFmtId="0" fontId="0" fillId="20" borderId="0" xfId="0" applyFill="1"/>
    <xf numFmtId="0" fontId="27" fillId="20" borderId="0" xfId="0" applyFont="1" applyFill="1"/>
    <xf numFmtId="2" fontId="30" fillId="0" borderId="50" xfId="723" applyNumberFormat="1" applyFont="1" applyBorder="1"/>
    <xf numFmtId="2" fontId="30" fillId="6" borderId="0" xfId="1556" applyNumberFormat="1" applyFont="1" applyFill="1" applyAlignment="1">
      <alignment horizontal="right" vertical="center" wrapText="1"/>
    </xf>
    <xf numFmtId="2" fontId="30" fillId="6" borderId="0" xfId="723" applyNumberFormat="1" applyFont="1" applyFill="1" applyAlignment="1">
      <alignment horizontal="right" vertical="center" wrapText="1"/>
    </xf>
    <xf numFmtId="0" fontId="30" fillId="6" borderId="0" xfId="1556" applyFont="1" applyFill="1" applyAlignment="1">
      <alignment horizontal="right" vertical="center" wrapText="1"/>
    </xf>
    <xf numFmtId="0" fontId="30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30" fillId="6" borderId="0" xfId="723" applyNumberFormat="1" applyFont="1" applyFill="1" applyAlignment="1">
      <alignment horizontal="right" vertical="center"/>
    </xf>
    <xf numFmtId="2" fontId="30" fillId="6" borderId="0" xfId="1556" applyNumberFormat="1" applyFont="1" applyFill="1" applyAlignment="1">
      <alignment horizontal="right" vertical="center"/>
    </xf>
    <xf numFmtId="0" fontId="30" fillId="6" borderId="0" xfId="0" applyFont="1" applyFill="1" applyAlignment="1">
      <alignment horizontal="right" vertical="center"/>
    </xf>
    <xf numFmtId="1" fontId="30" fillId="0" borderId="10" xfId="0" applyNumberFormat="1" applyFont="1" applyBorder="1"/>
    <xf numFmtId="2" fontId="27" fillId="0" borderId="0" xfId="0" applyNumberFormat="1" applyFont="1" applyAlignment="1">
      <alignment horizontal="right"/>
    </xf>
    <xf numFmtId="0" fontId="27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7" fillId="0" borderId="0" xfId="0" applyNumberFormat="1" applyFont="1" applyAlignment="1">
      <alignment vertical="top"/>
    </xf>
    <xf numFmtId="0" fontId="27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30" fillId="6" borderId="6" xfId="723" applyNumberFormat="1" applyFont="1" applyFill="1" applyBorder="1" applyAlignment="1">
      <alignment horizontal="right" vertical="center" wrapText="1"/>
    </xf>
    <xf numFmtId="2" fontId="30" fillId="6" borderId="45" xfId="723" applyNumberFormat="1" applyFont="1" applyFill="1" applyBorder="1" applyAlignment="1">
      <alignment horizontal="right" vertical="center" wrapText="1"/>
    </xf>
    <xf numFmtId="2" fontId="30" fillId="6" borderId="7" xfId="723" applyNumberFormat="1" applyFont="1" applyFill="1" applyBorder="1" applyAlignment="1">
      <alignment horizontal="right" vertical="center"/>
    </xf>
    <xf numFmtId="2" fontId="30" fillId="0" borderId="6" xfId="723" applyNumberFormat="1" applyFont="1" applyBorder="1"/>
    <xf numFmtId="2" fontId="30" fillId="0" borderId="45" xfId="723" applyNumberFormat="1" applyFont="1" applyBorder="1"/>
    <xf numFmtId="2" fontId="30" fillId="0" borderId="7" xfId="723" applyNumberFormat="1" applyFont="1" applyBorder="1" applyAlignment="1">
      <alignment horizontal="center"/>
    </xf>
    <xf numFmtId="2" fontId="30" fillId="0" borderId="7" xfId="723" applyNumberFormat="1" applyFont="1" applyBorder="1" applyAlignment="1">
      <alignment horizontal="center" vertical="center"/>
    </xf>
    <xf numFmtId="2" fontId="30" fillId="6" borderId="4" xfId="723" applyNumberFormat="1" applyFont="1" applyFill="1" applyBorder="1" applyAlignment="1">
      <alignment horizontal="left" vertical="center"/>
    </xf>
    <xf numFmtId="2" fontId="30" fillId="6" borderId="6" xfId="723" applyNumberFormat="1" applyFont="1" applyFill="1" applyBorder="1" applyAlignment="1">
      <alignment horizontal="left" vertical="center"/>
    </xf>
    <xf numFmtId="0" fontId="30" fillId="0" borderId="65" xfId="0" applyFont="1" applyBorder="1"/>
    <xf numFmtId="0" fontId="30" fillId="0" borderId="67" xfId="0" applyFont="1" applyBorder="1"/>
    <xf numFmtId="0" fontId="27" fillId="0" borderId="68" xfId="0" applyFont="1" applyBorder="1" applyAlignment="1">
      <alignment horizontal="right"/>
    </xf>
    <xf numFmtId="0" fontId="48" fillId="0" borderId="36" xfId="0" applyFont="1" applyBorder="1" applyAlignment="1">
      <alignment horizontal="center" vertical="center" wrapText="1"/>
    </xf>
    <xf numFmtId="0" fontId="48" fillId="0" borderId="28" xfId="0" applyFont="1" applyBorder="1" applyAlignment="1">
      <alignment horizontal="center" vertical="center" wrapText="1"/>
    </xf>
    <xf numFmtId="2" fontId="30" fillId="0" borderId="28" xfId="0" applyNumberFormat="1" applyFont="1" applyBorder="1"/>
    <xf numFmtId="2" fontId="59" fillId="0" borderId="36" xfId="1556" applyNumberFormat="1" applyBorder="1"/>
    <xf numFmtId="2" fontId="27" fillId="0" borderId="37" xfId="0" applyNumberFormat="1" applyFont="1" applyBorder="1" applyAlignment="1">
      <alignment horizontal="right"/>
    </xf>
    <xf numFmtId="2" fontId="27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30" fillId="23" borderId="1" xfId="0" applyNumberFormat="1" applyFont="1" applyFill="1" applyBorder="1"/>
    <xf numFmtId="2" fontId="27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30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30" fillId="3" borderId="1" xfId="0" applyFont="1" applyFill="1" applyBorder="1"/>
    <xf numFmtId="0" fontId="30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 wrapText="1"/>
    </xf>
    <xf numFmtId="0" fontId="30" fillId="23" borderId="0" xfId="1556" applyFont="1" applyFill="1"/>
    <xf numFmtId="0" fontId="0" fillId="23" borderId="0" xfId="0" applyFill="1"/>
    <xf numFmtId="2" fontId="30" fillId="23" borderId="0" xfId="1556" applyNumberFormat="1" applyFont="1" applyFill="1"/>
    <xf numFmtId="2" fontId="30" fillId="23" borderId="0" xfId="0" applyNumberFormat="1" applyFont="1" applyFill="1"/>
    <xf numFmtId="0" fontId="34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6" fillId="0" borderId="1" xfId="996" applyFill="1" applyBorder="1" applyAlignment="1">
      <alignment horizontal="center" vertical="center" wrapText="1"/>
    </xf>
    <xf numFmtId="0" fontId="46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75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30" fillId="6" borderId="67" xfId="0" applyNumberFormat="1" applyFont="1" applyFill="1" applyBorder="1" applyAlignment="1">
      <alignment horizontal="center" vertical="center" wrapText="1"/>
    </xf>
    <xf numFmtId="0" fontId="30" fillId="14" borderId="67" xfId="0" applyFont="1" applyFill="1" applyBorder="1" applyAlignment="1" applyProtection="1">
      <alignment horizontal="center" vertical="center" wrapText="1"/>
      <protection locked="0"/>
    </xf>
    <xf numFmtId="2" fontId="30" fillId="6" borderId="68" xfId="0" applyNumberFormat="1" applyFont="1" applyFill="1" applyBorder="1" applyAlignment="1">
      <alignment horizontal="center" vertical="center" wrapText="1"/>
    </xf>
    <xf numFmtId="0" fontId="27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30" fillId="6" borderId="1" xfId="0" applyFont="1" applyFill="1" applyBorder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/>
    </xf>
    <xf numFmtId="0" fontId="27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2" fontId="46" fillId="0" borderId="0" xfId="996" applyNumberFormat="1" applyFill="1"/>
    <xf numFmtId="1" fontId="48" fillId="0" borderId="0" xfId="0" applyNumberFormat="1" applyFont="1"/>
    <xf numFmtId="2" fontId="30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4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7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/>
    </xf>
    <xf numFmtId="172" fontId="0" fillId="18" borderId="5" xfId="1833" applyNumberFormat="1" applyFont="1" applyFill="1" applyBorder="1"/>
    <xf numFmtId="0" fontId="27" fillId="6" borderId="22" xfId="0" applyFont="1" applyFill="1" applyBorder="1"/>
    <xf numFmtId="44" fontId="27" fillId="6" borderId="22" xfId="0" applyNumberFormat="1" applyFont="1" applyFill="1" applyBorder="1"/>
    <xf numFmtId="9" fontId="0" fillId="0" borderId="0" xfId="1554" applyFont="1"/>
    <xf numFmtId="165" fontId="48" fillId="0" borderId="1" xfId="723" applyNumberFormat="1" applyFont="1" applyBorder="1"/>
    <xf numFmtId="0" fontId="36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9" fillId="6" borderId="0" xfId="1839" applyFont="1" applyFill="1"/>
    <xf numFmtId="44" fontId="81" fillId="22" borderId="22" xfId="1839" applyFont="1" applyFill="1" applyBorder="1"/>
    <xf numFmtId="164" fontId="0" fillId="0" borderId="0" xfId="0" applyNumberFormat="1"/>
    <xf numFmtId="2" fontId="80" fillId="0" borderId="1" xfId="723" applyNumberFormat="1" applyFont="1" applyBorder="1"/>
    <xf numFmtId="0" fontId="80" fillId="6" borderId="22" xfId="0" applyFont="1" applyFill="1" applyBorder="1"/>
    <xf numFmtId="0" fontId="79" fillId="0" borderId="0" xfId="0" applyFont="1"/>
    <xf numFmtId="0" fontId="79" fillId="20" borderId="0" xfId="0" applyFont="1" applyFill="1"/>
    <xf numFmtId="171" fontId="79" fillId="25" borderId="0" xfId="0" applyNumberFormat="1" applyFont="1" applyFill="1"/>
    <xf numFmtId="44" fontId="79" fillId="25" borderId="0" xfId="1839" applyFont="1" applyFill="1"/>
    <xf numFmtId="2" fontId="79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7" fillId="0" borderId="0" xfId="1839" applyFont="1"/>
    <xf numFmtId="171" fontId="0" fillId="0" borderId="0" xfId="1839" applyNumberFormat="1" applyFont="1"/>
    <xf numFmtId="0" fontId="40" fillId="0" borderId="0" xfId="0" applyFont="1"/>
    <xf numFmtId="1" fontId="0" fillId="0" borderId="0" xfId="0" applyNumberFormat="1"/>
    <xf numFmtId="2" fontId="79" fillId="0" borderId="0" xfId="0" applyNumberFormat="1" applyFont="1" applyAlignment="1">
      <alignment horizontal="center" vertical="center"/>
    </xf>
    <xf numFmtId="2" fontId="79" fillId="6" borderId="0" xfId="0" applyNumberFormat="1" applyFont="1" applyFill="1" applyAlignment="1">
      <alignment horizontal="center" vertical="center" wrapText="1"/>
    </xf>
    <xf numFmtId="166" fontId="0" fillId="6" borderId="31" xfId="0" applyNumberFormat="1" applyFill="1" applyBorder="1" applyAlignment="1">
      <alignment horizontal="center" vertical="center" wrapText="1"/>
    </xf>
    <xf numFmtId="174" fontId="0" fillId="18" borderId="5" xfId="1833" applyNumberFormat="1" applyFont="1" applyFill="1" applyBorder="1"/>
    <xf numFmtId="14" fontId="30" fillId="14" borderId="60" xfId="0" applyNumberFormat="1" applyFont="1" applyFill="1" applyBorder="1" applyAlignment="1" applyProtection="1">
      <alignment horizontal="center" vertical="center"/>
      <protection locked="0"/>
    </xf>
    <xf numFmtId="14" fontId="30" fillId="14" borderId="76" xfId="0" applyNumberFormat="1" applyFont="1" applyFill="1" applyBorder="1" applyAlignment="1" applyProtection="1">
      <alignment horizontal="center" vertical="center"/>
      <protection locked="0"/>
    </xf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2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40" fillId="4" borderId="0" xfId="0" applyFont="1" applyFill="1"/>
    <xf numFmtId="0" fontId="81" fillId="6" borderId="22" xfId="0" applyFont="1" applyFill="1" applyBorder="1"/>
    <xf numFmtId="164" fontId="81" fillId="6" borderId="22" xfId="0" applyNumberFormat="1" applyFont="1" applyFill="1" applyBorder="1"/>
    <xf numFmtId="44" fontId="27" fillId="25" borderId="22" xfId="0" applyNumberFormat="1" applyFont="1" applyFill="1" applyBorder="1"/>
    <xf numFmtId="44" fontId="27" fillId="0" borderId="0" xfId="0" applyNumberFormat="1" applyFont="1"/>
    <xf numFmtId="0" fontId="30" fillId="0" borderId="0" xfId="0" applyFont="1" applyAlignment="1">
      <alignment horizontal="left" vertical="top" wrapText="1"/>
    </xf>
    <xf numFmtId="0" fontId="34" fillId="14" borderId="0" xfId="0" applyFont="1" applyFill="1"/>
    <xf numFmtId="0" fontId="30" fillId="14" borderId="0" xfId="0" applyFont="1" applyFill="1"/>
    <xf numFmtId="0" fontId="81" fillId="0" borderId="0" xfId="0" applyFont="1"/>
    <xf numFmtId="164" fontId="81" fillId="0" borderId="22" xfId="0" applyNumberFormat="1" applyFont="1" applyBorder="1"/>
    <xf numFmtId="173" fontId="0" fillId="0" borderId="0" xfId="0" applyNumberFormat="1"/>
    <xf numFmtId="171" fontId="27" fillId="0" borderId="0" xfId="0" applyNumberFormat="1" applyFont="1"/>
    <xf numFmtId="9" fontId="27" fillId="0" borderId="22" xfId="1554" applyFont="1" applyBorder="1"/>
    <xf numFmtId="0" fontId="84" fillId="6" borderId="0" xfId="0" applyFont="1" applyFill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82" fillId="6" borderId="0" xfId="0" applyFont="1" applyFill="1" applyAlignment="1">
      <alignment horizontal="center" vertical="center" wrapText="1"/>
    </xf>
    <xf numFmtId="0" fontId="86" fillId="6" borderId="0" xfId="0" applyFont="1" applyFill="1" applyAlignment="1">
      <alignment horizontal="left" vertical="center"/>
    </xf>
    <xf numFmtId="0" fontId="86" fillId="6" borderId="0" xfId="0" applyFont="1" applyFill="1" applyAlignment="1">
      <alignment horizontal="center" vertical="center"/>
    </xf>
    <xf numFmtId="0" fontId="87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9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3" fillId="9" borderId="22" xfId="0" applyFont="1" applyFill="1" applyBorder="1" applyAlignment="1">
      <alignment horizontal="center"/>
    </xf>
    <xf numFmtId="0" fontId="16" fillId="6" borderId="25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0" fontId="16" fillId="6" borderId="65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6" borderId="0" xfId="0" applyFont="1" applyFill="1" applyAlignment="1">
      <alignment horizontal="center" vertical="center" wrapText="1"/>
    </xf>
    <xf numFmtId="0" fontId="16" fillId="6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 wrapText="1"/>
    </xf>
    <xf numFmtId="2" fontId="16" fillId="14" borderId="28" xfId="0" applyNumberFormat="1" applyFont="1" applyFill="1" applyBorder="1" applyAlignment="1" applyProtection="1">
      <alignment horizontal="center" vertical="center"/>
      <protection locked="0"/>
    </xf>
    <xf numFmtId="0" fontId="16" fillId="6" borderId="30" xfId="0" applyFont="1" applyFill="1" applyBorder="1" applyAlignment="1">
      <alignment horizontal="center" vertical="center" wrapText="1"/>
    </xf>
    <xf numFmtId="2" fontId="16" fillId="14" borderId="31" xfId="0" applyNumberFormat="1" applyFont="1" applyFill="1" applyBorder="1" applyAlignment="1" applyProtection="1">
      <alignment horizontal="center" vertical="center"/>
      <protection locked="0"/>
    </xf>
    <xf numFmtId="2" fontId="16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6" fillId="14" borderId="1" xfId="0" applyNumberFormat="1" applyFont="1" applyFill="1" applyBorder="1" applyAlignment="1" applyProtection="1">
      <alignment horizontal="center" vertical="center"/>
      <protection locked="0"/>
    </xf>
    <xf numFmtId="49" fontId="16" fillId="14" borderId="1" xfId="0" applyNumberFormat="1" applyFont="1" applyFill="1" applyBorder="1" applyAlignment="1" applyProtection="1">
      <alignment horizontal="center" vertical="center"/>
      <protection locked="0"/>
    </xf>
    <xf numFmtId="49" fontId="16" fillId="14" borderId="28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16" fillId="0" borderId="56" xfId="0" applyFont="1" applyBorder="1" applyAlignment="1">
      <alignment horizontal="center" vertical="center" wrapText="1"/>
    </xf>
    <xf numFmtId="166" fontId="30" fillId="14" borderId="1" xfId="6" applyNumberFormat="1" applyFont="1" applyFill="1" applyBorder="1" applyAlignment="1" applyProtection="1">
      <alignment horizontal="center" vertical="center"/>
      <protection locked="0"/>
    </xf>
    <xf numFmtId="2" fontId="30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30" fillId="6" borderId="1" xfId="0" applyNumberFormat="1" applyFont="1" applyFill="1" applyBorder="1" applyAlignment="1">
      <alignment horizontal="center" vertical="center" wrapText="1"/>
    </xf>
    <xf numFmtId="166" fontId="30" fillId="14" borderId="1" xfId="0" applyNumberFormat="1" applyFont="1" applyFill="1" applyBorder="1" applyAlignment="1" applyProtection="1">
      <alignment horizontal="center" vertical="center"/>
      <protection locked="0"/>
    </xf>
    <xf numFmtId="0" fontId="30" fillId="6" borderId="1" xfId="0" applyFont="1" applyFill="1" applyBorder="1" applyAlignment="1">
      <alignment horizontal="center" vertical="center" wrapText="1"/>
    </xf>
    <xf numFmtId="2" fontId="30" fillId="14" borderId="1" xfId="6" applyNumberFormat="1" applyFont="1" applyFill="1" applyBorder="1" applyAlignment="1" applyProtection="1">
      <alignment horizontal="center" vertical="center"/>
      <protection locked="0"/>
    </xf>
    <xf numFmtId="0" fontId="30" fillId="14" borderId="1" xfId="0" applyFont="1" applyFill="1" applyBorder="1" applyAlignment="1" applyProtection="1">
      <alignment horizontal="left" vertical="center"/>
      <protection locked="0"/>
    </xf>
    <xf numFmtId="2" fontId="30" fillId="14" borderId="1" xfId="0" applyNumberFormat="1" applyFont="1" applyFill="1" applyBorder="1" applyAlignment="1" applyProtection="1">
      <alignment horizontal="center" vertical="center"/>
      <protection locked="0"/>
    </xf>
    <xf numFmtId="166" fontId="33" fillId="14" borderId="12" xfId="0" applyNumberFormat="1" applyFont="1" applyFill="1" applyBorder="1" applyAlignment="1" applyProtection="1">
      <alignment vertical="center"/>
      <protection locked="0"/>
    </xf>
    <xf numFmtId="166" fontId="33" fillId="14" borderId="18" xfId="0" applyNumberFormat="1" applyFont="1" applyFill="1" applyBorder="1" applyAlignment="1" applyProtection="1">
      <alignment vertical="center"/>
      <protection locked="0"/>
    </xf>
    <xf numFmtId="166" fontId="30" fillId="14" borderId="1" xfId="1555" applyNumberFormat="1" applyFont="1" applyFill="1" applyBorder="1" applyAlignment="1" applyProtection="1">
      <alignment horizontal="center" vertical="center"/>
      <protection locked="0"/>
    </xf>
    <xf numFmtId="2" fontId="30" fillId="6" borderId="1" xfId="1553" applyNumberFormat="1" applyFont="1" applyFill="1" applyBorder="1" applyAlignment="1">
      <alignment horizontal="center" vertical="center" wrapText="1"/>
    </xf>
    <xf numFmtId="0" fontId="30" fillId="14" borderId="1" xfId="0" applyFont="1" applyFill="1" applyBorder="1" applyAlignment="1" applyProtection="1">
      <alignment horizontal="center" vertical="center"/>
      <protection locked="0"/>
    </xf>
    <xf numFmtId="0" fontId="59" fillId="0" borderId="1" xfId="1556" applyBorder="1" applyAlignment="1">
      <alignment horizontal="center" vertical="center" wrapText="1"/>
    </xf>
    <xf numFmtId="2" fontId="59" fillId="0" borderId="1" xfId="1556" applyNumberFormat="1" applyBorder="1" applyAlignment="1">
      <alignment horizontal="center" vertical="center"/>
    </xf>
    <xf numFmtId="1" fontId="30" fillId="0" borderId="1" xfId="723" applyNumberFormat="1" applyFont="1" applyBorder="1" applyAlignment="1">
      <alignment horizontal="center" vertical="center" wrapText="1"/>
    </xf>
    <xf numFmtId="1" fontId="48" fillId="0" borderId="1" xfId="0" applyNumberFormat="1" applyFont="1" applyBorder="1" applyAlignment="1">
      <alignment horizontal="center"/>
    </xf>
    <xf numFmtId="1" fontId="48" fillId="0" borderId="0" xfId="0" applyNumberFormat="1" applyFont="1" applyAlignment="1">
      <alignment horizontal="center"/>
    </xf>
    <xf numFmtId="0" fontId="15" fillId="0" borderId="0" xfId="1557" applyFont="1"/>
    <xf numFmtId="2" fontId="30" fillId="4" borderId="0" xfId="723" applyNumberFormat="1" applyFont="1" applyFill="1"/>
    <xf numFmtId="2" fontId="30" fillId="23" borderId="56" xfId="0" applyNumberFormat="1" applyFont="1" applyFill="1" applyBorder="1"/>
    <xf numFmtId="0" fontId="48" fillId="0" borderId="60" xfId="0" applyFont="1" applyBorder="1" applyAlignment="1">
      <alignment horizontal="center" vertical="center" wrapText="1"/>
    </xf>
    <xf numFmtId="2" fontId="30" fillId="0" borderId="60" xfId="0" applyNumberFormat="1" applyFont="1" applyBorder="1"/>
    <xf numFmtId="0" fontId="48" fillId="0" borderId="56" xfId="0" applyFont="1" applyBorder="1" applyAlignment="1">
      <alignment horizontal="center" vertical="center" wrapText="1"/>
    </xf>
    <xf numFmtId="2" fontId="59" fillId="0" borderId="56" xfId="1556" applyNumberFormat="1" applyBorder="1"/>
    <xf numFmtId="3" fontId="30" fillId="0" borderId="0" xfId="0" applyNumberFormat="1" applyFont="1"/>
    <xf numFmtId="3" fontId="30" fillId="23" borderId="1" xfId="0" applyNumberFormat="1" applyFont="1" applyFill="1" applyBorder="1"/>
    <xf numFmtId="1" fontId="86" fillId="6" borderId="0" xfId="0" applyNumberFormat="1" applyFont="1" applyFill="1" applyAlignment="1">
      <alignment horizontal="center" vertical="center"/>
    </xf>
    <xf numFmtId="1" fontId="79" fillId="6" borderId="21" xfId="0" applyNumberFormat="1" applyFont="1" applyFill="1" applyBorder="1" applyAlignment="1">
      <alignment horizontal="center" vertical="center" wrapText="1"/>
    </xf>
    <xf numFmtId="0" fontId="69" fillId="6" borderId="4" xfId="0" applyFont="1" applyFill="1" applyBorder="1"/>
    <xf numFmtId="0" fontId="14" fillId="0" borderId="0" xfId="1557" applyFont="1"/>
    <xf numFmtId="166" fontId="30" fillId="0" borderId="0" xfId="0" applyNumberFormat="1" applyFont="1" applyAlignment="1">
      <alignment horizontal="right" vertical="top"/>
    </xf>
    <xf numFmtId="0" fontId="66" fillId="0" borderId="0" xfId="0" applyFont="1"/>
    <xf numFmtId="166" fontId="24" fillId="0" borderId="0" xfId="0" applyNumberFormat="1" applyFont="1"/>
    <xf numFmtId="0" fontId="24" fillId="0" borderId="55" xfId="0" applyFont="1" applyBorder="1" applyAlignment="1">
      <alignment horizontal="center" vertical="center" wrapText="1"/>
    </xf>
    <xf numFmtId="0" fontId="24" fillId="0" borderId="75" xfId="0" applyFont="1" applyBorder="1" applyAlignment="1">
      <alignment horizontal="center" vertical="center" wrapText="1"/>
    </xf>
    <xf numFmtId="0" fontId="66" fillId="0" borderId="75" xfId="1557" applyFont="1" applyBorder="1" applyAlignment="1">
      <alignment vertical="center" wrapText="1"/>
    </xf>
    <xf numFmtId="0" fontId="24" fillId="0" borderId="54" xfId="0" applyFont="1" applyBorder="1" applyAlignment="1">
      <alignment horizontal="center" vertical="center" wrapText="1"/>
    </xf>
    <xf numFmtId="1" fontId="24" fillId="14" borderId="45" xfId="0" applyNumberFormat="1" applyFont="1" applyFill="1" applyBorder="1" applyAlignment="1" applyProtection="1">
      <alignment horizontal="center" vertical="center"/>
      <protection locked="0"/>
    </xf>
    <xf numFmtId="0" fontId="13" fillId="0" borderId="0" xfId="1557" applyFont="1"/>
    <xf numFmtId="1" fontId="30" fillId="0" borderId="0" xfId="0" applyNumberFormat="1" applyFont="1"/>
    <xf numFmtId="2" fontId="27" fillId="6" borderId="0" xfId="0" applyNumberFormat="1" applyFont="1" applyFill="1" applyAlignment="1">
      <alignment horizontal="left"/>
    </xf>
    <xf numFmtId="0" fontId="34" fillId="0" borderId="0" xfId="723" applyFont="1" applyAlignment="1">
      <alignment horizontal="left" vertical="center" wrapText="1"/>
    </xf>
    <xf numFmtId="0" fontId="34" fillId="0" borderId="0" xfId="723" applyFont="1" applyAlignment="1">
      <alignment horizontal="left" vertical="center"/>
    </xf>
    <xf numFmtId="1" fontId="34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4" fillId="0" borderId="0" xfId="0" applyFont="1" applyAlignment="1">
      <alignment horizontal="center" wrapText="1"/>
    </xf>
    <xf numFmtId="2" fontId="37" fillId="0" borderId="0" xfId="0" applyNumberFormat="1" applyFont="1" applyAlignment="1">
      <alignment vertical="center"/>
    </xf>
    <xf numFmtId="0" fontId="88" fillId="0" borderId="0" xfId="0" applyFont="1" applyAlignment="1">
      <alignment horizontal="center" wrapText="1"/>
    </xf>
    <xf numFmtId="0" fontId="88" fillId="0" borderId="0" xfId="0" applyFont="1" applyAlignment="1">
      <alignment wrapText="1"/>
    </xf>
    <xf numFmtId="0" fontId="27" fillId="5" borderId="2" xfId="0" applyFont="1" applyFill="1" applyBorder="1" applyAlignment="1">
      <alignment horizontal="left" vertical="center"/>
    </xf>
    <xf numFmtId="0" fontId="27" fillId="5" borderId="3" xfId="0" applyFont="1" applyFill="1" applyBorder="1" applyAlignment="1">
      <alignment horizontal="left" vertical="center"/>
    </xf>
    <xf numFmtId="0" fontId="66" fillId="0" borderId="10" xfId="0" applyFont="1" applyBorder="1" applyAlignment="1">
      <alignment horizontal="center" vertical="center" wrapText="1"/>
    </xf>
    <xf numFmtId="0" fontId="34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2" fillId="6" borderId="0" xfId="0" applyFont="1" applyFill="1"/>
    <xf numFmtId="0" fontId="29" fillId="0" borderId="4" xfId="0" applyFont="1" applyBorder="1" applyAlignment="1">
      <alignment horizontal="left" vertical="center" wrapText="1"/>
    </xf>
    <xf numFmtId="0" fontId="27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30" fillId="0" borderId="0" xfId="1554" applyNumberFormat="1" applyFont="1" applyAlignment="1">
      <alignment horizontal="right" vertical="top"/>
    </xf>
    <xf numFmtId="3" fontId="30" fillId="0" borderId="0" xfId="0" applyNumberFormat="1" applyFont="1" applyAlignment="1">
      <alignment horizontal="right" vertical="top"/>
    </xf>
    <xf numFmtId="4" fontId="30" fillId="0" borderId="0" xfId="0" applyNumberFormat="1" applyFont="1" applyAlignment="1">
      <alignment horizontal="right" vertical="top"/>
    </xf>
    <xf numFmtId="1" fontId="30" fillId="0" borderId="0" xfId="0" applyNumberFormat="1" applyFont="1" applyAlignment="1">
      <alignment horizontal="right" vertical="top"/>
    </xf>
    <xf numFmtId="166" fontId="0" fillId="0" borderId="0" xfId="0" applyNumberFormat="1"/>
    <xf numFmtId="0" fontId="27" fillId="5" borderId="0" xfId="0" applyFont="1" applyFill="1" applyAlignment="1">
      <alignment horizontal="left"/>
    </xf>
    <xf numFmtId="0" fontId="0" fillId="0" borderId="45" xfId="0" applyBorder="1"/>
    <xf numFmtId="0" fontId="58" fillId="11" borderId="0" xfId="0" applyFont="1" applyFill="1" applyAlignment="1">
      <alignment wrapText="1"/>
    </xf>
    <xf numFmtId="0" fontId="24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33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7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8" xfId="0" applyBorder="1"/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10" xfId="0" applyFill="1" applyBorder="1" applyAlignment="1">
      <alignment horizontal="left" vertical="center"/>
    </xf>
    <xf numFmtId="0" fontId="0" fillId="6" borderId="0" xfId="0" applyFill="1" applyAlignment="1">
      <alignment horizontal="left"/>
    </xf>
    <xf numFmtId="0" fontId="30" fillId="6" borderId="4" xfId="0" applyFont="1" applyFill="1" applyBorder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2" fontId="30" fillId="6" borderId="5" xfId="0" applyNumberFormat="1" applyFont="1" applyFill="1" applyBorder="1" applyAlignment="1">
      <alignment horizontal="center" vertical="center"/>
    </xf>
    <xf numFmtId="2" fontId="30" fillId="6" borderId="0" xfId="0" applyNumberFormat="1" applyFont="1" applyFill="1" applyAlignment="1">
      <alignment horizontal="center" vertical="center"/>
    </xf>
    <xf numFmtId="1" fontId="30" fillId="6" borderId="66" xfId="6" applyNumberFormat="1" applyFont="1" applyFill="1" applyBorder="1" applyAlignment="1">
      <alignment horizontal="center" vertical="center"/>
    </xf>
    <xf numFmtId="0" fontId="30" fillId="6" borderId="4" xfId="0" applyFont="1" applyFill="1" applyBorder="1" applyAlignment="1">
      <alignment horizontal="left" vertical="center"/>
    </xf>
    <xf numFmtId="0" fontId="34" fillId="6" borderId="79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6" xfId="0" applyNumberFormat="1" applyFill="1" applyBorder="1" applyAlignment="1">
      <alignment horizontal="center" vertical="center"/>
    </xf>
    <xf numFmtId="0" fontId="30" fillId="6" borderId="59" xfId="0" applyFont="1" applyFill="1" applyBorder="1" applyAlignment="1">
      <alignment horizontal="left" vertical="center"/>
    </xf>
    <xf numFmtId="2" fontId="30" fillId="6" borderId="76" xfId="0" applyNumberFormat="1" applyFont="1" applyFill="1" applyBorder="1" applyAlignment="1">
      <alignment horizontal="center" vertical="center"/>
    </xf>
    <xf numFmtId="2" fontId="74" fillId="6" borderId="0" xfId="1556" applyNumberFormat="1" applyFont="1" applyFill="1" applyAlignment="1">
      <alignment horizontal="center" vertical="center" wrapText="1"/>
    </xf>
    <xf numFmtId="2" fontId="30" fillId="0" borderId="19" xfId="0" applyNumberFormat="1" applyFont="1" applyBorder="1"/>
    <xf numFmtId="2" fontId="27" fillId="23" borderId="58" xfId="0" applyNumberFormat="1" applyFont="1" applyFill="1" applyBorder="1" applyAlignment="1">
      <alignment horizontal="right"/>
    </xf>
    <xf numFmtId="2" fontId="27" fillId="0" borderId="38" xfId="0" applyNumberFormat="1" applyFont="1" applyBorder="1" applyAlignment="1">
      <alignment horizontal="right"/>
    </xf>
    <xf numFmtId="2" fontId="27" fillId="23" borderId="30" xfId="0" applyNumberFormat="1" applyFont="1" applyFill="1" applyBorder="1" applyAlignment="1">
      <alignment horizontal="right"/>
    </xf>
    <xf numFmtId="2" fontId="30" fillId="23" borderId="36" xfId="0" applyNumberFormat="1" applyFont="1" applyFill="1" applyBorder="1"/>
    <xf numFmtId="0" fontId="48" fillId="0" borderId="21" xfId="0" applyFont="1" applyBorder="1" applyAlignment="1">
      <alignment horizontal="center" vertical="center" wrapText="1"/>
    </xf>
    <xf numFmtId="2" fontId="30" fillId="0" borderId="22" xfId="0" applyNumberFormat="1" applyFont="1" applyBorder="1"/>
    <xf numFmtId="2" fontId="34" fillId="0" borderId="0" xfId="0" applyNumberFormat="1" applyFont="1"/>
    <xf numFmtId="0" fontId="30" fillId="0" borderId="45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2" fontId="0" fillId="6" borderId="0" xfId="0" applyNumberFormat="1" applyFill="1"/>
    <xf numFmtId="0" fontId="0" fillId="6" borderId="4" xfId="0" applyFill="1" applyBorder="1"/>
    <xf numFmtId="3" fontId="0" fillId="6" borderId="0" xfId="0" applyNumberFormat="1" applyFill="1"/>
    <xf numFmtId="0" fontId="0" fillId="6" borderId="6" xfId="0" applyFill="1" applyBorder="1"/>
    <xf numFmtId="0" fontId="27" fillId="5" borderId="4" xfId="0" applyFont="1" applyFill="1" applyBorder="1" applyAlignment="1">
      <alignment horizontal="left" vertical="center"/>
    </xf>
    <xf numFmtId="0" fontId="27" fillId="5" borderId="5" xfId="0" applyFont="1" applyFill="1" applyBorder="1" applyAlignment="1">
      <alignment horizontal="left" vertical="center"/>
    </xf>
    <xf numFmtId="0" fontId="0" fillId="6" borderId="71" xfId="0" applyFill="1" applyBorder="1" applyAlignment="1">
      <alignment horizontal="center"/>
    </xf>
    <xf numFmtId="0" fontId="9" fillId="0" borderId="0" xfId="1557" applyFont="1"/>
    <xf numFmtId="2" fontId="30" fillId="6" borderId="19" xfId="0" applyNumberFormat="1" applyFont="1" applyFill="1" applyBorder="1"/>
    <xf numFmtId="0" fontId="89" fillId="0" borderId="0" xfId="0" applyFont="1"/>
    <xf numFmtId="0" fontId="90" fillId="0" borderId="0" xfId="6" applyFont="1"/>
    <xf numFmtId="0" fontId="90" fillId="0" borderId="0" xfId="0" applyFont="1"/>
    <xf numFmtId="0" fontId="91" fillId="0" borderId="0" xfId="0" applyFont="1"/>
    <xf numFmtId="2" fontId="30" fillId="6" borderId="50" xfId="723" applyNumberFormat="1" applyFont="1" applyFill="1" applyBorder="1" applyAlignment="1">
      <alignment horizontal="right" vertical="center"/>
    </xf>
    <xf numFmtId="1" fontId="90" fillId="14" borderId="45" xfId="0" applyNumberFormat="1" applyFont="1" applyFill="1" applyBorder="1" applyAlignment="1" applyProtection="1">
      <alignment horizontal="center" vertical="center"/>
      <protection locked="0"/>
    </xf>
    <xf numFmtId="2" fontId="90" fillId="14" borderId="45" xfId="0" applyNumberFormat="1" applyFont="1" applyFill="1" applyBorder="1" applyAlignment="1" applyProtection="1">
      <alignment horizontal="center" vertical="center"/>
      <protection locked="0"/>
    </xf>
    <xf numFmtId="0" fontId="42" fillId="0" borderId="1" xfId="0" applyFont="1" applyBorder="1" applyAlignment="1">
      <alignment horizontal="center" vertical="center" wrapText="1"/>
    </xf>
    <xf numFmtId="165" fontId="48" fillId="0" borderId="1" xfId="1" applyNumberFormat="1" applyFont="1" applyFill="1" applyBorder="1" applyAlignment="1">
      <alignment horizontal="center"/>
    </xf>
    <xf numFmtId="2" fontId="48" fillId="0" borderId="1" xfId="1" applyNumberFormat="1" applyFont="1" applyFill="1" applyBorder="1" applyAlignment="1">
      <alignment horizontal="center"/>
    </xf>
    <xf numFmtId="166" fontId="48" fillId="0" borderId="1" xfId="1" applyNumberFormat="1" applyFont="1" applyFill="1" applyBorder="1" applyAlignment="1">
      <alignment horizontal="center"/>
    </xf>
    <xf numFmtId="167" fontId="48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9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9" fillId="0" borderId="1" xfId="0" applyNumberFormat="1" applyFont="1" applyBorder="1" applyAlignment="1">
      <alignment horizontal="center" vertical="center" wrapText="1"/>
    </xf>
    <xf numFmtId="2" fontId="79" fillId="0" borderId="30" xfId="0" applyNumberFormat="1" applyFont="1" applyBorder="1" applyAlignment="1">
      <alignment horizontal="center" vertical="center" wrapText="1"/>
    </xf>
    <xf numFmtId="0" fontId="79" fillId="0" borderId="12" xfId="0" applyFont="1" applyBorder="1" applyAlignment="1">
      <alignment horizontal="center" vertical="center" wrapText="1"/>
    </xf>
    <xf numFmtId="0" fontId="0" fillId="6" borderId="52" xfId="0" applyFill="1" applyBorder="1" applyAlignment="1">
      <alignment horizontal="center" vertical="center" wrapText="1"/>
    </xf>
    <xf numFmtId="0" fontId="79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9" fillId="0" borderId="25" xfId="0" applyNumberFormat="1" applyFont="1" applyBorder="1" applyAlignment="1">
      <alignment horizontal="center" vertical="center" wrapText="1"/>
    </xf>
    <xf numFmtId="1" fontId="0" fillId="6" borderId="4" xfId="0" applyNumberFormat="1" applyFill="1" applyBorder="1" applyAlignment="1">
      <alignment horizontal="left" vertical="center"/>
    </xf>
    <xf numFmtId="0" fontId="27" fillId="6" borderId="4" xfId="0" applyFont="1" applyFill="1" applyBorder="1" applyAlignment="1">
      <alignment horizontal="left" vertical="center"/>
    </xf>
    <xf numFmtId="1" fontId="0" fillId="6" borderId="6" xfId="0" applyNumberFormat="1" applyFill="1" applyBorder="1" applyAlignment="1">
      <alignment horizontal="left" vertical="center"/>
    </xf>
    <xf numFmtId="0" fontId="27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6" fillId="6" borderId="0" xfId="0" applyNumberFormat="1" applyFont="1" applyFill="1" applyAlignment="1">
      <alignment horizontal="left"/>
    </xf>
    <xf numFmtId="0" fontId="40" fillId="6" borderId="4" xfId="0" applyFont="1" applyFill="1" applyBorder="1"/>
    <xf numFmtId="0" fontId="33" fillId="6" borderId="4" xfId="0" applyFont="1" applyFill="1" applyBorder="1"/>
    <xf numFmtId="2" fontId="69" fillId="6" borderId="4" xfId="0" applyNumberFormat="1" applyFont="1" applyFill="1" applyBorder="1"/>
    <xf numFmtId="2" fontId="0" fillId="6" borderId="4" xfId="0" applyNumberFormat="1" applyFill="1" applyBorder="1"/>
    <xf numFmtId="0" fontId="0" fillId="6" borderId="6" xfId="0" applyFill="1" applyBorder="1" applyAlignment="1">
      <alignment wrapText="1"/>
    </xf>
    <xf numFmtId="1" fontId="90" fillId="0" borderId="45" xfId="0" applyNumberFormat="1" applyFont="1" applyBorder="1" applyAlignment="1" applyProtection="1">
      <alignment horizontal="center" vertical="center"/>
      <protection locked="0"/>
    </xf>
    <xf numFmtId="0" fontId="27" fillId="0" borderId="4" xfId="0" applyFont="1" applyBorder="1"/>
    <xf numFmtId="1" fontId="0" fillId="0" borderId="4" xfId="0" applyNumberFormat="1" applyBorder="1"/>
    <xf numFmtId="0" fontId="27" fillId="0" borderId="6" xfId="0" applyFont="1" applyBorder="1"/>
    <xf numFmtId="0" fontId="92" fillId="0" borderId="0" xfId="0" applyFont="1"/>
    <xf numFmtId="0" fontId="27" fillId="5" borderId="0" xfId="0" applyFont="1" applyFill="1" applyAlignment="1">
      <alignment horizontal="left" vertical="center"/>
    </xf>
    <xf numFmtId="0" fontId="27" fillId="5" borderId="50" xfId="0" applyFont="1" applyFill="1" applyBorder="1" applyAlignment="1">
      <alignment horizontal="left" vertical="center"/>
    </xf>
    <xf numFmtId="0" fontId="8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30" fillId="14" borderId="1" xfId="0" applyNumberFormat="1" applyFont="1" applyFill="1" applyBorder="1" applyProtection="1">
      <protection locked="0"/>
    </xf>
    <xf numFmtId="2" fontId="0" fillId="14" borderId="1" xfId="0" applyNumberFormat="1" applyFill="1" applyBorder="1" applyProtection="1">
      <protection locked="0"/>
    </xf>
    <xf numFmtId="0" fontId="30" fillId="0" borderId="12" xfId="0" applyFont="1" applyBorder="1"/>
    <xf numFmtId="2" fontId="30" fillId="14" borderId="12" xfId="0" applyNumberFormat="1" applyFont="1" applyFill="1" applyBorder="1" applyProtection="1">
      <protection locked="0"/>
    </xf>
    <xf numFmtId="2" fontId="30" fillId="0" borderId="12" xfId="0" applyNumberFormat="1" applyFont="1" applyBorder="1"/>
    <xf numFmtId="1" fontId="30" fillId="14" borderId="1" xfId="0" applyNumberFormat="1" applyFont="1" applyFill="1" applyBorder="1" applyAlignment="1" applyProtection="1">
      <alignment horizontal="center" vertical="center"/>
      <protection locked="0"/>
    </xf>
    <xf numFmtId="167" fontId="30" fillId="14" borderId="1" xfId="0" applyNumberFormat="1" applyFont="1" applyFill="1" applyBorder="1" applyAlignment="1" applyProtection="1">
      <alignment horizontal="center" vertical="center"/>
      <protection locked="0"/>
    </xf>
    <xf numFmtId="1" fontId="30" fillId="14" borderId="1" xfId="0" applyNumberFormat="1" applyFont="1" applyFill="1" applyBorder="1" applyAlignment="1" applyProtection="1">
      <alignment horizontal="center" vertical="center" wrapText="1"/>
      <protection locked="0"/>
    </xf>
    <xf numFmtId="1" fontId="30" fillId="6" borderId="1" xfId="0" applyNumberFormat="1" applyFont="1" applyFill="1" applyBorder="1" applyAlignment="1">
      <alignment horizontal="center" vertical="center" wrapText="1"/>
    </xf>
    <xf numFmtId="166" fontId="30" fillId="14" borderId="1" xfId="0" applyNumberFormat="1" applyFont="1" applyFill="1" applyBorder="1" applyAlignment="1" applyProtection="1">
      <alignment vertical="center"/>
      <protection locked="0"/>
    </xf>
    <xf numFmtId="166" fontId="33" fillId="14" borderId="1" xfId="0" applyNumberFormat="1" applyFont="1" applyFill="1" applyBorder="1" applyAlignment="1" applyProtection="1">
      <alignment vertical="center"/>
      <protection locked="0"/>
    </xf>
    <xf numFmtId="166" fontId="33" fillId="14" borderId="1" xfId="0" applyNumberFormat="1" applyFont="1" applyFill="1" applyBorder="1" applyAlignment="1" applyProtection="1">
      <alignment horizontal="center" vertical="center" wrapText="1"/>
      <protection locked="0"/>
    </xf>
    <xf numFmtId="166" fontId="33" fillId="14" borderId="1" xfId="0" applyNumberFormat="1" applyFont="1" applyFill="1" applyBorder="1" applyAlignment="1" applyProtection="1">
      <alignment horizontal="center" vertical="center"/>
      <protection locked="0"/>
    </xf>
    <xf numFmtId="1" fontId="33" fillId="14" borderId="1" xfId="0" applyNumberFormat="1" applyFont="1" applyFill="1" applyBorder="1" applyAlignment="1" applyProtection="1">
      <alignment horizontal="center" vertical="center"/>
      <protection locked="0"/>
    </xf>
    <xf numFmtId="2" fontId="30" fillId="14" borderId="1" xfId="0" applyNumberFormat="1" applyFont="1" applyFill="1" applyBorder="1" applyAlignment="1" applyProtection="1">
      <alignment horizontal="left" vertical="center"/>
      <protection locked="0"/>
    </xf>
    <xf numFmtId="2" fontId="30" fillId="14" borderId="1" xfId="6" applyNumberFormat="1" applyFont="1" applyFill="1" applyBorder="1" applyAlignment="1" applyProtection="1">
      <alignment horizontal="left" vertical="center"/>
      <protection locked="0"/>
    </xf>
    <xf numFmtId="167" fontId="30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8" fillId="9" borderId="0" xfId="0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center" vertical="center"/>
    </xf>
    <xf numFmtId="1" fontId="34" fillId="0" borderId="0" xfId="723" applyNumberFormat="1" applyFont="1" applyAlignment="1">
      <alignment horizontal="left" vertical="center" wrapText="1"/>
    </xf>
    <xf numFmtId="0" fontId="7" fillId="4" borderId="0" xfId="0" applyFont="1" applyFill="1" applyAlignment="1">
      <alignment horizontal="center" vertical="center"/>
    </xf>
    <xf numFmtId="2" fontId="7" fillId="4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28" xfId="0" applyNumberFormat="1" applyFont="1" applyFill="1" applyBorder="1" applyAlignment="1">
      <alignment horizontal="center" vertical="center"/>
    </xf>
    <xf numFmtId="2" fontId="7" fillId="4" borderId="12" xfId="0" applyNumberFormat="1" applyFont="1" applyFill="1" applyBorder="1" applyAlignment="1">
      <alignment horizontal="center" vertical="center"/>
    </xf>
    <xf numFmtId="49" fontId="7" fillId="4" borderId="12" xfId="0" applyNumberFormat="1" applyFont="1" applyFill="1" applyBorder="1" applyAlignment="1">
      <alignment horizontal="center" vertical="center"/>
    </xf>
    <xf numFmtId="49" fontId="7" fillId="4" borderId="64" xfId="0" applyNumberFormat="1" applyFont="1" applyFill="1" applyBorder="1" applyAlignment="1">
      <alignment horizontal="center" vertical="center"/>
    </xf>
    <xf numFmtId="2" fontId="7" fillId="4" borderId="8" xfId="0" applyNumberFormat="1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49" fontId="7" fillId="4" borderId="30" xfId="0" applyNumberFormat="1" applyFont="1" applyFill="1" applyBorder="1" applyAlignment="1">
      <alignment horizontal="center" vertical="center"/>
    </xf>
    <xf numFmtId="49" fontId="7" fillId="4" borderId="31" xfId="0" applyNumberFormat="1" applyFont="1" applyFill="1" applyBorder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49" fontId="7" fillId="6" borderId="0" xfId="0" applyNumberFormat="1" applyFont="1" applyFill="1" applyAlignment="1">
      <alignment horizontal="center" vertical="center"/>
    </xf>
    <xf numFmtId="0" fontId="7" fillId="4" borderId="81" xfId="0" applyFont="1" applyFill="1" applyBorder="1" applyAlignment="1">
      <alignment horizontal="center" vertical="center" wrapText="1"/>
    </xf>
    <xf numFmtId="0" fontId="7" fillId="4" borderId="67" xfId="0" applyFont="1" applyFill="1" applyBorder="1" applyAlignment="1">
      <alignment horizontal="center" vertical="center" wrapText="1"/>
    </xf>
    <xf numFmtId="0" fontId="7" fillId="4" borderId="68" xfId="0" applyFont="1" applyFill="1" applyBorder="1" applyAlignment="1">
      <alignment horizontal="center" vertical="center" wrapText="1"/>
    </xf>
    <xf numFmtId="49" fontId="16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2" fontId="0" fillId="6" borderId="67" xfId="0" applyNumberFormat="1" applyFill="1" applyBorder="1" applyAlignment="1" applyProtection="1">
      <alignment horizontal="center" vertical="center"/>
      <protection locked="0"/>
    </xf>
    <xf numFmtId="1" fontId="16" fillId="6" borderId="53" xfId="0" applyNumberFormat="1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 wrapText="1"/>
    </xf>
    <xf numFmtId="0" fontId="85" fillId="6" borderId="0" xfId="0" applyFont="1" applyFill="1" applyAlignment="1">
      <alignment horizontal="left" vertical="center"/>
    </xf>
    <xf numFmtId="0" fontId="27" fillId="0" borderId="52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 wrapText="1"/>
    </xf>
    <xf numFmtId="0" fontId="0" fillId="4" borderId="12" xfId="0" applyFill="1" applyBorder="1"/>
    <xf numFmtId="0" fontId="30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6" fillId="14" borderId="30" xfId="0" applyNumberFormat="1" applyFont="1" applyFill="1" applyBorder="1" applyAlignment="1" applyProtection="1">
      <alignment horizontal="center" vertical="center"/>
      <protection locked="0"/>
    </xf>
    <xf numFmtId="49" fontId="16" fillId="14" borderId="30" xfId="0" applyNumberFormat="1" applyFont="1" applyFill="1" applyBorder="1" applyAlignment="1" applyProtection="1">
      <alignment horizontal="center" vertical="center"/>
      <protection locked="0"/>
    </xf>
    <xf numFmtId="49" fontId="16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3" fillId="0" borderId="36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10" fontId="95" fillId="6" borderId="0" xfId="0" applyNumberFormat="1" applyFont="1" applyFill="1" applyAlignment="1">
      <alignment horizontal="center" vertical="center"/>
    </xf>
    <xf numFmtId="0" fontId="42" fillId="6" borderId="1" xfId="0" applyFont="1" applyFill="1" applyBorder="1" applyAlignment="1">
      <alignment horizontal="center" vertical="center" wrapText="1"/>
    </xf>
    <xf numFmtId="0" fontId="42" fillId="6" borderId="25" xfId="0" applyFont="1" applyFill="1" applyBorder="1" applyAlignment="1">
      <alignment horizontal="center" vertical="center" wrapText="1"/>
    </xf>
    <xf numFmtId="0" fontId="30" fillId="6" borderId="25" xfId="0" applyFont="1" applyFill="1" applyBorder="1" applyAlignment="1">
      <alignment horizontal="center" vertical="center" wrapText="1"/>
    </xf>
    <xf numFmtId="0" fontId="73" fillId="0" borderId="0" xfId="0" applyFont="1"/>
    <xf numFmtId="9" fontId="96" fillId="0" borderId="0" xfId="1554" applyFont="1"/>
    <xf numFmtId="0" fontId="24" fillId="14" borderId="5" xfId="6" applyFill="1" applyBorder="1" applyProtection="1">
      <protection locked="0"/>
    </xf>
    <xf numFmtId="0" fontId="24" fillId="14" borderId="7" xfId="6" applyFill="1" applyBorder="1" applyProtection="1">
      <protection locked="0"/>
    </xf>
    <xf numFmtId="1" fontId="30" fillId="0" borderId="1" xfId="0" applyNumberFormat="1" applyFont="1" applyBorder="1" applyAlignment="1">
      <alignment horizontal="center" vertical="center"/>
    </xf>
    <xf numFmtId="1" fontId="30" fillId="0" borderId="30" xfId="0" applyNumberFormat="1" applyFont="1" applyBorder="1" applyAlignment="1">
      <alignment horizontal="center" vertical="center"/>
    </xf>
    <xf numFmtId="10" fontId="0" fillId="14" borderId="28" xfId="0" applyNumberFormat="1" applyFill="1" applyBorder="1" applyAlignment="1" applyProtection="1">
      <alignment horizontal="center" vertical="center"/>
      <protection locked="0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0" fontId="0" fillId="14" borderId="31" xfId="0" applyNumberFormat="1" applyFill="1" applyBorder="1" applyAlignment="1" applyProtection="1">
      <alignment horizontal="center" vertical="center"/>
      <protection locked="0"/>
    </xf>
    <xf numFmtId="1" fontId="0" fillId="14" borderId="80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10" fontId="0" fillId="14" borderId="64" xfId="0" applyNumberFormat="1" applyFill="1" applyBorder="1" applyAlignment="1" applyProtection="1">
      <alignment horizontal="center" vertical="center"/>
      <protection locked="0"/>
    </xf>
    <xf numFmtId="0" fontId="0" fillId="6" borderId="42" xfId="0" applyFill="1" applyBorder="1" applyAlignment="1">
      <alignment horizontal="center" vertical="center" wrapText="1"/>
    </xf>
    <xf numFmtId="0" fontId="0" fillId="6" borderId="77" xfId="0" applyFill="1" applyBorder="1" applyAlignment="1">
      <alignment horizontal="center" vertical="center" wrapText="1"/>
    </xf>
    <xf numFmtId="10" fontId="0" fillId="14" borderId="36" xfId="0" applyNumberFormat="1" applyFill="1" applyBorder="1" applyAlignment="1" applyProtection="1">
      <alignment horizontal="center" vertical="center"/>
      <protection locked="0"/>
    </xf>
    <xf numFmtId="10" fontId="0" fillId="14" borderId="37" xfId="0" applyNumberFormat="1" applyFill="1" applyBorder="1" applyAlignment="1" applyProtection="1">
      <alignment horizontal="center" vertical="center"/>
      <protection locked="0"/>
    </xf>
    <xf numFmtId="10" fontId="0" fillId="14" borderId="80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 wrapText="1"/>
    </xf>
    <xf numFmtId="0" fontId="97" fillId="0" borderId="0" xfId="0" applyFont="1" applyAlignment="1">
      <alignment horizontal="left" vertical="center" wrapText="1"/>
    </xf>
    <xf numFmtId="0" fontId="49" fillId="15" borderId="2" xfId="1553" applyBorder="1"/>
    <xf numFmtId="0" fontId="49" fillId="15" borderId="50" xfId="1553" applyBorder="1"/>
    <xf numFmtId="0" fontId="49" fillId="15" borderId="3" xfId="1553" applyBorder="1"/>
    <xf numFmtId="0" fontId="19" fillId="0" borderId="4" xfId="1557" applyBorder="1"/>
    <xf numFmtId="0" fontId="12" fillId="0" borderId="4" xfId="1557" applyFont="1" applyBorder="1"/>
    <xf numFmtId="0" fontId="19" fillId="0" borderId="5" xfId="1557" applyBorder="1"/>
    <xf numFmtId="0" fontId="15" fillId="0" borderId="4" xfId="1557" applyFont="1" applyBorder="1"/>
    <xf numFmtId="0" fontId="15" fillId="0" borderId="6" xfId="1557" applyFont="1" applyBorder="1"/>
    <xf numFmtId="0" fontId="19" fillId="0" borderId="7" xfId="1557" applyBorder="1"/>
    <xf numFmtId="0" fontId="19" fillId="0" borderId="52" xfId="1557" applyBorder="1"/>
    <xf numFmtId="1" fontId="19" fillId="0" borderId="0" xfId="1557" applyNumberFormat="1"/>
    <xf numFmtId="165" fontId="19" fillId="0" borderId="0" xfId="1557" applyNumberFormat="1"/>
    <xf numFmtId="1" fontId="19" fillId="0" borderId="45" xfId="1557" applyNumberFormat="1" applyBorder="1"/>
    <xf numFmtId="165" fontId="19" fillId="0" borderId="45" xfId="1557" applyNumberFormat="1" applyBorder="1"/>
    <xf numFmtId="0" fontId="7" fillId="0" borderId="0" xfId="1557" applyFont="1"/>
    <xf numFmtId="0" fontId="49" fillId="15" borderId="52" xfId="1553" applyBorder="1"/>
    <xf numFmtId="0" fontId="49" fillId="15" borderId="71" xfId="1553" applyBorder="1"/>
    <xf numFmtId="0" fontId="7" fillId="0" borderId="57" xfId="1557" applyFont="1" applyBorder="1" applyAlignment="1">
      <alignment horizontal="center" vertical="top" wrapText="1"/>
    </xf>
    <xf numFmtId="0" fontId="7" fillId="0" borderId="53" xfId="1557" applyFont="1" applyBorder="1" applyAlignment="1">
      <alignment horizontal="center" vertical="top" wrapText="1"/>
    </xf>
    <xf numFmtId="0" fontId="7" fillId="0" borderId="57" xfId="1557" applyFont="1" applyBorder="1" applyAlignment="1">
      <alignment vertical="top" wrapText="1"/>
    </xf>
    <xf numFmtId="0" fontId="7" fillId="0" borderId="52" xfId="1557" applyFont="1" applyBorder="1" applyAlignment="1">
      <alignment vertical="top" wrapText="1"/>
    </xf>
    <xf numFmtId="0" fontId="7" fillId="0" borderId="53" xfId="1557" applyFont="1" applyBorder="1" applyAlignment="1">
      <alignment vertical="top" wrapText="1"/>
    </xf>
    <xf numFmtId="1" fontId="19" fillId="0" borderId="4" xfId="1557" applyNumberFormat="1" applyBorder="1"/>
    <xf numFmtId="1" fontId="19" fillId="0" borderId="6" xfId="1557" applyNumberFormat="1" applyBorder="1"/>
    <xf numFmtId="1" fontId="19" fillId="0" borderId="2" xfId="1557" applyNumberFormat="1" applyBorder="1"/>
    <xf numFmtId="0" fontId="19" fillId="0" borderId="78" xfId="1557" applyBorder="1"/>
    <xf numFmtId="0" fontId="19" fillId="0" borderId="16" xfId="1557" applyBorder="1"/>
    <xf numFmtId="0" fontId="19" fillId="0" borderId="82" xfId="1557" applyBorder="1"/>
    <xf numFmtId="0" fontId="30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30" fillId="0" borderId="6" xfId="0" applyFont="1" applyBorder="1" applyAlignment="1">
      <alignment horizontal="left"/>
    </xf>
    <xf numFmtId="1" fontId="23" fillId="0" borderId="0" xfId="6" applyNumberFormat="1" applyFont="1"/>
    <xf numFmtId="0" fontId="19" fillId="27" borderId="0" xfId="1557" applyFill="1"/>
    <xf numFmtId="0" fontId="7" fillId="26" borderId="0" xfId="1557" applyFont="1" applyFill="1"/>
    <xf numFmtId="0" fontId="19" fillId="26" borderId="0" xfId="1557" applyFill="1"/>
    <xf numFmtId="0" fontId="49" fillId="26" borderId="0" xfId="1553" applyFill="1"/>
    <xf numFmtId="2" fontId="49" fillId="0" borderId="0" xfId="1553" applyNumberFormat="1" applyFill="1" applyAlignment="1">
      <alignment horizontal="center"/>
    </xf>
    <xf numFmtId="0" fontId="49" fillId="0" borderId="0" xfId="1553" applyFill="1"/>
    <xf numFmtId="0" fontId="0" fillId="27" borderId="0" xfId="0" applyFill="1"/>
    <xf numFmtId="1" fontId="0" fillId="27" borderId="0" xfId="0" applyNumberFormat="1" applyFill="1"/>
    <xf numFmtId="0" fontId="41" fillId="27" borderId="0" xfId="1557" applyFont="1" applyFill="1"/>
    <xf numFmtId="0" fontId="34" fillId="0" borderId="6" xfId="0" applyFont="1" applyBorder="1" applyAlignment="1">
      <alignment horizontal="left"/>
    </xf>
    <xf numFmtId="2" fontId="19" fillId="0" borderId="5" xfId="1557" applyNumberFormat="1" applyBorder="1"/>
    <xf numFmtId="2" fontId="19" fillId="0" borderId="7" xfId="1557" applyNumberFormat="1" applyBorder="1"/>
    <xf numFmtId="168" fontId="19" fillId="0" borderId="0" xfId="1833" applyNumberFormat="1" applyFont="1"/>
    <xf numFmtId="168" fontId="19" fillId="0" borderId="45" xfId="1833" applyNumberFormat="1" applyFont="1" applyBorder="1"/>
    <xf numFmtId="168" fontId="19" fillId="0" borderId="50" xfId="1833" applyNumberFormat="1" applyFont="1" applyBorder="1"/>
    <xf numFmtId="2" fontId="19" fillId="0" borderId="3" xfId="1557" applyNumberFormat="1" applyBorder="1"/>
    <xf numFmtId="2" fontId="19" fillId="0" borderId="0" xfId="1557" applyNumberFormat="1"/>
    <xf numFmtId="0" fontId="30" fillId="0" borderId="72" xfId="0" applyFont="1" applyBorder="1" applyAlignment="1">
      <alignment horizontal="center" vertical="center" wrapText="1"/>
    </xf>
    <xf numFmtId="168" fontId="0" fillId="6" borderId="0" xfId="1833" applyNumberFormat="1" applyFont="1" applyFill="1"/>
    <xf numFmtId="0" fontId="27" fillId="18" borderId="4" xfId="0" applyFont="1" applyFill="1" applyBorder="1" applyAlignment="1">
      <alignment horizontal="left" vertical="center"/>
    </xf>
    <xf numFmtId="0" fontId="40" fillId="6" borderId="4" xfId="0" quotePrefix="1" applyFont="1" applyFill="1" applyBorder="1"/>
    <xf numFmtId="0" fontId="0" fillId="6" borderId="4" xfId="0" applyFill="1" applyBorder="1" applyAlignment="1">
      <alignment wrapText="1"/>
    </xf>
    <xf numFmtId="0" fontId="34" fillId="0" borderId="1" xfId="0" applyFont="1" applyBorder="1" applyAlignment="1">
      <alignment horizontal="center" vertical="center"/>
    </xf>
    <xf numFmtId="2" fontId="30" fillId="6" borderId="1" xfId="1" applyNumberFormat="1" applyFont="1" applyFill="1" applyBorder="1" applyAlignment="1">
      <alignment horizontal="center" vertical="center"/>
    </xf>
    <xf numFmtId="1" fontId="30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30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30" fillId="0" borderId="1" xfId="0" applyFont="1" applyBorder="1" applyAlignment="1">
      <alignment vertical="center"/>
    </xf>
    <xf numFmtId="0" fontId="30" fillId="0" borderId="50" xfId="0" applyFont="1" applyBorder="1" applyAlignment="1">
      <alignment horizontal="center" vertical="center" wrapText="1"/>
    </xf>
    <xf numFmtId="0" fontId="24" fillId="14" borderId="45" xfId="6" applyFill="1" applyBorder="1" applyProtection="1">
      <protection locked="0"/>
    </xf>
    <xf numFmtId="0" fontId="30" fillId="0" borderId="45" xfId="0" applyFont="1" applyBorder="1"/>
    <xf numFmtId="0" fontId="35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0" fillId="4" borderId="1" xfId="0" applyFill="1" applyBorder="1" applyAlignment="1">
      <alignment horizontal="center" vertical="center" wrapText="1"/>
    </xf>
    <xf numFmtId="2" fontId="30" fillId="0" borderId="21" xfId="0" applyNumberFormat="1" applyFont="1" applyBorder="1"/>
    <xf numFmtId="0" fontId="30" fillId="4" borderId="1" xfId="0" applyFont="1" applyFill="1" applyBorder="1" applyAlignment="1">
      <alignment horizontal="center" vertical="center" wrapText="1"/>
    </xf>
    <xf numFmtId="2" fontId="40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left" vertical="center" wrapText="1"/>
    </xf>
    <xf numFmtId="165" fontId="35" fillId="6" borderId="1" xfId="1" applyNumberFormat="1" applyFont="1" applyFill="1" applyBorder="1" applyAlignment="1">
      <alignment horizontal="center" vertical="center" wrapText="1"/>
    </xf>
    <xf numFmtId="2" fontId="49" fillId="15" borderId="50" xfId="1553" applyNumberFormat="1" applyBorder="1" applyAlignment="1">
      <alignment horizontal="center"/>
    </xf>
    <xf numFmtId="0" fontId="8" fillId="6" borderId="49" xfId="0" applyFont="1" applyFill="1" applyBorder="1" applyAlignment="1">
      <alignment horizontal="center" vertical="center" wrapText="1"/>
    </xf>
    <xf numFmtId="1" fontId="0" fillId="14" borderId="13" xfId="0" applyNumberFormat="1" applyFill="1" applyBorder="1" applyAlignment="1" applyProtection="1">
      <alignment horizontal="center" vertical="center"/>
      <protection locked="0"/>
    </xf>
    <xf numFmtId="0" fontId="16" fillId="6" borderId="40" xfId="0" applyFont="1" applyFill="1" applyBorder="1" applyAlignment="1">
      <alignment horizontal="center" vertical="center" wrapText="1"/>
    </xf>
    <xf numFmtId="2" fontId="0" fillId="14" borderId="21" xfId="0" applyNumberFormat="1" applyFill="1" applyBorder="1" applyAlignment="1" applyProtection="1">
      <alignment horizontal="center" vertical="center"/>
      <protection locked="0"/>
    </xf>
    <xf numFmtId="0" fontId="16" fillId="6" borderId="72" xfId="0" applyFont="1" applyFill="1" applyBorder="1" applyAlignment="1">
      <alignment horizontal="center" vertical="center" wrapText="1"/>
    </xf>
    <xf numFmtId="1" fontId="0" fillId="6" borderId="66" xfId="0" applyNumberFormat="1" applyFill="1" applyBorder="1" applyAlignment="1" applyProtection="1">
      <alignment horizontal="center" vertical="center"/>
      <protection locked="0"/>
    </xf>
    <xf numFmtId="1" fontId="0" fillId="6" borderId="69" xfId="0" applyNumberFormat="1" applyFill="1" applyBorder="1" applyAlignment="1" applyProtection="1">
      <alignment horizontal="center" vertical="center"/>
      <protection locked="0"/>
    </xf>
    <xf numFmtId="165" fontId="24" fillId="14" borderId="45" xfId="0" applyNumberFormat="1" applyFont="1" applyFill="1" applyBorder="1" applyAlignment="1" applyProtection="1">
      <alignment horizontal="center" vertical="center"/>
      <protection locked="0"/>
    </xf>
    <xf numFmtId="2" fontId="0" fillId="6" borderId="28" xfId="0" applyNumberFormat="1" applyFill="1" applyBorder="1" applyAlignment="1" applyProtection="1">
      <alignment horizontal="center" vertical="center"/>
      <protection locked="0"/>
    </xf>
    <xf numFmtId="0" fontId="6" fillId="6" borderId="35" xfId="0" applyFont="1" applyFill="1" applyBorder="1" applyAlignment="1">
      <alignment horizontal="center" vertical="center" wrapText="1"/>
    </xf>
    <xf numFmtId="176" fontId="30" fillId="0" borderId="1" xfId="1554" applyNumberFormat="1" applyFont="1" applyBorder="1"/>
    <xf numFmtId="176" fontId="30" fillId="0" borderId="1" xfId="0" applyNumberFormat="1" applyFont="1" applyBorder="1"/>
    <xf numFmtId="9" fontId="30" fillId="0" borderId="1" xfId="0" applyNumberFormat="1" applyFont="1" applyBorder="1"/>
    <xf numFmtId="0" fontId="4" fillId="0" borderId="57" xfId="1557" applyFont="1" applyBorder="1" applyAlignment="1">
      <alignment horizontal="center" vertical="top" wrapText="1"/>
    </xf>
    <xf numFmtId="0" fontId="0" fillId="0" borderId="21" xfId="0" applyBorder="1" applyAlignment="1">
      <alignment horizontal="center" vertical="center"/>
    </xf>
    <xf numFmtId="0" fontId="35" fillId="6" borderId="19" xfId="1" applyFont="1" applyFill="1" applyBorder="1" applyAlignment="1">
      <alignment horizontal="center" vertical="center"/>
    </xf>
    <xf numFmtId="0" fontId="35" fillId="6" borderId="2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4" borderId="14" xfId="0" applyFill="1" applyBorder="1"/>
    <xf numFmtId="0" fontId="81" fillId="4" borderId="0" xfId="0" applyFont="1" applyFill="1"/>
    <xf numFmtId="171" fontId="79" fillId="4" borderId="0" xfId="0" applyNumberFormat="1" applyFont="1" applyFill="1"/>
    <xf numFmtId="44" fontId="79" fillId="4" borderId="0" xfId="1839" applyFont="1" applyFill="1"/>
    <xf numFmtId="44" fontId="0" fillId="29" borderId="0" xfId="1839" applyFont="1" applyFill="1"/>
    <xf numFmtId="44" fontId="79" fillId="29" borderId="0" xfId="1839" applyFont="1" applyFill="1"/>
    <xf numFmtId="44" fontId="80" fillId="29" borderId="0" xfId="1839" applyFont="1" applyFill="1"/>
    <xf numFmtId="171" fontId="27" fillId="4" borderId="0" xfId="0" applyNumberFormat="1" applyFont="1" applyFill="1"/>
    <xf numFmtId="0" fontId="30" fillId="0" borderId="40" xfId="0" applyFont="1" applyBorder="1" applyAlignment="1">
      <alignment horizontal="center" vertical="center" wrapText="1"/>
    </xf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79" fillId="0" borderId="21" xfId="0" applyNumberFormat="1" applyFont="1" applyBorder="1" applyAlignment="1">
      <alignment horizontal="center" vertical="center" wrapText="1"/>
    </xf>
    <xf numFmtId="1" fontId="79" fillId="0" borderId="38" xfId="0" applyNumberFormat="1" applyFont="1" applyBorder="1" applyAlignment="1">
      <alignment horizontal="center" vertical="center" wrapText="1"/>
    </xf>
    <xf numFmtId="167" fontId="0" fillId="0" borderId="0" xfId="0" applyNumberFormat="1"/>
    <xf numFmtId="0" fontId="0" fillId="0" borderId="0" xfId="0"/>
    <xf numFmtId="0" fontId="27" fillId="0" borderId="0" xfId="0" applyFont="1" applyFill="1" applyBorder="1"/>
    <xf numFmtId="44" fontId="0" fillId="0" borderId="0" xfId="1839" applyFont="1" applyAlignment="1">
      <alignment horizontal="right"/>
    </xf>
    <xf numFmtId="0" fontId="40" fillId="0" borderId="0" xfId="0" applyFont="1" applyAlignment="1">
      <alignment wrapText="1"/>
    </xf>
    <xf numFmtId="0" fontId="73" fillId="0" borderId="0" xfId="0" applyFont="1" applyFill="1"/>
    <xf numFmtId="2" fontId="27" fillId="0" borderId="22" xfId="0" applyNumberFormat="1" applyFont="1" applyBorder="1"/>
    <xf numFmtId="2" fontId="27" fillId="0" borderId="71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30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6" fillId="0" borderId="0" xfId="0" applyFont="1" applyFill="1" applyAlignment="1">
      <alignment horizontal="center" vertical="center"/>
    </xf>
    <xf numFmtId="0" fontId="10" fillId="0" borderId="2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1" fontId="29" fillId="14" borderId="0" xfId="1" applyNumberFormat="1" applyFont="1" applyFill="1" applyBorder="1" applyAlignment="1" applyProtection="1">
      <alignment horizontal="center" vertical="center"/>
      <protection locked="0"/>
    </xf>
    <xf numFmtId="165" fontId="29" fillId="14" borderId="0" xfId="1" applyNumberFormat="1" applyFont="1" applyFill="1" applyBorder="1" applyAlignment="1" applyProtection="1">
      <alignment horizontal="center" vertical="center"/>
      <protection locked="0"/>
    </xf>
    <xf numFmtId="166" fontId="29" fillId="14" borderId="0" xfId="1" applyNumberFormat="1" applyFont="1" applyFill="1" applyBorder="1" applyAlignment="1" applyProtection="1">
      <alignment horizontal="center" vertical="center"/>
      <protection locked="0"/>
    </xf>
    <xf numFmtId="2" fontId="29" fillId="0" borderId="0" xfId="1" applyNumberFormat="1" applyFont="1" applyFill="1" applyBorder="1" applyAlignment="1" applyProtection="1">
      <alignment horizontal="center" vertical="center"/>
      <protection locked="0"/>
    </xf>
    <xf numFmtId="2" fontId="29" fillId="14" borderId="0" xfId="1" applyNumberFormat="1" applyFont="1" applyFill="1" applyBorder="1" applyAlignment="1" applyProtection="1">
      <alignment horizontal="center" vertical="center"/>
      <protection locked="0"/>
    </xf>
    <xf numFmtId="0" fontId="24" fillId="14" borderId="0" xfId="0" applyFont="1" applyFill="1" applyBorder="1" applyProtection="1">
      <protection locked="0"/>
    </xf>
    <xf numFmtId="0" fontId="24" fillId="14" borderId="0" xfId="6" applyFill="1" applyBorder="1" applyProtection="1">
      <protection locked="0"/>
    </xf>
    <xf numFmtId="0" fontId="30" fillId="0" borderId="0" xfId="0" applyFont="1" applyBorder="1"/>
    <xf numFmtId="1" fontId="29" fillId="14" borderId="0" xfId="0" applyNumberFormat="1" applyFont="1" applyFill="1" applyBorder="1" applyAlignment="1" applyProtection="1">
      <alignment horizontal="center" vertical="center"/>
      <protection locked="0"/>
    </xf>
    <xf numFmtId="2" fontId="29" fillId="0" borderId="0" xfId="0" applyNumberFormat="1" applyFont="1" applyBorder="1" applyAlignment="1" applyProtection="1">
      <alignment horizontal="center" vertical="center"/>
      <protection locked="0"/>
    </xf>
    <xf numFmtId="165" fontId="29" fillId="14" borderId="0" xfId="0" applyNumberFormat="1" applyFont="1" applyFill="1" applyBorder="1" applyAlignment="1" applyProtection="1">
      <alignment horizontal="center" vertical="center"/>
      <protection locked="0"/>
    </xf>
    <xf numFmtId="1" fontId="24" fillId="14" borderId="0" xfId="0" applyNumberFormat="1" applyFont="1" applyFill="1" applyBorder="1" applyAlignment="1" applyProtection="1">
      <alignment horizontal="center" vertical="center"/>
      <protection locked="0"/>
    </xf>
    <xf numFmtId="165" fontId="24" fillId="14" borderId="0" xfId="0" applyNumberFormat="1" applyFont="1" applyFill="1" applyBorder="1" applyAlignment="1" applyProtection="1">
      <alignment horizontal="center" vertical="center"/>
      <protection locked="0"/>
    </xf>
    <xf numFmtId="1" fontId="90" fillId="14" borderId="0" xfId="0" applyNumberFormat="1" applyFont="1" applyFill="1" applyBorder="1" applyAlignment="1" applyProtection="1">
      <alignment horizontal="center" vertical="center"/>
      <protection locked="0"/>
    </xf>
    <xf numFmtId="2" fontId="90" fillId="14" borderId="0" xfId="0" applyNumberFormat="1" applyFont="1" applyFill="1" applyBorder="1" applyAlignment="1" applyProtection="1">
      <alignment horizontal="center" vertical="center"/>
      <protection locked="0"/>
    </xf>
    <xf numFmtId="1" fontId="90" fillId="0" borderId="0" xfId="0" applyNumberFormat="1" applyFont="1" applyBorder="1" applyAlignment="1" applyProtection="1">
      <alignment horizontal="center" vertical="center"/>
      <protection locked="0"/>
    </xf>
    <xf numFmtId="0" fontId="29" fillId="0" borderId="6" xfId="0" applyFont="1" applyBorder="1" applyAlignment="1">
      <alignment horizontal="left" vertical="center" wrapText="1"/>
    </xf>
    <xf numFmtId="166" fontId="30" fillId="14" borderId="1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Fill="1" applyBorder="1"/>
    <xf numFmtId="2" fontId="30" fillId="0" borderId="1" xfId="0" applyNumberFormat="1" applyFont="1" applyFill="1" applyBorder="1" applyAlignment="1" applyProtection="1">
      <alignment horizontal="center" vertical="center"/>
      <protection locked="0"/>
    </xf>
    <xf numFmtId="2" fontId="30" fillId="0" borderId="1" xfId="1553" applyNumberFormat="1" applyFont="1" applyFill="1" applyBorder="1" applyAlignment="1">
      <alignment horizontal="center" vertical="center" wrapText="1"/>
    </xf>
    <xf numFmtId="2" fontId="30" fillId="0" borderId="1" xfId="0" applyNumberFormat="1" applyFont="1" applyFill="1" applyBorder="1" applyAlignment="1">
      <alignment horizontal="center" vertical="center" wrapText="1"/>
    </xf>
    <xf numFmtId="0" fontId="42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7" fillId="0" borderId="22" xfId="0" applyFont="1" applyFill="1" applyBorder="1"/>
    <xf numFmtId="0" fontId="79" fillId="0" borderId="0" xfId="0" applyFont="1" applyFill="1"/>
    <xf numFmtId="171" fontId="79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2" fontId="27" fillId="0" borderId="1" xfId="0" applyNumberFormat="1" applyFont="1" applyFill="1" applyBorder="1" applyAlignment="1">
      <alignment horizontal="center" vertical="center"/>
    </xf>
    <xf numFmtId="1" fontId="30" fillId="0" borderId="1" xfId="1" applyNumberFormat="1" applyFont="1" applyFill="1" applyBorder="1" applyAlignment="1">
      <alignment horizontal="center" vertical="center"/>
    </xf>
    <xf numFmtId="0" fontId="30" fillId="6" borderId="0" xfId="0" applyFont="1" applyFill="1" applyAlignment="1">
      <alignment wrapText="1"/>
    </xf>
    <xf numFmtId="1" fontId="3" fillId="6" borderId="77" xfId="0" applyNumberFormat="1" applyFont="1" applyFill="1" applyBorder="1" applyAlignment="1">
      <alignment horizontal="center" vertical="center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58" xfId="0" applyNumberFormat="1" applyFill="1" applyBorder="1" applyAlignment="1" applyProtection="1">
      <alignment horizontal="center" vertical="center"/>
      <protection locked="0"/>
    </xf>
    <xf numFmtId="2" fontId="0" fillId="14" borderId="38" xfId="0" applyNumberFormat="1" applyFill="1" applyBorder="1" applyAlignment="1" applyProtection="1">
      <alignment horizontal="center" vertical="center"/>
      <protection locked="0"/>
    </xf>
    <xf numFmtId="2" fontId="0" fillId="6" borderId="31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2" fontId="0" fillId="6" borderId="68" xfId="0" applyNumberFormat="1" applyFill="1" applyBorder="1" applyAlignment="1" applyProtection="1">
      <alignment horizontal="center" vertical="center"/>
      <protection locked="0"/>
    </xf>
    <xf numFmtId="0" fontId="16" fillId="0" borderId="25" xfId="0" applyFont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0" fontId="0" fillId="0" borderId="30" xfId="0" applyBorder="1"/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104" fillId="0" borderId="0" xfId="0" applyFont="1"/>
    <xf numFmtId="172" fontId="0" fillId="6" borderId="5" xfId="1833" applyNumberFormat="1" applyFont="1" applyFill="1" applyBorder="1" applyProtection="1">
      <protection locked="0"/>
    </xf>
    <xf numFmtId="174" fontId="0" fillId="18" borderId="5" xfId="1833" applyNumberFormat="1" applyFont="1" applyFill="1" applyBorder="1" applyProtection="1">
      <protection locked="0" hidden="1"/>
    </xf>
    <xf numFmtId="168" fontId="0" fillId="6" borderId="5" xfId="1833" applyNumberFormat="1" applyFont="1" applyFill="1" applyBorder="1" applyProtection="1">
      <protection locked="0" hidden="1"/>
    </xf>
    <xf numFmtId="172" fontId="0" fillId="6" borderId="5" xfId="1833" applyNumberFormat="1" applyFont="1" applyFill="1" applyBorder="1" applyProtection="1">
      <protection locked="0" hidden="1"/>
    </xf>
    <xf numFmtId="1" fontId="0" fillId="6" borderId="5" xfId="1833" applyNumberFormat="1" applyFont="1" applyFill="1" applyBorder="1" applyProtection="1">
      <protection locked="0" hidden="1"/>
    </xf>
    <xf numFmtId="1" fontId="0" fillId="6" borderId="5" xfId="0" applyNumberFormat="1" applyFill="1" applyBorder="1" applyProtection="1">
      <protection locked="0" hidden="1"/>
    </xf>
    <xf numFmtId="0" fontId="0" fillId="6" borderId="5" xfId="0" applyFill="1" applyBorder="1" applyProtection="1">
      <protection locked="0" hidden="1"/>
    </xf>
    <xf numFmtId="2" fontId="0" fillId="6" borderId="5" xfId="1833" applyNumberFormat="1" applyFont="1" applyFill="1" applyBorder="1" applyProtection="1">
      <protection locked="0" hidden="1"/>
    </xf>
    <xf numFmtId="43" fontId="0" fillId="6" borderId="5" xfId="1833" applyFont="1" applyFill="1" applyBorder="1" applyProtection="1">
      <protection locked="0" hidden="1"/>
    </xf>
    <xf numFmtId="165" fontId="0" fillId="0" borderId="5" xfId="1554" applyNumberFormat="1" applyFont="1" applyBorder="1" applyProtection="1">
      <protection locked="0" hidden="1"/>
    </xf>
    <xf numFmtId="175" fontId="0" fillId="6" borderId="5" xfId="1833" applyNumberFormat="1" applyFont="1" applyFill="1" applyBorder="1" applyProtection="1">
      <protection locked="0" hidden="1"/>
    </xf>
    <xf numFmtId="168" fontId="0" fillId="6" borderId="7" xfId="1833" applyNumberFormat="1" applyFont="1" applyFill="1" applyBorder="1" applyProtection="1">
      <protection locked="0" hidden="1"/>
    </xf>
    <xf numFmtId="4" fontId="0" fillId="6" borderId="5" xfId="1833" applyNumberFormat="1" applyFont="1" applyFill="1" applyBorder="1" applyProtection="1">
      <protection locked="0" hidden="1"/>
    </xf>
    <xf numFmtId="168" fontId="40" fillId="6" borderId="5" xfId="1833" applyNumberFormat="1" applyFont="1" applyFill="1" applyBorder="1" applyProtection="1">
      <protection locked="0" hidden="1"/>
    </xf>
    <xf numFmtId="0" fontId="27" fillId="18" borderId="0" xfId="0" applyFont="1" applyFill="1" applyAlignment="1" applyProtection="1">
      <alignment horizontal="left" vertical="center"/>
      <protection locked="0" hidden="1"/>
    </xf>
    <xf numFmtId="0" fontId="27" fillId="18" borderId="5" xfId="0" applyFont="1" applyFill="1" applyBorder="1" applyAlignment="1" applyProtection="1">
      <alignment horizontal="left" vertical="center"/>
      <protection locked="0" hidden="1"/>
    </xf>
    <xf numFmtId="172" fontId="0" fillId="18" borderId="0" xfId="1833" applyNumberFormat="1" applyFont="1" applyFill="1" applyProtection="1">
      <protection locked="0" hidden="1"/>
    </xf>
    <xf numFmtId="166" fontId="40" fillId="18" borderId="5" xfId="0" applyNumberFormat="1" applyFont="1" applyFill="1" applyBorder="1" applyProtection="1">
      <protection locked="0" hidden="1"/>
    </xf>
    <xf numFmtId="174" fontId="0" fillId="6" borderId="0" xfId="1833" applyNumberFormat="1" applyFont="1" applyFill="1" applyProtection="1">
      <protection locked="0" hidden="1"/>
    </xf>
    <xf numFmtId="0" fontId="40" fillId="6" borderId="5" xfId="0" applyFont="1" applyFill="1" applyBorder="1" applyProtection="1">
      <protection locked="0" hidden="1"/>
    </xf>
    <xf numFmtId="0" fontId="0" fillId="6" borderId="0" xfId="0" applyFill="1" applyProtection="1">
      <protection locked="0" hidden="1"/>
    </xf>
    <xf numFmtId="167" fontId="0" fillId="6" borderId="0" xfId="0" applyNumberFormat="1" applyFill="1" applyProtection="1">
      <protection locked="0" hidden="1"/>
    </xf>
    <xf numFmtId="167" fontId="0" fillId="6" borderId="5" xfId="0" applyNumberFormat="1" applyFill="1" applyBorder="1" applyProtection="1">
      <protection locked="0" hidden="1"/>
    </xf>
    <xf numFmtId="2" fontId="0" fillId="6" borderId="0" xfId="0" applyNumberFormat="1" applyFill="1" applyProtection="1">
      <protection locked="0" hidden="1"/>
    </xf>
    <xf numFmtId="2" fontId="0" fillId="6" borderId="5" xfId="0" applyNumberFormat="1" applyFill="1" applyBorder="1" applyProtection="1">
      <protection locked="0" hidden="1"/>
    </xf>
    <xf numFmtId="0" fontId="0" fillId="6" borderId="45" xfId="0" applyFill="1" applyBorder="1" applyProtection="1">
      <protection locked="0" hidden="1"/>
    </xf>
    <xf numFmtId="0" fontId="0" fillId="6" borderId="7" xfId="0" applyFill="1" applyBorder="1" applyProtection="1">
      <protection locked="0" hidden="1"/>
    </xf>
    <xf numFmtId="1" fontId="27" fillId="6" borderId="0" xfId="0" applyNumberFormat="1" applyFont="1" applyFill="1" applyAlignment="1" applyProtection="1">
      <alignment horizontal="right" vertical="center"/>
      <protection locked="0" hidden="1"/>
    </xf>
    <xf numFmtId="1" fontId="27" fillId="6" borderId="5" xfId="0" applyNumberFormat="1" applyFont="1" applyFill="1" applyBorder="1" applyAlignment="1" applyProtection="1">
      <alignment horizontal="right" vertical="center"/>
      <protection locked="0" hidden="1"/>
    </xf>
    <xf numFmtId="168" fontId="0" fillId="6" borderId="0" xfId="1833" applyNumberFormat="1" applyFont="1" applyFill="1" applyProtection="1">
      <protection locked="0" hidden="1"/>
    </xf>
    <xf numFmtId="1" fontId="0" fillId="6" borderId="0" xfId="0" applyNumberFormat="1" applyFill="1" applyAlignment="1" applyProtection="1">
      <alignment horizontal="right" vertical="center"/>
      <protection locked="0" hidden="1"/>
    </xf>
    <xf numFmtId="1" fontId="0" fillId="6" borderId="5" xfId="0" applyNumberFormat="1" applyFill="1" applyBorder="1" applyAlignment="1" applyProtection="1">
      <alignment horizontal="right" vertical="center"/>
      <protection locked="0" hidden="1"/>
    </xf>
    <xf numFmtId="0" fontId="0" fillId="6" borderId="0" xfId="0" applyFill="1" applyAlignment="1" applyProtection="1">
      <alignment horizontal="right" vertical="center"/>
      <protection locked="0" hidden="1"/>
    </xf>
    <xf numFmtId="0" fontId="0" fillId="6" borderId="5" xfId="0" applyFill="1" applyBorder="1" applyAlignment="1" applyProtection="1">
      <alignment horizontal="right" vertical="center"/>
      <protection locked="0" hidden="1"/>
    </xf>
    <xf numFmtId="2" fontId="0" fillId="6" borderId="0" xfId="0" applyNumberFormat="1" applyFill="1" applyAlignment="1" applyProtection="1">
      <alignment horizontal="right" vertical="center"/>
      <protection locked="0" hidden="1"/>
    </xf>
    <xf numFmtId="2" fontId="0" fillId="6" borderId="5" xfId="0" applyNumberFormat="1" applyFill="1" applyBorder="1" applyAlignment="1" applyProtection="1">
      <alignment horizontal="right" vertical="center"/>
      <protection locked="0" hidden="1"/>
    </xf>
    <xf numFmtId="0" fontId="0" fillId="6" borderId="0" xfId="0" applyFill="1" applyAlignment="1" applyProtection="1">
      <alignment horizontal="center" vertical="center"/>
      <protection locked="0" hidden="1"/>
    </xf>
    <xf numFmtId="0" fontId="0" fillId="6" borderId="5" xfId="0" applyFill="1" applyBorder="1" applyAlignment="1" applyProtection="1">
      <alignment horizontal="center" vertical="center"/>
      <protection locked="0" hidden="1"/>
    </xf>
    <xf numFmtId="2" fontId="27" fillId="6" borderId="0" xfId="0" applyNumberFormat="1" applyFont="1" applyFill="1" applyAlignment="1" applyProtection="1">
      <alignment horizontal="right" vertical="center"/>
      <protection locked="0" hidden="1"/>
    </xf>
    <xf numFmtId="2" fontId="27" fillId="6" borderId="5" xfId="0" applyNumberFormat="1" applyFont="1" applyFill="1" applyBorder="1" applyAlignment="1" applyProtection="1">
      <alignment horizontal="right" vertical="center"/>
      <protection locked="0" hidden="1"/>
    </xf>
    <xf numFmtId="2" fontId="0" fillId="6" borderId="45" xfId="0" applyNumberFormat="1" applyFill="1" applyBorder="1" applyAlignment="1" applyProtection="1">
      <alignment horizontal="right" vertical="center"/>
      <protection locked="0" hidden="1"/>
    </xf>
    <xf numFmtId="2" fontId="0" fillId="6" borderId="7" xfId="0" applyNumberFormat="1" applyFill="1" applyBorder="1" applyAlignment="1" applyProtection="1">
      <alignment horizontal="right" vertical="center"/>
      <protection locked="0" hidden="1"/>
    </xf>
    <xf numFmtId="0" fontId="9" fillId="14" borderId="26" xfId="0" applyFont="1" applyFill="1" applyBorder="1" applyAlignment="1" applyProtection="1">
      <alignment horizontal="center" vertical="center" wrapText="1"/>
      <protection locked="0"/>
    </xf>
    <xf numFmtId="0" fontId="11" fillId="14" borderId="28" xfId="0" applyFont="1" applyFill="1" applyBorder="1" applyAlignment="1" applyProtection="1">
      <alignment horizontal="center" vertical="center" wrapText="1"/>
      <protection locked="0"/>
    </xf>
    <xf numFmtId="0" fontId="11" fillId="14" borderId="31" xfId="0" applyFont="1" applyFill="1" applyBorder="1" applyAlignment="1" applyProtection="1">
      <alignment horizontal="center" vertical="center" wrapText="1"/>
      <protection locked="0"/>
    </xf>
    <xf numFmtId="1" fontId="29" fillId="6" borderId="0" xfId="1" applyNumberFormat="1" applyFont="1" applyFill="1" applyBorder="1" applyAlignment="1" applyProtection="1">
      <alignment horizontal="center" vertical="center"/>
    </xf>
    <xf numFmtId="1" fontId="29" fillId="6" borderId="0" xfId="0" applyNumberFormat="1" applyFont="1" applyFill="1" applyBorder="1" applyAlignment="1" applyProtection="1">
      <alignment horizontal="center" vertical="center"/>
    </xf>
    <xf numFmtId="1" fontId="24" fillId="6" borderId="0" xfId="0" applyNumberFormat="1" applyFont="1" applyFill="1" applyBorder="1" applyAlignment="1" applyProtection="1">
      <alignment horizontal="center" vertical="center"/>
    </xf>
    <xf numFmtId="1" fontId="24" fillId="6" borderId="45" xfId="0" applyNumberFormat="1" applyFont="1" applyFill="1" applyBorder="1" applyAlignment="1" applyProtection="1">
      <alignment horizontal="center" vertical="center"/>
    </xf>
    <xf numFmtId="0" fontId="24" fillId="14" borderId="45" xfId="0" applyFont="1" applyFill="1" applyBorder="1" applyProtection="1">
      <protection locked="0"/>
    </xf>
    <xf numFmtId="1" fontId="29" fillId="0" borderId="0" xfId="1" applyNumberFormat="1" applyFont="1" applyFill="1" applyBorder="1" applyAlignment="1" applyProtection="1">
      <alignment horizontal="center" vertical="center"/>
    </xf>
    <xf numFmtId="1" fontId="29" fillId="0" borderId="45" xfId="1" applyNumberFormat="1" applyFont="1" applyFill="1" applyBorder="1" applyAlignment="1" applyProtection="1">
      <alignment horizontal="center" vertical="center"/>
    </xf>
    <xf numFmtId="0" fontId="30" fillId="14" borderId="66" xfId="0" applyFont="1" applyFill="1" applyBorder="1" applyProtection="1">
      <protection locked="0"/>
    </xf>
    <xf numFmtId="0" fontId="30" fillId="14" borderId="69" xfId="0" applyFont="1" applyFill="1" applyBorder="1" applyProtection="1">
      <protection locked="0"/>
    </xf>
    <xf numFmtId="0" fontId="72" fillId="0" borderId="1" xfId="0" applyFont="1" applyBorder="1" applyProtection="1">
      <protection locked="0"/>
    </xf>
    <xf numFmtId="2" fontId="30" fillId="6" borderId="1" xfId="0" applyNumberFormat="1" applyFont="1" applyFill="1" applyBorder="1" applyAlignment="1" applyProtection="1">
      <alignment horizontal="center" wrapText="1"/>
    </xf>
    <xf numFmtId="2" fontId="30" fillId="0" borderId="1" xfId="0" applyNumberFormat="1" applyFont="1" applyFill="1" applyBorder="1" applyAlignment="1" applyProtection="1">
      <alignment horizontal="center" vertical="center"/>
    </xf>
    <xf numFmtId="2" fontId="30" fillId="0" borderId="1" xfId="0" applyNumberFormat="1" applyFont="1" applyFill="1" applyBorder="1" applyAlignment="1" applyProtection="1">
      <alignment horizontal="center" wrapText="1"/>
    </xf>
    <xf numFmtId="2" fontId="30" fillId="6" borderId="1" xfId="0" applyNumberFormat="1" applyFont="1" applyFill="1" applyBorder="1" applyAlignment="1" applyProtection="1">
      <alignment horizontal="center" vertical="center"/>
    </xf>
    <xf numFmtId="0" fontId="30" fillId="0" borderId="1" xfId="0" applyFont="1" applyBorder="1" applyProtection="1"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 wrapText="1"/>
      <protection locked="0"/>
    </xf>
    <xf numFmtId="0" fontId="30" fillId="6" borderId="0" xfId="0" applyFont="1" applyFill="1" applyProtection="1">
      <protection locked="0"/>
    </xf>
    <xf numFmtId="168" fontId="0" fillId="0" borderId="0" xfId="1833" applyNumberFormat="1" applyFont="1" applyAlignment="1" applyProtection="1">
      <alignment horizontal="left"/>
      <protection locked="0" hidden="1"/>
    </xf>
    <xf numFmtId="170" fontId="0" fillId="0" borderId="5" xfId="1833" applyNumberFormat="1" applyFont="1" applyBorder="1" applyAlignment="1" applyProtection="1">
      <alignment horizontal="left"/>
      <protection locked="0" hidden="1"/>
    </xf>
    <xf numFmtId="168" fontId="19" fillId="0" borderId="0" xfId="1833" applyNumberFormat="1" applyFont="1" applyAlignment="1" applyProtection="1">
      <alignment horizontal="left"/>
      <protection locked="0" hidden="1"/>
    </xf>
    <xf numFmtId="168" fontId="0" fillId="0" borderId="5" xfId="1833" applyNumberFormat="1" applyFont="1" applyBorder="1" applyAlignment="1" applyProtection="1">
      <alignment horizontal="left"/>
      <protection locked="0" hidden="1"/>
    </xf>
    <xf numFmtId="168" fontId="101" fillId="0" borderId="45" xfId="1833" applyNumberFormat="1" applyFont="1" applyBorder="1" applyAlignment="1" applyProtection="1">
      <alignment horizontal="left"/>
      <protection locked="0" hidden="1"/>
    </xf>
    <xf numFmtId="168" fontId="101" fillId="0" borderId="7" xfId="1833" applyNumberFormat="1" applyFont="1" applyBorder="1" applyAlignment="1" applyProtection="1">
      <alignment horizontal="left"/>
      <protection locked="0" hidden="1"/>
    </xf>
    <xf numFmtId="168" fontId="27" fillId="0" borderId="0" xfId="1833" applyNumberFormat="1" applyFont="1" applyAlignment="1" applyProtection="1">
      <alignment horizontal="left"/>
      <protection locked="0" hidden="1"/>
    </xf>
    <xf numFmtId="168" fontId="27" fillId="0" borderId="5" xfId="1833" applyNumberFormat="1" applyFont="1" applyBorder="1" applyAlignment="1" applyProtection="1">
      <alignment horizontal="left"/>
      <protection locked="0" hidden="1"/>
    </xf>
    <xf numFmtId="1" fontId="100" fillId="0" borderId="7" xfId="0" applyNumberFormat="1" applyFont="1" applyBorder="1" applyAlignment="1" applyProtection="1">
      <alignment horizontal="left" vertical="top" indent="6"/>
      <protection locked="0" hidden="1"/>
    </xf>
    <xf numFmtId="0" fontId="0" fillId="0" borderId="0" xfId="0" applyProtection="1">
      <protection locked="0" hidden="1"/>
    </xf>
    <xf numFmtId="171" fontId="0" fillId="0" borderId="0" xfId="1839" applyNumberFormat="1" applyFont="1" applyProtection="1">
      <protection locked="0" hidden="1"/>
    </xf>
    <xf numFmtId="9" fontId="0" fillId="0" borderId="0" xfId="0" applyNumberFormat="1" applyProtection="1">
      <protection locked="0" hidden="1"/>
    </xf>
    <xf numFmtId="3" fontId="0" fillId="0" borderId="0" xfId="0" applyNumberFormat="1" applyProtection="1">
      <protection locked="0" hidden="1"/>
    </xf>
    <xf numFmtId="0" fontId="0" fillId="0" borderId="0" xfId="0" applyAlignment="1" applyProtection="1">
      <alignment wrapText="1"/>
      <protection locked="0" hidden="1"/>
    </xf>
    <xf numFmtId="2" fontId="0" fillId="0" borderId="0" xfId="0" applyNumberFormat="1" applyProtection="1">
      <protection locked="0" hidden="1"/>
    </xf>
    <xf numFmtId="0" fontId="40" fillId="0" borderId="0" xfId="0" applyFont="1" applyAlignment="1" applyProtection="1">
      <alignment wrapText="1"/>
      <protection locked="0" hidden="1"/>
    </xf>
    <xf numFmtId="44" fontId="0" fillId="0" borderId="0" xfId="1839" applyFont="1" applyProtection="1">
      <protection locked="0" hidden="1"/>
    </xf>
    <xf numFmtId="171" fontId="0" fillId="0" borderId="1" xfId="1839" applyNumberFormat="1" applyFont="1" applyBorder="1" applyProtection="1">
      <protection locked="0" hidden="1"/>
    </xf>
    <xf numFmtId="2" fontId="0" fillId="0" borderId="5" xfId="0" applyNumberFormat="1" applyBorder="1" applyProtection="1">
      <protection locked="0" hidden="1"/>
    </xf>
    <xf numFmtId="2" fontId="0" fillId="0" borderId="45" xfId="0" applyNumberFormat="1" applyBorder="1" applyProtection="1">
      <protection locked="0" hidden="1"/>
    </xf>
    <xf numFmtId="2" fontId="0" fillId="0" borderId="7" xfId="0" applyNumberFormat="1" applyBorder="1" applyProtection="1">
      <protection locked="0" hidden="1"/>
    </xf>
    <xf numFmtId="0" fontId="27" fillId="5" borderId="3" xfId="0" applyFont="1" applyFill="1" applyBorder="1" applyAlignment="1" applyProtection="1">
      <alignment horizontal="left" wrapText="1"/>
      <protection locked="0" hidden="1"/>
    </xf>
    <xf numFmtId="0" fontId="0" fillId="0" borderId="0" xfId="0" applyAlignment="1" applyProtection="1">
      <alignment horizontal="center" vertical="center" wrapText="1"/>
      <protection locked="0" hidden="1"/>
    </xf>
    <xf numFmtId="168" fontId="20" fillId="0" borderId="5" xfId="1833" applyNumberFormat="1" applyBorder="1" applyAlignment="1" applyProtection="1">
      <alignment horizontal="left"/>
      <protection locked="0" hidden="1"/>
    </xf>
    <xf numFmtId="1" fontId="0" fillId="0" borderId="0" xfId="0" applyNumberFormat="1" applyAlignment="1" applyProtection="1">
      <alignment horizontal="center" vertical="center" wrapText="1"/>
      <protection locked="0" hidden="1"/>
    </xf>
    <xf numFmtId="2" fontId="0" fillId="0" borderId="50" xfId="0" applyNumberFormat="1" applyBorder="1" applyProtection="1">
      <protection locked="0" hidden="1"/>
    </xf>
    <xf numFmtId="0" fontId="0" fillId="0" borderId="3" xfId="0" applyBorder="1" applyProtection="1">
      <protection locked="0" hidden="1"/>
    </xf>
    <xf numFmtId="2" fontId="0" fillId="0" borderId="0" xfId="1554" applyNumberFormat="1" applyFont="1" applyProtection="1">
      <protection locked="0" hidden="1"/>
    </xf>
    <xf numFmtId="0" fontId="0" fillId="0" borderId="5" xfId="0" applyBorder="1" applyProtection="1">
      <protection locked="0" hidden="1"/>
    </xf>
    <xf numFmtId="1" fontId="0" fillId="0" borderId="0" xfId="0" applyNumberFormat="1" applyProtection="1">
      <protection locked="0" hidden="1"/>
    </xf>
    <xf numFmtId="0" fontId="27" fillId="0" borderId="0" xfId="0" applyFont="1" applyAlignment="1" applyProtection="1">
      <alignment horizontal="center"/>
      <protection locked="0" hidden="1"/>
    </xf>
    <xf numFmtId="0" fontId="27" fillId="0" borderId="5" xfId="0" applyFont="1" applyBorder="1" applyAlignment="1" applyProtection="1">
      <alignment horizontal="center"/>
      <protection locked="0" hidden="1"/>
    </xf>
    <xf numFmtId="1" fontId="0" fillId="0" borderId="5" xfId="0" applyNumberFormat="1" applyBorder="1" applyProtection="1">
      <protection locked="0" hidden="1"/>
    </xf>
    <xf numFmtId="1" fontId="0" fillId="0" borderId="45" xfId="0" applyNumberFormat="1" applyBorder="1" applyProtection="1">
      <protection locked="0" hidden="1"/>
    </xf>
    <xf numFmtId="1" fontId="0" fillId="0" borderId="7" xfId="0" applyNumberFormat="1" applyBorder="1" applyProtection="1">
      <protection locked="0" hidden="1"/>
    </xf>
    <xf numFmtId="1" fontId="30" fillId="6" borderId="66" xfId="6" applyNumberFormat="1" applyFont="1" applyFill="1" applyBorder="1" applyAlignment="1" applyProtection="1">
      <alignment horizontal="center" vertical="center"/>
      <protection locked="0" hidden="1"/>
    </xf>
    <xf numFmtId="2" fontId="30" fillId="6" borderId="0" xfId="0" applyNumberFormat="1" applyFont="1" applyFill="1" applyAlignment="1" applyProtection="1">
      <alignment horizontal="center" vertical="center"/>
      <protection locked="0" hidden="1"/>
    </xf>
    <xf numFmtId="2" fontId="30" fillId="6" borderId="43" xfId="0" applyNumberFormat="1" applyFont="1" applyFill="1" applyBorder="1" applyAlignment="1" applyProtection="1">
      <alignment horizontal="center" vertical="center"/>
      <protection locked="0" hidden="1"/>
    </xf>
    <xf numFmtId="2" fontId="0" fillId="6" borderId="59" xfId="0" applyNumberFormat="1" applyFill="1" applyBorder="1" applyAlignment="1" applyProtection="1">
      <alignment horizontal="center" vertical="center"/>
      <protection locked="0" hidden="1"/>
    </xf>
    <xf numFmtId="2" fontId="30" fillId="6" borderId="59" xfId="0" applyNumberFormat="1" applyFont="1" applyFill="1" applyBorder="1" applyAlignment="1" applyProtection="1">
      <alignment horizontal="center" vertical="center"/>
      <protection locked="0" hidden="1"/>
    </xf>
    <xf numFmtId="1" fontId="30" fillId="6" borderId="68" xfId="6" applyNumberFormat="1" applyFont="1" applyFill="1" applyBorder="1" applyAlignment="1" applyProtection="1">
      <alignment horizontal="center" vertical="center"/>
      <protection locked="0" hidden="1"/>
    </xf>
    <xf numFmtId="2" fontId="0" fillId="0" borderId="1" xfId="0" applyNumberFormat="1" applyBorder="1" applyAlignment="1" applyProtection="1">
      <alignment horizontal="center" vertical="center" wrapText="1"/>
      <protection locked="0" hidden="1"/>
    </xf>
    <xf numFmtId="2" fontId="27" fillId="0" borderId="1" xfId="0" applyNumberFormat="1" applyFont="1" applyBorder="1" applyAlignment="1" applyProtection="1">
      <alignment horizontal="center" vertical="center" wrapText="1"/>
      <protection locked="0" hidden="1"/>
    </xf>
    <xf numFmtId="2" fontId="27" fillId="0" borderId="1" xfId="0" applyNumberFormat="1" applyFont="1" applyBorder="1" applyAlignment="1" applyProtection="1">
      <alignment horizontal="center" vertical="center"/>
      <protection locked="0" hidden="1"/>
    </xf>
    <xf numFmtId="1" fontId="35" fillId="6" borderId="66" xfId="6" applyNumberFormat="1" applyFont="1" applyFill="1" applyBorder="1" applyAlignment="1" applyProtection="1">
      <alignment horizontal="center" vertical="center"/>
      <protection locked="0" hidden="1"/>
    </xf>
    <xf numFmtId="1" fontId="35" fillId="6" borderId="68" xfId="6" applyNumberFormat="1" applyFont="1" applyFill="1" applyBorder="1" applyAlignment="1" applyProtection="1">
      <alignment horizontal="center" vertical="center"/>
      <protection locked="0" hidden="1"/>
    </xf>
    <xf numFmtId="2" fontId="0" fillId="6" borderId="0" xfId="0" applyNumberFormat="1" applyFill="1" applyAlignment="1" applyProtection="1">
      <alignment horizontal="center" vertical="center"/>
      <protection locked="0" hidden="1"/>
    </xf>
    <xf numFmtId="2" fontId="0" fillId="6" borderId="43" xfId="0" applyNumberFormat="1" applyFill="1" applyBorder="1" applyAlignment="1" applyProtection="1">
      <alignment horizontal="center" vertical="center"/>
      <protection locked="0" hidden="1"/>
    </xf>
    <xf numFmtId="2" fontId="27" fillId="0" borderId="0" xfId="0" applyNumberFormat="1" applyFont="1" applyProtection="1">
      <protection locked="0" hidden="1"/>
    </xf>
    <xf numFmtId="0" fontId="0" fillId="30" borderId="2" xfId="0" applyFill="1" applyBorder="1" applyAlignment="1" applyProtection="1">
      <alignment horizontal="left" vertical="top" wrapText="1"/>
      <protection locked="0"/>
    </xf>
    <xf numFmtId="1" fontId="0" fillId="30" borderId="3" xfId="0" applyNumberFormat="1" applyFill="1" applyBorder="1" applyAlignment="1" applyProtection="1">
      <alignment horizontal="right" vertical="center" wrapText="1"/>
      <protection locked="0"/>
    </xf>
    <xf numFmtId="0" fontId="0" fillId="30" borderId="4" xfId="0" applyFill="1" applyBorder="1" applyProtection="1">
      <protection locked="0"/>
    </xf>
    <xf numFmtId="4" fontId="0" fillId="30" borderId="5" xfId="0" applyNumberFormat="1" applyFill="1" applyBorder="1" applyProtection="1">
      <protection locked="0"/>
    </xf>
    <xf numFmtId="0" fontId="0" fillId="30" borderId="4" xfId="0" applyFill="1" applyBorder="1" applyAlignment="1" applyProtection="1">
      <alignment horizontal="center" vertical="center" wrapText="1"/>
      <protection locked="0"/>
    </xf>
    <xf numFmtId="0" fontId="0" fillId="30" borderId="5" xfId="0" applyFill="1" applyBorder="1" applyAlignment="1" applyProtection="1">
      <alignment horizontal="center" vertical="center" wrapText="1"/>
      <protection locked="0"/>
    </xf>
    <xf numFmtId="0" fontId="0" fillId="30" borderId="6" xfId="0" applyFill="1" applyBorder="1" applyAlignment="1" applyProtection="1">
      <alignment horizontal="center" vertical="center" wrapText="1"/>
      <protection locked="0"/>
    </xf>
    <xf numFmtId="0" fontId="0" fillId="30" borderId="7" xfId="0" applyFill="1" applyBorder="1" applyAlignment="1" applyProtection="1">
      <alignment horizontal="center" vertical="center" wrapText="1"/>
      <protection locked="0"/>
    </xf>
    <xf numFmtId="2" fontId="36" fillId="14" borderId="1" xfId="6" applyNumberFormat="1" applyFont="1" applyFill="1" applyBorder="1" applyAlignment="1" applyProtection="1">
      <alignment horizontal="center" vertical="center"/>
      <protection locked="0"/>
    </xf>
    <xf numFmtId="0" fontId="30" fillId="14" borderId="1" xfId="0" applyFont="1" applyFill="1" applyBorder="1" applyAlignment="1" applyProtection="1">
      <alignment horizontal="center" vertical="center" wrapText="1"/>
      <protection locked="0"/>
    </xf>
    <xf numFmtId="0" fontId="72" fillId="4" borderId="1" xfId="0" applyFont="1" applyFill="1" applyBorder="1" applyProtection="1">
      <protection locked="0"/>
    </xf>
    <xf numFmtId="1" fontId="29" fillId="4" borderId="0" xfId="0" applyNumberFormat="1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Border="1" applyProtection="1">
      <protection locked="0"/>
    </xf>
    <xf numFmtId="0" fontId="29" fillId="6" borderId="4" xfId="0" applyFont="1" applyFill="1" applyBorder="1" applyAlignment="1">
      <alignment horizontal="left" vertical="center" wrapText="1"/>
    </xf>
    <xf numFmtId="2" fontId="29" fillId="6" borderId="0" xfId="0" applyNumberFormat="1" applyFont="1" applyFill="1" applyBorder="1" applyAlignment="1" applyProtection="1">
      <alignment horizontal="center" vertical="center"/>
      <protection locked="0"/>
    </xf>
    <xf numFmtId="0" fontId="30" fillId="6" borderId="0" xfId="0" applyFont="1" applyFill="1" applyBorder="1"/>
    <xf numFmtId="49" fontId="2" fillId="1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Protection="1">
      <protection locked="0"/>
    </xf>
    <xf numFmtId="166" fontId="30" fillId="4" borderId="1" xfId="0" applyNumberFormat="1" applyFont="1" applyFill="1" applyBorder="1" applyAlignment="1" applyProtection="1">
      <alignment horizontal="center" vertical="center"/>
      <protection locked="0"/>
    </xf>
    <xf numFmtId="2" fontId="30" fillId="4" borderId="1" xfId="0" applyNumberFormat="1" applyFont="1" applyFill="1" applyBorder="1" applyAlignment="1" applyProtection="1">
      <alignment horizontal="center" vertical="center"/>
      <protection locked="0"/>
    </xf>
    <xf numFmtId="166" fontId="33" fillId="4" borderId="1" xfId="0" applyNumberFormat="1" applyFont="1" applyFill="1" applyBorder="1" applyAlignment="1" applyProtection="1">
      <alignment vertical="center"/>
      <protection locked="0"/>
    </xf>
    <xf numFmtId="166" fontId="30" fillId="4" borderId="1" xfId="1555" applyNumberFormat="1" applyFont="1" applyFill="1" applyBorder="1" applyAlignment="1" applyProtection="1">
      <alignment horizontal="center" vertical="center"/>
      <protection locked="0"/>
    </xf>
    <xf numFmtId="1" fontId="30" fillId="6" borderId="1" xfId="0" applyNumberFormat="1" applyFont="1" applyFill="1" applyBorder="1" applyAlignment="1">
      <alignment horizontal="center" vertical="center"/>
    </xf>
    <xf numFmtId="2" fontId="30" fillId="4" borderId="1" xfId="6" applyNumberFormat="1" applyFont="1" applyFill="1" applyBorder="1" applyAlignment="1" applyProtection="1">
      <alignment horizontal="center" vertical="center"/>
      <protection locked="0"/>
    </xf>
    <xf numFmtId="2" fontId="30" fillId="31" borderId="1" xfId="0" applyNumberFormat="1" applyFont="1" applyFill="1" applyBorder="1" applyAlignment="1" applyProtection="1">
      <alignment horizontal="center" vertical="center" wrapText="1"/>
      <protection locked="0"/>
    </xf>
    <xf numFmtId="165" fontId="33" fillId="14" borderId="1" xfId="0" applyNumberFormat="1" applyFont="1" applyFill="1" applyBorder="1" applyAlignment="1" applyProtection="1">
      <alignment horizontal="right" vertical="center"/>
      <protection locked="0"/>
    </xf>
    <xf numFmtId="2" fontId="0" fillId="31" borderId="1" xfId="0" applyNumberFormat="1" applyFill="1" applyBorder="1"/>
    <xf numFmtId="2" fontId="0" fillId="31" borderId="8" xfId="0" applyNumberFormat="1" applyFill="1" applyBorder="1"/>
    <xf numFmtId="166" fontId="33" fillId="4" borderId="1" xfId="0" applyNumberFormat="1" applyFont="1" applyFill="1" applyBorder="1" applyAlignment="1" applyProtection="1">
      <alignment horizontal="right" vertical="center"/>
      <protection locked="0"/>
    </xf>
    <xf numFmtId="166" fontId="33" fillId="4" borderId="1" xfId="0" applyNumberFormat="1" applyFont="1" applyFill="1" applyBorder="1" applyAlignment="1" applyProtection="1">
      <alignment horizontal="right" vertical="center" wrapText="1"/>
      <protection locked="0"/>
    </xf>
    <xf numFmtId="0" fontId="0" fillId="6" borderId="41" xfId="0" applyFill="1" applyBorder="1" applyAlignment="1">
      <alignment horizontal="center" vertical="center"/>
    </xf>
    <xf numFmtId="0" fontId="30" fillId="32" borderId="1" xfId="0" applyFont="1" applyFill="1" applyBorder="1"/>
    <xf numFmtId="166" fontId="30" fillId="14" borderId="1" xfId="0" applyNumberFormat="1" applyFont="1" applyFill="1" applyBorder="1" applyAlignment="1" applyProtection="1">
      <alignment horizontal="right" vertical="center"/>
      <protection locked="0"/>
    </xf>
    <xf numFmtId="0" fontId="0" fillId="0" borderId="0" xfId="0"/>
    <xf numFmtId="0" fontId="72" fillId="14" borderId="12" xfId="0" applyFont="1" applyFill="1" applyBorder="1" applyProtection="1">
      <protection locked="0"/>
    </xf>
    <xf numFmtId="0" fontId="72" fillId="14" borderId="1" xfId="0" applyFont="1" applyFill="1" applyBorder="1" applyProtection="1">
      <protection locked="0"/>
    </xf>
    <xf numFmtId="1" fontId="30" fillId="14" borderId="1" xfId="0" applyNumberFormat="1" applyFont="1" applyFill="1" applyBorder="1" applyAlignment="1" applyProtection="1">
      <alignment horizontal="left" vertical="center"/>
      <protection locked="0"/>
    </xf>
    <xf numFmtId="2" fontId="0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30" fillId="14" borderId="1" xfId="6" applyNumberFormat="1" applyFont="1" applyFill="1" applyBorder="1" applyAlignment="1" applyProtection="1">
      <alignment horizontal="center" vertical="center"/>
    </xf>
    <xf numFmtId="166" fontId="30" fillId="14" borderId="1" xfId="0" applyNumberFormat="1" applyFont="1" applyFill="1" applyBorder="1" applyAlignment="1" applyProtection="1">
      <alignment horizontal="right" vertical="center"/>
    </xf>
    <xf numFmtId="0" fontId="30" fillId="6" borderId="12" xfId="0" applyFont="1" applyFill="1" applyBorder="1"/>
    <xf numFmtId="0" fontId="72" fillId="6" borderId="12" xfId="0" applyFont="1" applyFill="1" applyBorder="1" applyProtection="1">
      <protection locked="0"/>
    </xf>
    <xf numFmtId="0" fontId="72" fillId="6" borderId="1" xfId="0" applyFont="1" applyFill="1" applyBorder="1" applyProtection="1">
      <protection locked="0"/>
    </xf>
    <xf numFmtId="2" fontId="30" fillId="14" borderId="12" xfId="0" applyNumberFormat="1" applyFont="1" applyFill="1" applyBorder="1" applyProtection="1"/>
    <xf numFmtId="166" fontId="0" fillId="0" borderId="0" xfId="0" applyNumberFormat="1" applyAlignment="1" applyProtection="1">
      <alignment vertical="top"/>
      <protection hidden="1"/>
    </xf>
    <xf numFmtId="166" fontId="0" fillId="0" borderId="5" xfId="0" applyNumberFormat="1" applyBorder="1" applyAlignment="1" applyProtection="1">
      <alignment vertical="top"/>
      <protection hidden="1"/>
    </xf>
    <xf numFmtId="166" fontId="27" fillId="0" borderId="0" xfId="0" applyNumberFormat="1" applyFont="1" applyAlignment="1" applyProtection="1">
      <alignment vertical="top"/>
      <protection hidden="1"/>
    </xf>
    <xf numFmtId="166" fontId="27" fillId="0" borderId="5" xfId="0" applyNumberFormat="1" applyFont="1" applyBorder="1" applyAlignment="1" applyProtection="1">
      <alignment vertical="top"/>
      <protection hidden="1"/>
    </xf>
    <xf numFmtId="0" fontId="0" fillId="0" borderId="45" xfId="0" applyBorder="1" applyAlignment="1" applyProtection="1">
      <alignment vertical="top"/>
      <protection hidden="1"/>
    </xf>
    <xf numFmtId="167" fontId="0" fillId="0" borderId="7" xfId="0" applyNumberFormat="1" applyBorder="1" applyAlignment="1" applyProtection="1">
      <alignment vertical="top"/>
      <protection hidden="1"/>
    </xf>
    <xf numFmtId="0" fontId="0" fillId="0" borderId="4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27" fillId="0" borderId="0" xfId="0" applyFont="1" applyAlignment="1" applyProtection="1">
      <alignment vertical="top"/>
    </xf>
    <xf numFmtId="0" fontId="0" fillId="0" borderId="6" xfId="0" applyBorder="1" applyAlignment="1" applyProtection="1">
      <alignment vertical="top"/>
    </xf>
    <xf numFmtId="0" fontId="0" fillId="0" borderId="45" xfId="0" applyBorder="1" applyAlignment="1" applyProtection="1">
      <alignment vertical="top"/>
    </xf>
    <xf numFmtId="0" fontId="0" fillId="0" borderId="0" xfId="0" applyProtection="1"/>
    <xf numFmtId="0" fontId="27" fillId="18" borderId="4" xfId="0" applyFont="1" applyFill="1" applyBorder="1" applyAlignment="1" applyProtection="1">
      <alignment horizontal="left" vertical="top"/>
    </xf>
    <xf numFmtId="0" fontId="27" fillId="18" borderId="0" xfId="0" applyFont="1" applyFill="1" applyAlignment="1" applyProtection="1">
      <alignment horizontal="left" vertical="top"/>
    </xf>
    <xf numFmtId="0" fontId="27" fillId="18" borderId="0" xfId="0" applyFont="1" applyFill="1" applyAlignment="1" applyProtection="1">
      <alignment vertical="top"/>
    </xf>
    <xf numFmtId="0" fontId="27" fillId="18" borderId="5" xfId="0" applyFont="1" applyFill="1" applyBorder="1" applyAlignment="1" applyProtection="1">
      <alignment vertical="top"/>
    </xf>
    <xf numFmtId="170" fontId="0" fillId="0" borderId="0" xfId="1833" applyNumberFormat="1" applyFont="1" applyAlignment="1" applyProtection="1">
      <alignment vertical="top"/>
      <protection hidden="1"/>
    </xf>
    <xf numFmtId="170" fontId="0" fillId="0" borderId="5" xfId="1833" applyNumberFormat="1" applyFont="1" applyBorder="1" applyProtection="1">
      <protection hidden="1"/>
    </xf>
    <xf numFmtId="170" fontId="69" fillId="0" borderId="0" xfId="0" applyNumberFormat="1" applyFont="1" applyAlignment="1" applyProtection="1">
      <alignment vertical="top"/>
      <protection hidden="1"/>
    </xf>
    <xf numFmtId="170" fontId="69" fillId="0" borderId="5" xfId="0" applyNumberFormat="1" applyFont="1" applyBorder="1" applyAlignment="1" applyProtection="1">
      <alignment vertical="top"/>
      <protection hidden="1"/>
    </xf>
    <xf numFmtId="170" fontId="0" fillId="0" borderId="45" xfId="0" applyNumberFormat="1" applyBorder="1" applyAlignment="1" applyProtection="1">
      <alignment vertical="top"/>
      <protection hidden="1"/>
    </xf>
    <xf numFmtId="169" fontId="0" fillId="0" borderId="7" xfId="0" applyNumberFormat="1" applyBorder="1" applyAlignment="1" applyProtection="1">
      <alignment vertical="top"/>
      <protection hidden="1"/>
    </xf>
    <xf numFmtId="0" fontId="0" fillId="0" borderId="0" xfId="0"/>
    <xf numFmtId="166" fontId="30" fillId="14" borderId="1" xfId="0" applyNumberFormat="1" applyFont="1" applyFill="1" applyBorder="1" applyAlignment="1" applyProtection="1">
      <alignment vertical="center"/>
    </xf>
    <xf numFmtId="166" fontId="30" fillId="14" borderId="1" xfId="0" applyNumberFormat="1" applyFont="1" applyFill="1" applyBorder="1" applyAlignment="1" applyProtection="1">
      <alignment vertical="center" wrapText="1"/>
    </xf>
    <xf numFmtId="166" fontId="33" fillId="14" borderId="1" xfId="0" applyNumberFormat="1" applyFont="1" applyFill="1" applyBorder="1" applyAlignment="1" applyProtection="1">
      <alignment vertical="center" wrapText="1"/>
    </xf>
    <xf numFmtId="166" fontId="30" fillId="14" borderId="1" xfId="1555" applyNumberFormat="1" applyFont="1" applyFill="1" applyBorder="1" applyAlignment="1" applyProtection="1">
      <alignment vertical="center"/>
      <protection locked="0"/>
    </xf>
    <xf numFmtId="2" fontId="30" fillId="14" borderId="1" xfId="0" applyNumberFormat="1" applyFont="1" applyFill="1" applyBorder="1" applyAlignment="1" applyProtection="1">
      <alignment vertical="center"/>
      <protection locked="0"/>
    </xf>
    <xf numFmtId="0" fontId="105" fillId="33" borderId="74" xfId="0" applyFont="1" applyFill="1" applyBorder="1" applyAlignment="1">
      <alignment wrapText="1"/>
    </xf>
    <xf numFmtId="0" fontId="105" fillId="33" borderId="10" xfId="0" applyFont="1" applyFill="1" applyBorder="1" applyAlignment="1">
      <alignment horizontal="left"/>
    </xf>
    <xf numFmtId="2" fontId="105" fillId="33" borderId="43" xfId="6" applyNumberFormat="1" applyFont="1" applyFill="1" applyBorder="1" applyAlignment="1">
      <alignment horizontal="center" vertical="center"/>
    </xf>
    <xf numFmtId="2" fontId="105" fillId="33" borderId="10" xfId="6" applyNumberFormat="1" applyFont="1" applyFill="1" applyBorder="1" applyAlignment="1">
      <alignment horizontal="center" vertical="center"/>
    </xf>
    <xf numFmtId="2" fontId="105" fillId="33" borderId="43" xfId="0" applyNumberFormat="1" applyFont="1" applyFill="1" applyBorder="1" applyAlignment="1">
      <alignment horizontal="center" vertical="center"/>
    </xf>
    <xf numFmtId="2" fontId="105" fillId="33" borderId="43" xfId="6" applyNumberFormat="1" applyFont="1" applyFill="1" applyBorder="1" applyAlignment="1" applyProtection="1">
      <alignment horizontal="center" vertical="center"/>
      <protection locked="0" hidden="1"/>
    </xf>
    <xf numFmtId="0" fontId="105" fillId="33" borderId="73" xfId="0" applyFont="1" applyFill="1" applyBorder="1" applyAlignment="1">
      <alignment wrapText="1"/>
    </xf>
    <xf numFmtId="0" fontId="105" fillId="33" borderId="0" xfId="0" applyFont="1" applyFill="1" applyAlignment="1">
      <alignment horizontal="left"/>
    </xf>
    <xf numFmtId="2" fontId="105" fillId="33" borderId="51" xfId="0" applyNumberFormat="1" applyFont="1" applyFill="1" applyBorder="1" applyAlignment="1">
      <alignment horizontal="center" vertical="center"/>
    </xf>
    <xf numFmtId="2" fontId="105" fillId="33" borderId="73" xfId="6" applyNumberFormat="1" applyFont="1" applyFill="1" applyBorder="1" applyAlignment="1">
      <alignment horizontal="center" vertical="center"/>
    </xf>
    <xf numFmtId="2" fontId="105" fillId="33" borderId="5" xfId="0" applyNumberFormat="1" applyFont="1" applyFill="1" applyBorder="1" applyAlignment="1">
      <alignment horizontal="center" vertical="center"/>
    </xf>
    <xf numFmtId="2" fontId="105" fillId="33" borderId="51" xfId="6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>
      <alignment horizontal="center" vertical="center" wrapText="1"/>
    </xf>
    <xf numFmtId="0" fontId="16" fillId="0" borderId="72" xfId="0" applyFont="1" applyBorder="1" applyAlignment="1">
      <alignment horizontal="center" vertical="center" wrapText="1"/>
    </xf>
    <xf numFmtId="0" fontId="16" fillId="0" borderId="66" xfId="0" applyFont="1" applyBorder="1" applyAlignment="1">
      <alignment horizontal="center" vertical="center" wrapText="1"/>
    </xf>
    <xf numFmtId="0" fontId="16" fillId="0" borderId="69" xfId="0" applyFont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16" fillId="0" borderId="36" xfId="0" applyFont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16" fillId="6" borderId="74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6" fillId="6" borderId="24" xfId="0" applyFont="1" applyFill="1" applyBorder="1" applyAlignment="1">
      <alignment horizontal="center" vertical="center" wrapText="1"/>
    </xf>
    <xf numFmtId="0" fontId="16" fillId="6" borderId="27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27" fillId="5" borderId="2" xfId="0" applyFont="1" applyFill="1" applyBorder="1" applyAlignment="1">
      <alignment horizontal="left" vertical="top"/>
    </xf>
    <xf numFmtId="0" fontId="27" fillId="5" borderId="50" xfId="0" applyFont="1" applyFill="1" applyBorder="1" applyAlignment="1">
      <alignment horizontal="left" vertical="top"/>
    </xf>
    <xf numFmtId="0" fontId="27" fillId="5" borderId="3" xfId="0" applyFont="1" applyFill="1" applyBorder="1" applyAlignment="1">
      <alignment horizontal="left" vertical="top"/>
    </xf>
    <xf numFmtId="0" fontId="27" fillId="5" borderId="2" xfId="0" applyFont="1" applyFill="1" applyBorder="1" applyAlignment="1" applyProtection="1">
      <alignment horizontal="left" vertical="top"/>
    </xf>
    <xf numFmtId="0" fontId="27" fillId="5" borderId="50" xfId="0" applyFont="1" applyFill="1" applyBorder="1" applyAlignment="1" applyProtection="1">
      <alignment horizontal="left" vertical="top"/>
    </xf>
    <xf numFmtId="0" fontId="27" fillId="5" borderId="3" xfId="0" applyFont="1" applyFill="1" applyBorder="1" applyAlignment="1" applyProtection="1">
      <alignment horizontal="left" vertical="top"/>
    </xf>
    <xf numFmtId="0" fontId="27" fillId="0" borderId="0" xfId="0" applyFont="1" applyAlignment="1">
      <alignment horizontal="left" vertical="top"/>
    </xf>
    <xf numFmtId="0" fontId="30" fillId="6" borderId="2" xfId="0" applyFont="1" applyFill="1" applyBorder="1" applyAlignment="1">
      <alignment horizontal="center" vertical="center"/>
    </xf>
    <xf numFmtId="0" fontId="30" fillId="6" borderId="50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 wrapText="1"/>
    </xf>
    <xf numFmtId="0" fontId="27" fillId="0" borderId="37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7" fillId="0" borderId="35" xfId="0" applyFont="1" applyBorder="1" applyAlignment="1">
      <alignment horizontal="center" vertical="center"/>
    </xf>
    <xf numFmtId="0" fontId="27" fillId="0" borderId="36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55" fillId="0" borderId="22" xfId="0" applyFont="1" applyBorder="1" applyAlignment="1">
      <alignment horizontal="center" vertical="center" wrapText="1"/>
    </xf>
    <xf numFmtId="1" fontId="30" fillId="0" borderId="1" xfId="0" applyNumberFormat="1" applyFont="1" applyBorder="1" applyAlignment="1">
      <alignment horizontal="center" vertical="center" wrapText="1"/>
    </xf>
    <xf numFmtId="0" fontId="34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/>
    </xf>
    <xf numFmtId="0" fontId="61" fillId="0" borderId="8" xfId="0" applyFont="1" applyBorder="1" applyAlignment="1">
      <alignment horizontal="center" vertical="center" wrapText="1"/>
    </xf>
    <xf numFmtId="0" fontId="61" fillId="0" borderId="17" xfId="0" applyFont="1" applyBorder="1" applyAlignment="1">
      <alignment horizontal="center" vertical="center" wrapText="1"/>
    </xf>
    <xf numFmtId="0" fontId="61" fillId="0" borderId="12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2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34" fillId="0" borderId="24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4" fillId="0" borderId="35" xfId="0" applyFont="1" applyBorder="1" applyAlignment="1">
      <alignment horizontal="center" vertical="center" wrapText="1"/>
    </xf>
    <xf numFmtId="0" fontId="34" fillId="0" borderId="37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2" fontId="30" fillId="0" borderId="19" xfId="0" applyNumberFormat="1" applyFont="1" applyBorder="1" applyAlignment="1">
      <alignment horizontal="center" vertical="center"/>
    </xf>
    <xf numFmtId="2" fontId="30" fillId="0" borderId="22" xfId="0" applyNumberFormat="1" applyFont="1" applyBorder="1" applyAlignment="1">
      <alignment horizontal="center" vertical="center"/>
    </xf>
    <xf numFmtId="2" fontId="30" fillId="0" borderId="21" xfId="0" applyNumberFormat="1" applyFont="1" applyBorder="1" applyAlignment="1">
      <alignment horizontal="center" vertical="center"/>
    </xf>
    <xf numFmtId="2" fontId="30" fillId="0" borderId="19" xfId="0" applyNumberFormat="1" applyFont="1" applyBorder="1" applyAlignment="1">
      <alignment horizontal="center"/>
    </xf>
    <xf numFmtId="2" fontId="30" fillId="0" borderId="22" xfId="0" applyNumberFormat="1" applyFont="1" applyBorder="1" applyAlignment="1">
      <alignment horizontal="center"/>
    </xf>
    <xf numFmtId="2" fontId="30" fillId="0" borderId="21" xfId="0" applyNumberFormat="1" applyFont="1" applyBorder="1" applyAlignment="1">
      <alignment horizontal="center"/>
    </xf>
    <xf numFmtId="0" fontId="30" fillId="0" borderId="9" xfId="0" applyFont="1" applyBorder="1" applyAlignment="1">
      <alignment horizontal="center" vertical="center" wrapText="1"/>
    </xf>
    <xf numFmtId="0" fontId="30" fillId="0" borderId="43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44" xfId="0" applyFont="1" applyBorder="1" applyAlignment="1">
      <alignment horizontal="center" vertical="center" wrapText="1"/>
    </xf>
    <xf numFmtId="0" fontId="30" fillId="0" borderId="7" xfId="0" applyFont="1" applyBorder="1" applyAlignment="1">
      <alignment horizontal="center" vertical="center" wrapText="1"/>
    </xf>
    <xf numFmtId="0" fontId="30" fillId="0" borderId="49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 wrapText="1"/>
    </xf>
    <xf numFmtId="0" fontId="30" fillId="0" borderId="5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54" xfId="0" applyFont="1" applyBorder="1" applyAlignment="1">
      <alignment horizontal="center" vertical="center" wrapText="1"/>
    </xf>
    <xf numFmtId="0" fontId="30" fillId="0" borderId="61" xfId="0" applyFont="1" applyBorder="1" applyAlignment="1">
      <alignment horizontal="center" vertical="center"/>
    </xf>
    <xf numFmtId="0" fontId="30" fillId="0" borderId="53" xfId="0" applyFont="1" applyBorder="1" applyAlignment="1">
      <alignment horizontal="center" vertical="center"/>
    </xf>
    <xf numFmtId="0" fontId="30" fillId="0" borderId="60" xfId="0" applyFont="1" applyBorder="1" applyAlignment="1">
      <alignment horizontal="center" vertical="center" wrapText="1"/>
    </xf>
    <xf numFmtId="0" fontId="30" fillId="0" borderId="8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wrapText="1"/>
    </xf>
    <xf numFmtId="0" fontId="34" fillId="0" borderId="19" xfId="0" applyFon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1" xfId="0" applyFont="1" applyBorder="1" applyAlignment="1">
      <alignment horizontal="center" vertical="center" wrapText="1"/>
    </xf>
    <xf numFmtId="2" fontId="30" fillId="0" borderId="1" xfId="0" applyNumberFormat="1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21" xfId="0" applyFont="1" applyBorder="1" applyAlignment="1">
      <alignment horizontal="center"/>
    </xf>
    <xf numFmtId="2" fontId="30" fillId="0" borderId="19" xfId="0" applyNumberFormat="1" applyFont="1" applyBorder="1" applyAlignment="1">
      <alignment horizontal="center" vertical="center" wrapText="1"/>
    </xf>
    <xf numFmtId="2" fontId="30" fillId="0" borderId="22" xfId="0" applyNumberFormat="1" applyFont="1" applyBorder="1" applyAlignment="1">
      <alignment horizontal="center" vertical="center" wrapText="1"/>
    </xf>
    <xf numFmtId="2" fontId="30" fillId="0" borderId="21" xfId="0" applyNumberFormat="1" applyFont="1" applyBorder="1" applyAlignment="1">
      <alignment horizontal="center" vertical="center" wrapText="1"/>
    </xf>
    <xf numFmtId="0" fontId="34" fillId="0" borderId="37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top" wrapText="1"/>
    </xf>
    <xf numFmtId="0" fontId="30" fillId="0" borderId="19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34" fillId="0" borderId="2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8" fillId="0" borderId="55" xfId="0" applyFont="1" applyBorder="1" applyAlignment="1">
      <alignment horizontal="center"/>
    </xf>
    <xf numFmtId="0" fontId="48" fillId="0" borderId="75" xfId="0" applyFont="1" applyBorder="1" applyAlignment="1">
      <alignment horizontal="center"/>
    </xf>
    <xf numFmtId="0" fontId="36" fillId="0" borderId="9" xfId="1558" applyBorder="1" applyAlignment="1">
      <alignment horizontal="center" vertical="top" wrapText="1"/>
    </xf>
    <xf numFmtId="0" fontId="36" fillId="0" borderId="10" xfId="1558" applyBorder="1" applyAlignment="1">
      <alignment horizontal="center" vertical="top" wrapText="1"/>
    </xf>
    <xf numFmtId="0" fontId="48" fillId="0" borderId="35" xfId="0" applyFont="1" applyBorder="1" applyAlignment="1">
      <alignment horizontal="center"/>
    </xf>
    <xf numFmtId="0" fontId="48" fillId="0" borderId="25" xfId="0" applyFont="1" applyBorder="1" applyAlignment="1">
      <alignment horizontal="center"/>
    </xf>
    <xf numFmtId="0" fontId="48" fillId="0" borderId="48" xfId="0" applyFont="1" applyBorder="1" applyAlignment="1">
      <alignment horizontal="center"/>
    </xf>
    <xf numFmtId="0" fontId="48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9" fillId="26" borderId="0" xfId="1553" applyNumberFormat="1" applyFill="1" applyAlignment="1">
      <alignment horizontal="center"/>
    </xf>
    <xf numFmtId="0" fontId="23" fillId="9" borderId="13" xfId="0" applyFont="1" applyFill="1" applyBorder="1" applyAlignment="1">
      <alignment horizontal="center"/>
    </xf>
    <xf numFmtId="0" fontId="23" fillId="9" borderId="14" xfId="0" applyFont="1" applyFill="1" applyBorder="1" applyAlignment="1">
      <alignment horizontal="center"/>
    </xf>
    <xf numFmtId="0" fontId="23" fillId="9" borderId="18" xfId="0" applyFont="1" applyFill="1" applyBorder="1" applyAlignment="1">
      <alignment horizontal="center"/>
    </xf>
    <xf numFmtId="0" fontId="23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3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3" fillId="9" borderId="22" xfId="0" applyFont="1" applyFill="1" applyBorder="1" applyAlignment="1">
      <alignment horizontal="center"/>
    </xf>
    <xf numFmtId="0" fontId="23" fillId="9" borderId="21" xfId="0" applyFont="1" applyFill="1" applyBorder="1" applyAlignment="1">
      <alignment horizontal="center"/>
    </xf>
    <xf numFmtId="0" fontId="30" fillId="19" borderId="0" xfId="0" applyFont="1" applyFill="1" applyAlignment="1">
      <alignment horizontal="left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/>
    </xf>
    <xf numFmtId="0" fontId="59" fillId="0" borderId="0" xfId="1556" applyAlignment="1">
      <alignment horizontal="left" vertical="center"/>
    </xf>
    <xf numFmtId="0" fontId="59" fillId="5" borderId="1" xfId="1556" applyFill="1" applyBorder="1" applyAlignment="1">
      <alignment horizontal="center" vertical="center"/>
    </xf>
    <xf numFmtId="0" fontId="30" fillId="0" borderId="0" xfId="1" applyFont="1" applyFill="1" applyAlignment="1">
      <alignment horizontal="right" vertical="center"/>
    </xf>
    <xf numFmtId="0" fontId="0" fillId="5" borderId="1" xfId="0" applyFill="1" applyBorder="1" applyAlignment="1">
      <alignment horizontal="center"/>
    </xf>
    <xf numFmtId="0" fontId="30" fillId="6" borderId="8" xfId="1" applyFont="1" applyFill="1" applyBorder="1" applyAlignment="1">
      <alignment horizontal="center" vertical="center" wrapText="1"/>
    </xf>
    <xf numFmtId="0" fontId="30" fillId="6" borderId="17" xfId="1" applyFont="1" applyFill="1" applyBorder="1" applyAlignment="1">
      <alignment horizontal="center" vertical="center" wrapText="1"/>
    </xf>
    <xf numFmtId="0" fontId="30" fillId="6" borderId="12" xfId="1" applyFont="1" applyFill="1" applyBorder="1" applyAlignment="1">
      <alignment horizontal="center" vertical="center" wrapText="1"/>
    </xf>
    <xf numFmtId="0" fontId="35" fillId="6" borderId="19" xfId="1" applyFont="1" applyFill="1" applyBorder="1" applyAlignment="1">
      <alignment horizontal="center" vertical="center"/>
    </xf>
    <xf numFmtId="0" fontId="35" fillId="6" borderId="21" xfId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0" fontId="30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right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0" fillId="4" borderId="1" xfId="0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5" fillId="5" borderId="19" xfId="1" applyFont="1" applyFill="1" applyBorder="1" applyAlignment="1">
      <alignment horizontal="right" wrapText="1"/>
    </xf>
    <xf numFmtId="0" fontId="35" fillId="5" borderId="22" xfId="1" applyFont="1" applyFill="1" applyBorder="1" applyAlignment="1">
      <alignment horizontal="right" wrapText="1"/>
    </xf>
    <xf numFmtId="0" fontId="35" fillId="5" borderId="21" xfId="1" applyFont="1" applyFill="1" applyBorder="1" applyAlignment="1">
      <alignment horizontal="right" wrapText="1"/>
    </xf>
    <xf numFmtId="0" fontId="35" fillId="5" borderId="8" xfId="1" applyFont="1" applyFill="1" applyBorder="1" applyAlignment="1">
      <alignment horizontal="center" vertical="center" wrapText="1"/>
    </xf>
    <xf numFmtId="0" fontId="35" fillId="5" borderId="17" xfId="1" applyFont="1" applyFill="1" applyBorder="1" applyAlignment="1">
      <alignment horizontal="center" vertical="center" wrapText="1"/>
    </xf>
    <xf numFmtId="0" fontId="35" fillId="5" borderId="12" xfId="1" applyFont="1" applyFill="1" applyBorder="1" applyAlignment="1">
      <alignment horizontal="center" vertical="center" wrapText="1"/>
    </xf>
    <xf numFmtId="0" fontId="35" fillId="6" borderId="19" xfId="1" applyFont="1" applyFill="1" applyBorder="1" applyAlignment="1">
      <alignment horizontal="center" vertical="center" wrapText="1"/>
    </xf>
    <xf numFmtId="0" fontId="35" fillId="6" borderId="21" xfId="1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7" fillId="0" borderId="8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Guatemala</c:v>
                </c:pt>
                <c:pt idx="4">
                  <c:v>Rhodes</c:v>
                </c:pt>
                <c:pt idx="5">
                  <c:v>Napier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-3.0584391949271699</c:v>
                </c:pt>
                <c:pt idx="2">
                  <c:v>0.54081106056480266</c:v>
                </c:pt>
                <c:pt idx="3">
                  <c:v>-4.9116053057977851</c:v>
                </c:pt>
                <c:pt idx="4">
                  <c:v>-14.942937361787907</c:v>
                </c:pt>
                <c:pt idx="5">
                  <c:v>-1.8812257700593147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137904"/>
        <c:axId val="216138464"/>
      </c:barChart>
      <c:catAx>
        <c:axId val="2161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16138464"/>
        <c:crosses val="autoZero"/>
        <c:auto val="1"/>
        <c:lblAlgn val="ctr"/>
        <c:lblOffset val="100"/>
        <c:noMultiLvlLbl val="0"/>
      </c:catAx>
      <c:valAx>
        <c:axId val="216138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61379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Guatemala</c:v>
                </c:pt>
                <c:pt idx="4">
                  <c:v>Rhodes</c:v>
                </c:pt>
                <c:pt idx="5">
                  <c:v>Napier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2.6097959794708818</c:v>
                </c:pt>
                <c:pt idx="2">
                  <c:v>25.659149842750629</c:v>
                </c:pt>
                <c:pt idx="3">
                  <c:v>12.174491818111633</c:v>
                </c:pt>
                <c:pt idx="4">
                  <c:v>13.765184678265404</c:v>
                </c:pt>
                <c:pt idx="5">
                  <c:v>11.910998930789912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Guatemala</c:v>
                </c:pt>
                <c:pt idx="4">
                  <c:v>Rhodes</c:v>
                </c:pt>
                <c:pt idx="5">
                  <c:v>Napier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5.6682351743980517</c:v>
                </c:pt>
                <c:pt idx="2">
                  <c:v>25.118338782185827</c:v>
                </c:pt>
                <c:pt idx="3">
                  <c:v>17.086097123909418</c:v>
                </c:pt>
                <c:pt idx="4">
                  <c:v>28.708122040053311</c:v>
                </c:pt>
                <c:pt idx="5">
                  <c:v>13.792224700849227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16141264"/>
        <c:axId val="216141824"/>
      </c:barChart>
      <c:catAx>
        <c:axId val="21614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16141824"/>
        <c:crosses val="autoZero"/>
        <c:auto val="1"/>
        <c:lblAlgn val="ctr"/>
        <c:lblOffset val="100"/>
        <c:noMultiLvlLbl val="0"/>
      </c:catAx>
      <c:valAx>
        <c:axId val="21614182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16141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Naturally occuring pasture - green fodder </c:v>
                </c:pt>
                <c:pt idx="2">
                  <c:v>Maize (Zea mays)-stover</c:v>
                </c:pt>
                <c:pt idx="3">
                  <c:v>Guatemala grass (Tripsacum andersonii) - forage</c:v>
                </c:pt>
                <c:pt idx="4">
                  <c:v>Rhodes grass (Chloris gayana) - forage</c:v>
                </c:pt>
                <c:pt idx="5">
                  <c:v>Napier grass (Pennisetum purpureum) - forage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101.6608285234733</c:v>
                </c:pt>
                <c:pt idx="2">
                  <c:v>281.61173974089979</c:v>
                </c:pt>
                <c:pt idx="3">
                  <c:v>35.273872905591901</c:v>
                </c:pt>
                <c:pt idx="4">
                  <c:v>129.93978149779815</c:v>
                </c:pt>
                <c:pt idx="5">
                  <c:v>19.592785619210741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59862638827537"/>
          <c:y val="0.15185942269439834"/>
          <c:w val="0.33268051776722596"/>
          <c:h val="0.84814057730560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balance 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emissions'!$C$30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emissions'!$B$32:$B$38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emissions'!$C$32:$C$38</c:f>
              <c:numCache>
                <c:formatCode>0.00</c:formatCode>
                <c:ptCount val="7"/>
                <c:pt idx="0">
                  <c:v>1.6863661251003164</c:v>
                </c:pt>
                <c:pt idx="1">
                  <c:v>0</c:v>
                </c:pt>
                <c:pt idx="2">
                  <c:v>2.3889138532971166</c:v>
                </c:pt>
                <c:pt idx="3">
                  <c:v>8.4546269436760362</c:v>
                </c:pt>
                <c:pt idx="4">
                  <c:v>0</c:v>
                </c:pt>
                <c:pt idx="5">
                  <c:v>0</c:v>
                </c:pt>
                <c:pt idx="6">
                  <c:v>5.875355399441738E-3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emissions'!$D$30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emissions'!$B$32:$B$38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emissions'!$D$32:$D$38</c:f>
              <c:numCache>
                <c:formatCode>0.00</c:formatCode>
                <c:ptCount val="7"/>
                <c:pt idx="0">
                  <c:v>0.46875414155080991</c:v>
                </c:pt>
                <c:pt idx="1">
                  <c:v>0</c:v>
                </c:pt>
                <c:pt idx="2">
                  <c:v>3.2442631089350753</c:v>
                </c:pt>
                <c:pt idx="3">
                  <c:v>5.4169933237552588</c:v>
                </c:pt>
                <c:pt idx="4">
                  <c:v>0</c:v>
                </c:pt>
                <c:pt idx="5">
                  <c:v>0</c:v>
                </c:pt>
                <c:pt idx="6">
                  <c:v>5.875355399441738E-3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513888"/>
        <c:axId val="216514448"/>
      </c:barChart>
      <c:catAx>
        <c:axId val="216513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16514448"/>
        <c:crosses val="autoZero"/>
        <c:auto val="1"/>
        <c:lblAlgn val="ctr"/>
        <c:lblOffset val="100"/>
        <c:noMultiLvlLbl val="0"/>
      </c:catAx>
      <c:valAx>
        <c:axId val="21651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165138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9C-450E-8A36-7426C6F7126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emissions'!$B$5:$B$17</c15:sqref>
                  </c15:fullRef>
                </c:ext>
              </c:extLst>
              <c:f>('GHG emissions'!$B$5:$B$14,'GHG emissions'!$B$17)</c:f>
              <c:strCache>
                <c:ptCount val="11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  <c:pt idx="10">
                  <c:v>Off-farm emissions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emissions'!$E$5:$E$17</c15:sqref>
                  </c15:fullRef>
                </c:ext>
              </c:extLst>
              <c:f>('GHG emissions'!$E$5:$E$14,'GHG emissions'!$E$17)</c:f>
              <c:numCache>
                <c:formatCode>0.00</c:formatCode>
                <c:ptCount val="11"/>
                <c:pt idx="0">
                  <c:v>8454.6269436760358</c:v>
                </c:pt>
                <c:pt idx="1">
                  <c:v>224.85709956585205</c:v>
                </c:pt>
                <c:pt idx="2">
                  <c:v>1227.0934534330793</c:v>
                </c:pt>
                <c:pt idx="3">
                  <c:v>936.96330029818546</c:v>
                </c:pt>
                <c:pt idx="4">
                  <c:v>1405.3051042502636</c:v>
                </c:pt>
                <c:pt idx="5">
                  <c:v>281.06102085005273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5.8753553994417382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3C1-48E7-8692-B41D0F992A5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emissions'!$I$5:$I$17</c15:sqref>
                  </c15:fullRef>
                </c:ext>
              </c:extLst>
              <c:f>('GHG emissions'!$I$5:$I$14,'GHG emissions'!$I$17)</c:f>
              <c:strCache>
                <c:ptCount val="11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  <c:pt idx="10">
                  <c:v>Off-farm emissions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emissions'!$L$5:$L$17</c15:sqref>
                  </c15:fullRef>
                </c:ext>
              </c:extLst>
              <c:f>('GHG emissions'!$L$5:$L$14,'GHG emissions'!$L$17)</c:f>
              <c:numCache>
                <c:formatCode>0.00</c:formatCode>
                <c:ptCount val="11"/>
                <c:pt idx="0">
                  <c:v>5416.9933237552586</c:v>
                </c:pt>
                <c:pt idx="1">
                  <c:v>342.90264662818436</c:v>
                </c:pt>
                <c:pt idx="2">
                  <c:v>1613.2509203361201</c:v>
                </c:pt>
                <c:pt idx="3">
                  <c:v>1288.109541970771</c:v>
                </c:pt>
                <c:pt idx="4">
                  <c:v>390.62845129234159</c:v>
                </c:pt>
                <c:pt idx="5">
                  <c:v>78.125690258468325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5.8753553994417382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'Feed parameters'!$O$4</c:f>
              <c:strCache>
                <c:ptCount val="1"/>
                <c:pt idx="0">
                  <c:v>TDN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'Feed parameters'!$N$5:$N$18</c:f>
              <c:numCache>
                <c:formatCode>0.0</c:formatCode>
                <c:ptCount val="1"/>
                <c:pt idx="0">
                  <c:v>9.2400000000000038</c:v>
                </c:pt>
              </c:numCache>
            </c:numRef>
          </c:xVal>
          <c:yVal>
            <c:numRef>
              <c:f>'Feed parameters'!$O$5:$O$18</c:f>
              <c:numCache>
                <c:formatCode>General</c:formatCode>
                <c:ptCount val="1"/>
                <c:pt idx="0">
                  <c:v>60.9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8-47FB-8378-8DD54617E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3120"/>
        <c:axId val="216613680"/>
      </c:scatterChart>
      <c:valAx>
        <c:axId val="21661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613680"/>
        <c:crosses val="autoZero"/>
        <c:crossBetween val="midCat"/>
      </c:valAx>
      <c:valAx>
        <c:axId val="21661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61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452438</xdr:colOff>
      <xdr:row>0</xdr:row>
      <xdr:rowOff>0</xdr:rowOff>
    </xdr:from>
    <xdr:to>
      <xdr:col>9</xdr:col>
      <xdr:colOff>355488</xdr:colOff>
      <xdr:row>13</xdr:row>
      <xdr:rowOff>172811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1" y="916781"/>
          <a:ext cx="4857750" cy="2438400"/>
        </a:xfrm>
        <a:prstGeom prst="rect">
          <a:avLst/>
        </a:prstGeom>
      </xdr:spPr>
    </xdr:pic>
    <xdr:clientData/>
  </xdr:twoCellAnchor>
  <xdr:twoCellAnchor editAs="oneCell">
    <xdr:from>
      <xdr:col>10</xdr:col>
      <xdr:colOff>215900</xdr:colOff>
      <xdr:row>0</xdr:row>
      <xdr:rowOff>0</xdr:rowOff>
    </xdr:from>
    <xdr:to>
      <xdr:col>13</xdr:col>
      <xdr:colOff>203203</xdr:colOff>
      <xdr:row>9</xdr:row>
      <xdr:rowOff>56452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76500" y="273497"/>
          <a:ext cx="3657600" cy="1416675"/>
        </a:xfrm>
        <a:prstGeom prst="rect">
          <a:avLst/>
        </a:prstGeom>
      </xdr:spPr>
    </xdr:pic>
    <xdr:clientData/>
  </xdr:twoCellAnchor>
  <xdr:twoCellAnchor editAs="oneCell">
    <xdr:from>
      <xdr:col>14</xdr:col>
      <xdr:colOff>247650</xdr:colOff>
      <xdr:row>0</xdr:row>
      <xdr:rowOff>174625</xdr:rowOff>
    </xdr:from>
    <xdr:to>
      <xdr:col>15</xdr:col>
      <xdr:colOff>447676</xdr:colOff>
      <xdr:row>9</xdr:row>
      <xdr:rowOff>94343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96900" y="174625"/>
          <a:ext cx="1692276" cy="17770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106</xdr:row>
          <xdr:rowOff>95250</xdr:rowOff>
        </xdr:from>
        <xdr:to>
          <xdr:col>6</xdr:col>
          <xdr:colOff>800100</xdr:colOff>
          <xdr:row>110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28</xdr:row>
      <xdr:rowOff>139234</xdr:rowOff>
    </xdr:from>
    <xdr:to>
      <xdr:col>11</xdr:col>
      <xdr:colOff>636107</xdr:colOff>
      <xdr:row>51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22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23</xdr:row>
      <xdr:rowOff>22303</xdr:rowOff>
    </xdr:from>
    <xdr:to>
      <xdr:col>21</xdr:col>
      <xdr:colOff>821531</xdr:colOff>
      <xdr:row>42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680357</xdr:colOff>
      <xdr:row>21</xdr:row>
      <xdr:rowOff>57151</xdr:rowOff>
    </xdr:from>
    <xdr:to>
      <xdr:col>19</xdr:col>
      <xdr:colOff>190500</xdr:colOff>
      <xdr:row>34</xdr:row>
      <xdr:rowOff>146958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giar-my.sharepoint.com/Tobackup/an2018/papers/VCs/2018_analysis/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25" totalsRowShown="0" headerRowDxfId="11" dataDxfId="9" headerRowBorderDxfId="10">
  <autoFilter ref="A2:I125">
    <filterColumn colId="0">
      <filters>
        <filter val="Concentrate (commercial)"/>
        <filter val="Guatemala grass (Tripsacum andersonii) - forage"/>
        <filter val="Maize (Zea mays)-stover"/>
        <filter val="Napier grass (Pennisetum purpureum) - forage"/>
        <filter val="Naturally occuring pasture - green fodder"/>
        <filter val="Rhodes grass (Chloris gayana) - forage"/>
      </filters>
    </filterColumn>
  </autoFilter>
  <sortState ref="A3:I128">
    <sortCondition ref="A2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57"/>
  <sheetViews>
    <sheetView tabSelected="1" zoomScale="70" zoomScaleNormal="70" workbookViewId="0">
      <selection activeCell="I97" sqref="I97"/>
    </sheetView>
  </sheetViews>
  <sheetFormatPr defaultColWidth="10.875" defaultRowHeight="15.75"/>
  <cols>
    <col min="1" max="1" width="7" style="426" customWidth="1"/>
    <col min="2" max="2" width="42.375" style="428" customWidth="1"/>
    <col min="3" max="3" width="53.25" style="428" customWidth="1"/>
    <col min="4" max="4" width="27.875" style="426" customWidth="1"/>
    <col min="5" max="5" width="29.75" style="426" customWidth="1"/>
    <col min="6" max="6" width="30.75" style="426" customWidth="1"/>
    <col min="7" max="7" width="25.75" style="426" customWidth="1"/>
    <col min="8" max="8" width="18.625" style="426" customWidth="1"/>
    <col min="9" max="9" width="20.625" style="426" customWidth="1"/>
    <col min="10" max="10" width="16.125" style="426" customWidth="1"/>
    <col min="11" max="11" width="18.5" style="426" customWidth="1"/>
    <col min="12" max="12" width="14.625" style="426" customWidth="1"/>
    <col min="13" max="13" width="15" style="426" customWidth="1"/>
    <col min="14" max="14" width="17.5" style="426" customWidth="1"/>
    <col min="15" max="15" width="19.5" style="426" customWidth="1"/>
    <col min="16" max="27" width="15.5" style="426" customWidth="1"/>
    <col min="28" max="16384" width="10.875" style="426"/>
  </cols>
  <sheetData>
    <row r="1" spans="1:16">
      <c r="B1" s="426"/>
      <c r="C1" s="429" t="s">
        <v>1268</v>
      </c>
      <c r="D1" s="429"/>
      <c r="E1" s="425"/>
      <c r="F1" s="425"/>
      <c r="G1" s="72"/>
      <c r="H1" s="72"/>
      <c r="I1" s="72"/>
    </row>
    <row r="2" spans="1:16" ht="16.5" thickBot="1">
      <c r="A2" s="684"/>
      <c r="B2" s="701"/>
      <c r="C2" s="118"/>
      <c r="D2" s="118"/>
      <c r="G2" s="72"/>
      <c r="H2" s="72"/>
      <c r="I2" s="72"/>
    </row>
    <row r="3" spans="1:16">
      <c r="A3" s="684"/>
      <c r="B3" s="684"/>
      <c r="C3" s="442"/>
      <c r="D3" s="431" t="s">
        <v>1269</v>
      </c>
      <c r="E3" s="427" t="s">
        <v>83</v>
      </c>
      <c r="F3" s="447" t="s">
        <v>1183</v>
      </c>
      <c r="G3" s="72"/>
      <c r="H3" s="72"/>
      <c r="I3" s="72"/>
    </row>
    <row r="4" spans="1:16">
      <c r="A4" s="684"/>
      <c r="B4" s="684"/>
      <c r="C4" s="1376" t="s">
        <v>1270</v>
      </c>
      <c r="D4" s="24" t="s">
        <v>1271</v>
      </c>
      <c r="E4" s="27" t="s">
        <v>654</v>
      </c>
      <c r="F4" s="367" t="s">
        <v>1750</v>
      </c>
      <c r="G4" s="72"/>
      <c r="H4" s="72"/>
      <c r="I4" s="72"/>
    </row>
    <row r="5" spans="1:16">
      <c r="A5" s="684"/>
      <c r="B5" s="684"/>
      <c r="C5" s="1376"/>
      <c r="D5" s="24" t="s">
        <v>1272</v>
      </c>
      <c r="E5" s="27" t="s">
        <v>654</v>
      </c>
      <c r="F5" s="367" t="s">
        <v>1751</v>
      </c>
      <c r="G5" s="72"/>
      <c r="H5" s="72"/>
      <c r="I5" s="72"/>
    </row>
    <row r="6" spans="1:16" ht="16.5" thickBot="1">
      <c r="B6" s="426"/>
      <c r="C6" s="648" t="s">
        <v>655</v>
      </c>
      <c r="D6" s="649" t="s">
        <v>1273</v>
      </c>
      <c r="E6" s="650" t="s">
        <v>1274</v>
      </c>
      <c r="F6" s="678">
        <f>'Land requirements'!E11</f>
        <v>0.62261765481413833</v>
      </c>
      <c r="G6" s="72"/>
      <c r="H6" s="72"/>
      <c r="I6" s="72"/>
    </row>
    <row r="7" spans="1:16">
      <c r="B7" s="426"/>
      <c r="C7" s="426"/>
      <c r="D7" s="346"/>
      <c r="E7" s="457">
        <f>'Land requirements'!E11</f>
        <v>0.62261765481413833</v>
      </c>
      <c r="G7" s="72"/>
      <c r="H7" s="72"/>
      <c r="I7" s="72"/>
    </row>
    <row r="8" spans="1:16" ht="16.5" thickBot="1">
      <c r="B8" s="30"/>
      <c r="C8" s="30"/>
      <c r="D8" s="860"/>
      <c r="E8" s="277"/>
    </row>
    <row r="9" spans="1:16" ht="16.5" thickBot="1">
      <c r="B9" s="1377" t="s">
        <v>927</v>
      </c>
      <c r="C9" s="434" t="s">
        <v>1169</v>
      </c>
      <c r="D9" s="435" t="s">
        <v>1184</v>
      </c>
      <c r="E9" s="475">
        <v>43136</v>
      </c>
      <c r="F9" s="436"/>
      <c r="G9"/>
      <c r="H9" s="437" t="s">
        <v>1137</v>
      </c>
      <c r="I9" s="438"/>
    </row>
    <row r="10" spans="1:16">
      <c r="B10" s="1378"/>
      <c r="C10" s="439" t="s">
        <v>1170</v>
      </c>
      <c r="D10" s="435" t="s">
        <v>1184</v>
      </c>
      <c r="E10" s="680">
        <v>43266</v>
      </c>
    </row>
    <row r="11" spans="1:16">
      <c r="B11" s="1378"/>
      <c r="C11" s="439" t="s">
        <v>1171</v>
      </c>
      <c r="D11" s="435" t="s">
        <v>1184</v>
      </c>
      <c r="E11" s="680">
        <v>43406</v>
      </c>
    </row>
    <row r="12" spans="1:16" ht="16.5" thickBot="1">
      <c r="B12" s="1379"/>
      <c r="C12" s="440" t="s">
        <v>1172</v>
      </c>
      <c r="D12" s="861" t="s">
        <v>1184</v>
      </c>
      <c r="E12" s="681">
        <v>43498</v>
      </c>
    </row>
    <row r="13" spans="1:16">
      <c r="B13" s="30"/>
      <c r="C13" s="30"/>
      <c r="D13" s="230"/>
      <c r="E13" s="441"/>
    </row>
    <row r="14" spans="1:16">
      <c r="B14" s="810"/>
      <c r="C14" s="811"/>
      <c r="D14" s="812"/>
      <c r="E14" s="30"/>
      <c r="F14" s="156"/>
      <c r="G14" s="156"/>
      <c r="H14" s="171"/>
      <c r="I14" s="171"/>
    </row>
    <row r="15" spans="1:16">
      <c r="B15" s="429" t="s">
        <v>847</v>
      </c>
      <c r="C15" s="425"/>
      <c r="D15" s="425"/>
      <c r="E15" s="430"/>
      <c r="F15" s="425"/>
      <c r="G15" s="425"/>
      <c r="H15" s="425"/>
      <c r="I15" s="425"/>
      <c r="J15" s="425"/>
      <c r="K15" s="425"/>
      <c r="L15" s="425"/>
      <c r="M15" s="425"/>
      <c r="N15" s="425"/>
      <c r="O15" s="425"/>
      <c r="P15" s="425"/>
    </row>
    <row r="16" spans="1:16" ht="16.5" thickBot="1"/>
    <row r="17" spans="1:17" s="428" customFormat="1" ht="75">
      <c r="B17" s="1373" t="s">
        <v>1077</v>
      </c>
      <c r="C17" s="442"/>
      <c r="D17" s="719" t="s">
        <v>1230</v>
      </c>
      <c r="E17" s="917" t="s">
        <v>1564</v>
      </c>
      <c r="F17" s="1083" t="s">
        <v>1565</v>
      </c>
      <c r="G17" s="1087"/>
      <c r="H17" s="1085" t="s">
        <v>1072</v>
      </c>
      <c r="I17" s="982" t="s">
        <v>1654</v>
      </c>
      <c r="J17" s="719" t="s">
        <v>1073</v>
      </c>
      <c r="K17" s="720" t="s">
        <v>1074</v>
      </c>
      <c r="L17" s="720" t="s">
        <v>1682</v>
      </c>
      <c r="M17" s="1092" t="s">
        <v>1075</v>
      </c>
      <c r="N17" s="983" t="s">
        <v>1655</v>
      </c>
      <c r="O17" s="612" t="s">
        <v>1173</v>
      </c>
      <c r="P17" s="444"/>
      <c r="Q17" s="721" t="s">
        <v>1076</v>
      </c>
    </row>
    <row r="18" spans="1:17">
      <c r="A18" s="445"/>
      <c r="B18" s="1374"/>
      <c r="C18" s="446" t="str">
        <f>'Livestock parameters'!A4</f>
        <v>Cows - local</v>
      </c>
      <c r="D18" s="369">
        <v>0</v>
      </c>
      <c r="E18" s="918">
        <v>0</v>
      </c>
      <c r="F18" s="918">
        <v>0</v>
      </c>
      <c r="G18" s="1088"/>
      <c r="H18" s="1086">
        <v>0</v>
      </c>
      <c r="I18" s="372">
        <v>0</v>
      </c>
      <c r="J18" s="372">
        <v>0</v>
      </c>
      <c r="K18" s="1091">
        <v>0</v>
      </c>
      <c r="L18" s="370">
        <v>0</v>
      </c>
      <c r="M18" s="371">
        <v>0</v>
      </c>
      <c r="N18" s="372">
        <v>0</v>
      </c>
      <c r="O18" s="370">
        <v>0</v>
      </c>
      <c r="P18" s="1163"/>
      <c r="Q18" s="958">
        <v>0</v>
      </c>
    </row>
    <row r="19" spans="1:17">
      <c r="B19" s="1374"/>
      <c r="C19" s="446" t="str">
        <f>'Livestock parameters'!A5</f>
        <v>Cows - improved</v>
      </c>
      <c r="D19" s="369">
        <v>2</v>
      </c>
      <c r="E19" s="918">
        <v>1525</v>
      </c>
      <c r="F19" s="918">
        <v>0</v>
      </c>
      <c r="G19" s="1088"/>
      <c r="H19" s="1086">
        <v>1</v>
      </c>
      <c r="I19" s="372">
        <v>0</v>
      </c>
      <c r="J19" s="372">
        <v>0</v>
      </c>
      <c r="K19" s="1091">
        <v>0</v>
      </c>
      <c r="L19" s="370">
        <v>0</v>
      </c>
      <c r="M19" s="371">
        <v>1</v>
      </c>
      <c r="N19" s="372">
        <v>0</v>
      </c>
      <c r="O19" s="370">
        <v>0</v>
      </c>
      <c r="P19" s="1163"/>
      <c r="Q19" s="958">
        <v>0.9</v>
      </c>
    </row>
    <row r="20" spans="1:17">
      <c r="B20" s="1374"/>
      <c r="C20" s="446" t="str">
        <f>'Livestock parameters'!A6</f>
        <v>Adult cattle - male</v>
      </c>
      <c r="D20" s="369">
        <v>0</v>
      </c>
      <c r="E20" s="369">
        <v>0</v>
      </c>
      <c r="F20" s="1084">
        <v>0</v>
      </c>
      <c r="G20" s="1088"/>
      <c r="H20" s="1086">
        <v>0</v>
      </c>
      <c r="I20" s="372">
        <v>0</v>
      </c>
      <c r="J20" s="372">
        <v>0</v>
      </c>
      <c r="K20" s="1091">
        <v>0</v>
      </c>
      <c r="L20" s="370">
        <v>0</v>
      </c>
      <c r="M20" s="371">
        <v>0</v>
      </c>
      <c r="N20" s="372">
        <v>0</v>
      </c>
      <c r="O20" s="370">
        <v>0</v>
      </c>
      <c r="P20" s="1163"/>
      <c r="Q20" s="958">
        <v>0</v>
      </c>
    </row>
    <row r="21" spans="1:17">
      <c r="B21" s="1374"/>
      <c r="C21" s="446" t="str">
        <f>'Livestock parameters'!A7</f>
        <v>Steers/heifers</v>
      </c>
      <c r="D21" s="369">
        <v>0</v>
      </c>
      <c r="E21" s="369">
        <v>0</v>
      </c>
      <c r="F21" s="918">
        <v>0</v>
      </c>
      <c r="G21" s="1088"/>
      <c r="H21" s="1086">
        <v>0</v>
      </c>
      <c r="I21" s="372">
        <v>0</v>
      </c>
      <c r="J21" s="372">
        <v>0</v>
      </c>
      <c r="K21" s="1091">
        <v>0</v>
      </c>
      <c r="L21" s="370">
        <v>0</v>
      </c>
      <c r="M21" s="371">
        <v>0</v>
      </c>
      <c r="N21" s="372">
        <v>0</v>
      </c>
      <c r="O21" s="370">
        <v>0</v>
      </c>
      <c r="P21" s="1163"/>
      <c r="Q21" s="958">
        <v>0</v>
      </c>
    </row>
    <row r="22" spans="1:17">
      <c r="B22" s="1374"/>
      <c r="C22" s="446" t="str">
        <f>'Livestock parameters'!A8</f>
        <v>Calves</v>
      </c>
      <c r="D22" s="369">
        <v>0</v>
      </c>
      <c r="E22" s="369">
        <v>0</v>
      </c>
      <c r="F22" s="918">
        <v>0</v>
      </c>
      <c r="G22" s="1088"/>
      <c r="H22" s="1086">
        <v>0</v>
      </c>
      <c r="I22" s="372">
        <v>0</v>
      </c>
      <c r="J22" s="372">
        <v>0</v>
      </c>
      <c r="K22" s="1091">
        <v>0</v>
      </c>
      <c r="L22" s="370">
        <v>0</v>
      </c>
      <c r="M22" s="371">
        <v>0</v>
      </c>
      <c r="N22" s="372">
        <v>0</v>
      </c>
      <c r="O22" s="370">
        <v>0</v>
      </c>
      <c r="P22" s="1163"/>
      <c r="Q22" s="958">
        <v>0</v>
      </c>
    </row>
    <row r="23" spans="1:17">
      <c r="B23" s="1374"/>
      <c r="C23" s="446" t="str">
        <f>'Livestock parameters'!A9</f>
        <v>Steers/heifers improved</v>
      </c>
      <c r="D23" s="369">
        <v>3</v>
      </c>
      <c r="E23" s="369">
        <v>0</v>
      </c>
      <c r="F23" s="918">
        <v>156</v>
      </c>
      <c r="G23" s="1088"/>
      <c r="H23" s="1086">
        <v>1</v>
      </c>
      <c r="I23" s="372">
        <v>0</v>
      </c>
      <c r="J23" s="372">
        <v>0</v>
      </c>
      <c r="K23" s="1091">
        <v>0</v>
      </c>
      <c r="L23" s="370">
        <v>0</v>
      </c>
      <c r="M23" s="371">
        <v>1</v>
      </c>
      <c r="N23" s="372">
        <v>0</v>
      </c>
      <c r="O23" s="370">
        <v>0</v>
      </c>
      <c r="P23" s="1163"/>
      <c r="Q23" s="958">
        <v>0.9</v>
      </c>
    </row>
    <row r="24" spans="1:17">
      <c r="B24" s="1374"/>
      <c r="C24" s="446" t="str">
        <f>'Livestock parameters'!A10</f>
        <v>Calves improved</v>
      </c>
      <c r="D24" s="369">
        <v>0</v>
      </c>
      <c r="E24" s="369">
        <v>0</v>
      </c>
      <c r="F24" s="918">
        <v>0</v>
      </c>
      <c r="G24" s="1088"/>
      <c r="H24" s="1086">
        <v>0</v>
      </c>
      <c r="I24" s="372">
        <v>0</v>
      </c>
      <c r="J24" s="372">
        <v>0</v>
      </c>
      <c r="K24" s="1091">
        <v>0</v>
      </c>
      <c r="L24" s="370">
        <v>0</v>
      </c>
      <c r="M24" s="371">
        <v>0</v>
      </c>
      <c r="N24" s="372">
        <v>0</v>
      </c>
      <c r="O24" s="370">
        <v>0</v>
      </c>
      <c r="P24" s="1163"/>
      <c r="Q24" s="958">
        <v>0</v>
      </c>
    </row>
    <row r="25" spans="1:17">
      <c r="B25" s="1374"/>
      <c r="C25" s="446" t="str">
        <f>'Livestock parameters'!A11</f>
        <v>Sheep</v>
      </c>
      <c r="D25" s="369">
        <v>0</v>
      </c>
      <c r="E25" s="369">
        <v>0</v>
      </c>
      <c r="F25" s="918">
        <v>0</v>
      </c>
      <c r="G25" s="1088"/>
      <c r="H25" s="1086">
        <v>0</v>
      </c>
      <c r="I25" s="372">
        <v>0</v>
      </c>
      <c r="J25" s="372">
        <v>0</v>
      </c>
      <c r="K25" s="1091">
        <v>0</v>
      </c>
      <c r="L25" s="370">
        <v>0</v>
      </c>
      <c r="M25" s="371">
        <v>0</v>
      </c>
      <c r="N25" s="372">
        <v>0</v>
      </c>
      <c r="O25" s="370">
        <v>0</v>
      </c>
      <c r="P25" s="1163"/>
      <c r="Q25" s="958">
        <v>0</v>
      </c>
    </row>
    <row r="26" spans="1:17" ht="16.5" thickBot="1">
      <c r="B26" s="1375"/>
      <c r="C26" s="884" t="str">
        <f>'Livestock parameters'!A12</f>
        <v>Goats</v>
      </c>
      <c r="D26" s="1164">
        <v>0</v>
      </c>
      <c r="E26" s="1164">
        <v>0</v>
      </c>
      <c r="F26" s="1165">
        <v>0</v>
      </c>
      <c r="G26" s="1089"/>
      <c r="H26" s="1166">
        <v>0</v>
      </c>
      <c r="I26" s="970">
        <v>0</v>
      </c>
      <c r="J26" s="970">
        <v>0</v>
      </c>
      <c r="K26" s="1167">
        <v>0</v>
      </c>
      <c r="L26" s="975">
        <v>0</v>
      </c>
      <c r="M26" s="1168">
        <v>0</v>
      </c>
      <c r="N26" s="970">
        <v>0</v>
      </c>
      <c r="O26" s="975">
        <v>0</v>
      </c>
      <c r="P26" s="1169"/>
      <c r="Q26" s="1170">
        <v>0</v>
      </c>
    </row>
    <row r="27" spans="1:17" ht="16.5" thickBot="1"/>
    <row r="28" spans="1:17" ht="46.5" customHeight="1">
      <c r="B28" s="1380" t="s">
        <v>1687</v>
      </c>
      <c r="C28" s="1171"/>
      <c r="D28" s="236" t="s">
        <v>1688</v>
      </c>
      <c r="E28" s="473"/>
      <c r="F28" s="473"/>
      <c r="G28" s="473"/>
      <c r="H28" s="473"/>
      <c r="I28" s="473"/>
      <c r="J28" s="473"/>
    </row>
    <row r="29" spans="1:17" ht="31.5" customHeight="1">
      <c r="A29" s="445"/>
      <c r="B29" s="1381"/>
      <c r="C29" s="13" t="s">
        <v>1079</v>
      </c>
      <c r="D29" s="1172" t="s">
        <v>470</v>
      </c>
      <c r="E29" s="889"/>
      <c r="F29" s="889"/>
      <c r="G29" s="889"/>
      <c r="H29" s="889"/>
      <c r="I29" s="889"/>
      <c r="J29" s="889"/>
    </row>
    <row r="30" spans="1:17">
      <c r="B30" s="1381"/>
      <c r="C30" s="13" t="s">
        <v>1080</v>
      </c>
      <c r="D30" s="1172" t="s">
        <v>129</v>
      </c>
      <c r="E30" s="889"/>
      <c r="F30" s="889"/>
      <c r="G30" s="889"/>
      <c r="H30" s="889"/>
      <c r="I30" s="889"/>
      <c r="J30" s="889"/>
    </row>
    <row r="31" spans="1:17" ht="32.25" customHeight="1" thickBot="1">
      <c r="B31" s="1382"/>
      <c r="C31" s="1173" t="s">
        <v>1081</v>
      </c>
      <c r="D31" s="1174" t="s">
        <v>466</v>
      </c>
      <c r="E31" s="889"/>
      <c r="F31" s="889"/>
      <c r="G31" s="889"/>
      <c r="H31" s="889"/>
      <c r="I31" s="889"/>
      <c r="J31" s="889"/>
    </row>
    <row r="32" spans="1:17" ht="16.5" thickBot="1">
      <c r="B32" s="722"/>
      <c r="C32" s="722"/>
      <c r="D32" s="722"/>
      <c r="E32" s="723"/>
    </row>
    <row r="33" spans="1:16" ht="15.75" customHeight="1">
      <c r="B33" s="1393" t="s">
        <v>1078</v>
      </c>
      <c r="C33" s="427"/>
      <c r="D33" s="447" t="s">
        <v>1083</v>
      </c>
    </row>
    <row r="34" spans="1:16">
      <c r="A34" s="724"/>
      <c r="B34" s="1394"/>
      <c r="C34" s="981" t="s">
        <v>136</v>
      </c>
      <c r="D34" s="726">
        <v>0</v>
      </c>
      <c r="E34" s="724"/>
    </row>
    <row r="35" spans="1:16" ht="30.75" customHeight="1">
      <c r="A35" s="724"/>
      <c r="B35" s="1394"/>
      <c r="C35" s="981" t="s">
        <v>1653</v>
      </c>
      <c r="D35" s="726">
        <v>0</v>
      </c>
      <c r="E35" s="724"/>
    </row>
    <row r="36" spans="1:16">
      <c r="A36" s="724"/>
      <c r="B36" s="1394"/>
      <c r="C36" s="725" t="s">
        <v>137</v>
      </c>
      <c r="D36" s="726">
        <v>4.66</v>
      </c>
      <c r="E36" s="724"/>
    </row>
    <row r="37" spans="1:16">
      <c r="A37" s="724"/>
      <c r="B37" s="1394"/>
      <c r="C37" s="725" t="s">
        <v>138</v>
      </c>
      <c r="D37" s="726">
        <v>0</v>
      </c>
      <c r="E37" s="724"/>
    </row>
    <row r="38" spans="1:16" ht="16.5" thickBot="1">
      <c r="A38" s="724"/>
      <c r="B38" s="1395"/>
      <c r="C38" s="727" t="s">
        <v>139</v>
      </c>
      <c r="D38" s="728">
        <v>0</v>
      </c>
      <c r="E38" s="724"/>
    </row>
    <row r="39" spans="1:16" ht="16.5" thickBot="1">
      <c r="A39" s="724"/>
      <c r="B39" s="723"/>
      <c r="C39" s="723"/>
      <c r="D39" s="729"/>
      <c r="E39" s="724"/>
      <c r="F39" s="449"/>
    </row>
    <row r="40" spans="1:16" ht="15" customHeight="1" thickBot="1">
      <c r="B40" s="72"/>
      <c r="C40" s="72"/>
      <c r="D40" s="868" t="s">
        <v>1407</v>
      </c>
      <c r="E40" s="438" t="s">
        <v>1503</v>
      </c>
      <c r="F40" s="449"/>
    </row>
    <row r="41" spans="1:16" ht="15.75" customHeight="1">
      <c r="B41" s="1390" t="s">
        <v>1502</v>
      </c>
      <c r="C41" s="450" t="s">
        <v>1554</v>
      </c>
      <c r="D41" s="368">
        <v>3</v>
      </c>
      <c r="E41" s="368">
        <v>3</v>
      </c>
      <c r="F41" s="480"/>
    </row>
    <row r="42" spans="1:16">
      <c r="B42" s="1391"/>
      <c r="C42" s="451" t="s">
        <v>1127</v>
      </c>
      <c r="D42" s="682">
        <v>3</v>
      </c>
      <c r="E42" s="682">
        <v>3</v>
      </c>
      <c r="F42" s="480"/>
    </row>
    <row r="43" spans="1:16">
      <c r="B43" s="1391"/>
      <c r="C43" s="451" t="s">
        <v>1128</v>
      </c>
      <c r="D43" s="682">
        <v>5</v>
      </c>
      <c r="E43" s="682">
        <v>5</v>
      </c>
      <c r="F43" s="480"/>
    </row>
    <row r="44" spans="1:16">
      <c r="B44" s="1391"/>
      <c r="C44" s="451" t="s">
        <v>1231</v>
      </c>
      <c r="D44" s="682">
        <v>2</v>
      </c>
      <c r="E44" s="682">
        <v>2</v>
      </c>
      <c r="F44" s="480"/>
    </row>
    <row r="45" spans="1:16" ht="16.5" thickBot="1">
      <c r="B45" s="1392"/>
      <c r="C45" s="452" t="s">
        <v>135</v>
      </c>
      <c r="D45" s="453">
        <f>(1-((100-D41)/100*(100-D42)/100*(100-D43)/100*(100-D44)/100))*100</f>
        <v>12.402209999999991</v>
      </c>
      <c r="E45" s="453">
        <f>(1-((100-E41)/100*(100-E42)/100*(100-E43)/100*(100-E44)/100))*100</f>
        <v>12.402209999999991</v>
      </c>
      <c r="F45" s="480"/>
    </row>
    <row r="46" spans="1:16">
      <c r="A46" s="724"/>
      <c r="B46" s="723"/>
      <c r="C46" s="723"/>
      <c r="D46" s="724"/>
      <c r="E46" s="729"/>
      <c r="F46" s="479"/>
      <c r="N46" s="321"/>
    </row>
    <row r="47" spans="1:16">
      <c r="B47" s="429" t="s">
        <v>1103</v>
      </c>
      <c r="C47" s="425"/>
      <c r="D47" s="425"/>
      <c r="E47" s="430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</row>
    <row r="48" spans="1:16" ht="16.5" thickBot="1">
      <c r="A48" s="724"/>
      <c r="B48" s="723"/>
      <c r="C48" s="723"/>
      <c r="D48" s="724"/>
      <c r="E48" s="729"/>
      <c r="F48" s="724"/>
      <c r="M48" s="12"/>
      <c r="N48" s="63"/>
    </row>
    <row r="49" spans="2:42" ht="32.25" thickBot="1">
      <c r="B49" s="455" t="s">
        <v>1099</v>
      </c>
      <c r="C49" s="996" t="s">
        <v>1093</v>
      </c>
      <c r="D49" s="1162">
        <f>(E10-E9)+ (E12-E11)</f>
        <v>222</v>
      </c>
      <c r="E49" s="321"/>
      <c r="M49" s="455" t="s">
        <v>1098</v>
      </c>
      <c r="N49" s="456" t="s">
        <v>1093</v>
      </c>
      <c r="O49" s="959">
        <f>365-(E10-E9)-(E12-E11)</f>
        <v>143</v>
      </c>
    </row>
    <row r="50" spans="2:42" ht="16.5" thickBot="1">
      <c r="B50" s="426"/>
      <c r="D50" s="938"/>
      <c r="E50" s="321"/>
      <c r="M50" s="938"/>
    </row>
    <row r="51" spans="2:42" ht="32.25" thickBot="1">
      <c r="B51" s="1318"/>
      <c r="C51" s="996" t="str">
        <f>C18</f>
        <v>Cows - local</v>
      </c>
      <c r="D51" s="996" t="str">
        <f>C19</f>
        <v>Cows - improved</v>
      </c>
      <c r="E51" s="996" t="str">
        <f>C20</f>
        <v>Adult cattle - male</v>
      </c>
      <c r="F51" s="996" t="str">
        <f>C21</f>
        <v>Steers/heifers</v>
      </c>
      <c r="G51" s="996" t="str">
        <f>C22</f>
        <v>Calves</v>
      </c>
      <c r="H51" s="996" t="str">
        <f>C23</f>
        <v>Steers/heifers improved</v>
      </c>
      <c r="I51" s="996" t="str">
        <f>C24</f>
        <v>Calves improved</v>
      </c>
      <c r="J51" s="996" t="str">
        <f>C25</f>
        <v>Sheep</v>
      </c>
      <c r="K51" s="997" t="str">
        <f>C26</f>
        <v>Goats</v>
      </c>
      <c r="L51" s="428"/>
      <c r="M51" s="1001" t="str">
        <f t="shared" ref="M51:U51" si="0">C51</f>
        <v>Cows - local</v>
      </c>
      <c r="N51" s="996" t="str">
        <f t="shared" si="0"/>
        <v>Cows - improved</v>
      </c>
      <c r="O51" s="996" t="str">
        <f t="shared" si="0"/>
        <v>Adult cattle - male</v>
      </c>
      <c r="P51" s="996" t="str">
        <f t="shared" si="0"/>
        <v>Steers/heifers</v>
      </c>
      <c r="Q51" s="996" t="str">
        <f t="shared" si="0"/>
        <v>Calves</v>
      </c>
      <c r="R51" s="996" t="str">
        <f t="shared" si="0"/>
        <v>Steers/heifers improved</v>
      </c>
      <c r="S51" s="996" t="str">
        <f t="shared" si="0"/>
        <v>Calves improved</v>
      </c>
      <c r="T51" s="996" t="str">
        <f t="shared" si="0"/>
        <v>Sheep</v>
      </c>
      <c r="U51" s="997" t="str">
        <f t="shared" si="0"/>
        <v>Goats</v>
      </c>
      <c r="V51" s="428"/>
      <c r="W51" s="428"/>
      <c r="X51" s="428"/>
      <c r="AB51" s="960"/>
      <c r="AC51" s="960"/>
      <c r="AD51" s="960"/>
    </row>
    <row r="52" spans="2:42" ht="34.5" customHeight="1">
      <c r="B52" s="993" t="s">
        <v>1706</v>
      </c>
      <c r="C52" s="994">
        <v>0</v>
      </c>
      <c r="D52" s="994">
        <v>0.05</v>
      </c>
      <c r="E52" s="994">
        <v>0</v>
      </c>
      <c r="F52" s="994">
        <v>0</v>
      </c>
      <c r="G52" s="994">
        <v>0</v>
      </c>
      <c r="H52" s="994">
        <v>0.05</v>
      </c>
      <c r="I52" s="994">
        <v>0</v>
      </c>
      <c r="J52" s="994">
        <v>0</v>
      </c>
      <c r="K52" s="995">
        <v>0</v>
      </c>
      <c r="L52" s="957"/>
      <c r="M52" s="1000">
        <v>0</v>
      </c>
      <c r="N52" s="994">
        <v>0.08</v>
      </c>
      <c r="O52" s="994">
        <v>0</v>
      </c>
      <c r="P52" s="994">
        <v>0</v>
      </c>
      <c r="Q52" s="994">
        <v>0</v>
      </c>
      <c r="R52" s="994">
        <v>0.08</v>
      </c>
      <c r="S52" s="994">
        <v>0</v>
      </c>
      <c r="T52" s="994">
        <v>0</v>
      </c>
      <c r="U52" s="995">
        <v>0</v>
      </c>
      <c r="V52" s="957"/>
      <c r="W52" s="957"/>
      <c r="X52" s="957"/>
    </row>
    <row r="53" spans="2:42" ht="34.5" customHeight="1">
      <c r="B53" s="993" t="s">
        <v>1584</v>
      </c>
      <c r="C53" s="373">
        <v>0</v>
      </c>
      <c r="D53" s="373">
        <v>0.36</v>
      </c>
      <c r="E53" s="373">
        <v>0</v>
      </c>
      <c r="F53" s="373">
        <v>0</v>
      </c>
      <c r="G53" s="373">
        <v>0</v>
      </c>
      <c r="H53" s="373">
        <v>0.36</v>
      </c>
      <c r="I53" s="373">
        <v>0</v>
      </c>
      <c r="J53" s="373">
        <v>0</v>
      </c>
      <c r="K53" s="990">
        <v>0</v>
      </c>
      <c r="L53" s="957"/>
      <c r="M53" s="998">
        <v>0</v>
      </c>
      <c r="N53" s="373">
        <v>0.2</v>
      </c>
      <c r="O53" s="373">
        <v>0</v>
      </c>
      <c r="P53" s="373">
        <v>0</v>
      </c>
      <c r="Q53" s="373">
        <v>0</v>
      </c>
      <c r="R53" s="373">
        <v>0.2</v>
      </c>
      <c r="S53" s="373">
        <v>0</v>
      </c>
      <c r="T53" s="373">
        <v>0</v>
      </c>
      <c r="U53" s="990">
        <v>0</v>
      </c>
      <c r="V53" s="957"/>
      <c r="W53" s="957"/>
      <c r="X53" s="957"/>
    </row>
    <row r="54" spans="2:42" ht="34.5" customHeight="1">
      <c r="B54" s="993" t="s">
        <v>1717</v>
      </c>
      <c r="C54" s="373">
        <v>0</v>
      </c>
      <c r="D54" s="373">
        <v>0.02</v>
      </c>
      <c r="E54" s="373">
        <v>0</v>
      </c>
      <c r="F54" s="373">
        <v>0</v>
      </c>
      <c r="G54" s="373">
        <v>0</v>
      </c>
      <c r="H54" s="373">
        <v>0.02</v>
      </c>
      <c r="I54" s="373">
        <v>0</v>
      </c>
      <c r="J54" s="373">
        <v>0</v>
      </c>
      <c r="K54" s="990">
        <v>0</v>
      </c>
      <c r="L54" s="957"/>
      <c r="M54" s="998">
        <v>0</v>
      </c>
      <c r="N54" s="373">
        <v>0.15</v>
      </c>
      <c r="O54" s="373">
        <v>0</v>
      </c>
      <c r="P54" s="373">
        <v>0</v>
      </c>
      <c r="Q54" s="373">
        <v>0</v>
      </c>
      <c r="R54" s="373">
        <v>0.15</v>
      </c>
      <c r="S54" s="373">
        <v>0</v>
      </c>
      <c r="T54" s="373">
        <v>0</v>
      </c>
      <c r="U54" s="990">
        <v>0</v>
      </c>
      <c r="V54" s="957"/>
      <c r="W54" s="957"/>
      <c r="X54" s="957"/>
    </row>
    <row r="55" spans="2:42" ht="34.5" customHeight="1">
      <c r="B55" s="993" t="s">
        <v>1755</v>
      </c>
      <c r="C55" s="373">
        <v>0</v>
      </c>
      <c r="D55" s="373">
        <v>0.05</v>
      </c>
      <c r="E55" s="373">
        <v>0</v>
      </c>
      <c r="F55" s="373">
        <v>0</v>
      </c>
      <c r="G55" s="373">
        <v>0</v>
      </c>
      <c r="H55" s="373">
        <v>0.05</v>
      </c>
      <c r="I55" s="373">
        <v>0</v>
      </c>
      <c r="J55" s="373">
        <v>0</v>
      </c>
      <c r="K55" s="990">
        <v>0</v>
      </c>
      <c r="L55" s="957"/>
      <c r="M55" s="998">
        <v>0</v>
      </c>
      <c r="N55" s="373">
        <v>0.3</v>
      </c>
      <c r="O55" s="373">
        <v>0</v>
      </c>
      <c r="P55" s="373">
        <v>0</v>
      </c>
      <c r="Q55" s="373">
        <v>0</v>
      </c>
      <c r="R55" s="373">
        <v>0.3</v>
      </c>
      <c r="S55" s="373">
        <v>0</v>
      </c>
      <c r="T55" s="373">
        <v>0</v>
      </c>
      <c r="U55" s="990">
        <v>0</v>
      </c>
      <c r="V55" s="957"/>
      <c r="W55" s="957"/>
      <c r="X55" s="957"/>
    </row>
    <row r="56" spans="2:42" ht="34.5" customHeight="1">
      <c r="B56" s="993" t="s">
        <v>1723</v>
      </c>
      <c r="C56" s="373">
        <v>0</v>
      </c>
      <c r="D56" s="373">
        <v>0.37</v>
      </c>
      <c r="E56" s="373">
        <v>0</v>
      </c>
      <c r="F56" s="373">
        <v>0</v>
      </c>
      <c r="G56" s="373">
        <v>0</v>
      </c>
      <c r="H56" s="373">
        <v>0.37</v>
      </c>
      <c r="I56" s="373">
        <v>0</v>
      </c>
      <c r="J56" s="373">
        <v>0</v>
      </c>
      <c r="K56" s="990">
        <v>0</v>
      </c>
      <c r="L56" s="957"/>
      <c r="M56" s="998">
        <v>0</v>
      </c>
      <c r="N56" s="373">
        <v>0.19</v>
      </c>
      <c r="O56" s="373">
        <v>0</v>
      </c>
      <c r="P56" s="373">
        <v>0</v>
      </c>
      <c r="Q56" s="373">
        <v>0</v>
      </c>
      <c r="R56" s="373">
        <v>0.19</v>
      </c>
      <c r="S56" s="373">
        <v>0</v>
      </c>
      <c r="T56" s="373">
        <v>0</v>
      </c>
      <c r="U56" s="990">
        <v>0</v>
      </c>
      <c r="V56" s="957"/>
      <c r="W56" s="957"/>
      <c r="X56" s="957"/>
    </row>
    <row r="57" spans="2:42" ht="34.5" customHeight="1">
      <c r="B57" s="993" t="s">
        <v>1719</v>
      </c>
      <c r="C57" s="373">
        <v>0</v>
      </c>
      <c r="D57" s="373">
        <v>0.15</v>
      </c>
      <c r="E57" s="373">
        <v>0</v>
      </c>
      <c r="F57" s="373">
        <v>0</v>
      </c>
      <c r="G57" s="373">
        <v>0</v>
      </c>
      <c r="H57" s="373">
        <v>0.15</v>
      </c>
      <c r="I57" s="373">
        <v>0</v>
      </c>
      <c r="J57" s="373">
        <v>0</v>
      </c>
      <c r="K57" s="990">
        <v>0</v>
      </c>
      <c r="L57" s="957"/>
      <c r="M57" s="998">
        <v>0</v>
      </c>
      <c r="N57" s="373">
        <v>0.08</v>
      </c>
      <c r="O57" s="373">
        <v>0</v>
      </c>
      <c r="P57" s="373">
        <v>0</v>
      </c>
      <c r="Q57" s="373">
        <v>0</v>
      </c>
      <c r="R57" s="373">
        <v>0.08</v>
      </c>
      <c r="S57" s="373">
        <v>0</v>
      </c>
      <c r="T57" s="373">
        <v>0</v>
      </c>
      <c r="U57" s="990">
        <v>0</v>
      </c>
      <c r="V57" s="957"/>
      <c r="W57" s="957"/>
      <c r="X57" s="957"/>
    </row>
    <row r="58" spans="2:42" ht="34.5" customHeight="1" thickBot="1">
      <c r="B58" s="993" t="s">
        <v>1187</v>
      </c>
      <c r="C58" s="991">
        <v>0</v>
      </c>
      <c r="D58" s="991">
        <v>0</v>
      </c>
      <c r="E58" s="991">
        <v>0</v>
      </c>
      <c r="F58" s="991">
        <v>0</v>
      </c>
      <c r="G58" s="991">
        <v>0</v>
      </c>
      <c r="H58" s="991">
        <v>0</v>
      </c>
      <c r="I58" s="991">
        <v>0</v>
      </c>
      <c r="J58" s="991">
        <v>0</v>
      </c>
      <c r="K58" s="992">
        <v>0</v>
      </c>
      <c r="L58" s="957"/>
      <c r="M58" s="999">
        <v>0</v>
      </c>
      <c r="N58" s="991">
        <v>0</v>
      </c>
      <c r="O58" s="991">
        <v>0</v>
      </c>
      <c r="P58" s="991">
        <v>0</v>
      </c>
      <c r="Q58" s="991">
        <v>0</v>
      </c>
      <c r="R58" s="991">
        <v>0</v>
      </c>
      <c r="S58" s="991">
        <v>0</v>
      </c>
      <c r="T58" s="991">
        <v>0</v>
      </c>
      <c r="U58" s="992">
        <v>0</v>
      </c>
      <c r="V58" s="957"/>
      <c r="W58" s="957"/>
      <c r="X58" s="957"/>
      <c r="AB58" s="957"/>
      <c r="AC58" s="957"/>
      <c r="AD58" s="957"/>
      <c r="AE58" s="957"/>
      <c r="AF58" s="957"/>
      <c r="AG58" s="957"/>
      <c r="AH58" s="957"/>
    </row>
    <row r="59" spans="2:42">
      <c r="B59" s="426"/>
      <c r="C59" s="980">
        <f>SUM(C52:C58)</f>
        <v>0</v>
      </c>
      <c r="D59" s="980">
        <f t="shared" ref="D59:K59" si="1">SUM(D52:D58)</f>
        <v>1</v>
      </c>
      <c r="E59" s="980">
        <f t="shared" si="1"/>
        <v>0</v>
      </c>
      <c r="F59" s="980">
        <f t="shared" si="1"/>
        <v>0</v>
      </c>
      <c r="G59" s="980">
        <f t="shared" si="1"/>
        <v>0</v>
      </c>
      <c r="H59" s="980">
        <f t="shared" si="1"/>
        <v>1</v>
      </c>
      <c r="I59" s="980">
        <f t="shared" si="1"/>
        <v>0</v>
      </c>
      <c r="J59" s="980">
        <f t="shared" si="1"/>
        <v>0</v>
      </c>
      <c r="K59" s="980">
        <f t="shared" si="1"/>
        <v>0</v>
      </c>
      <c r="L59" s="980"/>
      <c r="M59" s="980">
        <f t="shared" ref="M59:U59" si="2">SUM(M52:M58)</f>
        <v>0</v>
      </c>
      <c r="N59" s="980">
        <f t="shared" si="2"/>
        <v>0.99999999999999989</v>
      </c>
      <c r="O59" s="980">
        <f t="shared" si="2"/>
        <v>0</v>
      </c>
      <c r="P59" s="980">
        <f t="shared" si="2"/>
        <v>0</v>
      </c>
      <c r="Q59" s="980">
        <f t="shared" si="2"/>
        <v>0</v>
      </c>
      <c r="R59" s="980">
        <f t="shared" si="2"/>
        <v>0.99999999999999989</v>
      </c>
      <c r="S59" s="980">
        <f t="shared" si="2"/>
        <v>0</v>
      </c>
      <c r="T59" s="980">
        <f t="shared" si="2"/>
        <v>0</v>
      </c>
      <c r="U59" s="980">
        <f t="shared" si="2"/>
        <v>0</v>
      </c>
      <c r="V59" s="980"/>
      <c r="W59" s="980"/>
      <c r="X59" s="980"/>
    </row>
    <row r="60" spans="2:42">
      <c r="B60" s="426"/>
      <c r="C60" s="426"/>
      <c r="M60" s="12"/>
      <c r="N60" s="12"/>
      <c r="Q60" s="428"/>
      <c r="T60" s="321"/>
      <c r="V60" s="457"/>
      <c r="W60" s="428"/>
      <c r="Y60" s="457"/>
      <c r="Z60" s="457"/>
      <c r="AA60" s="461" t="s">
        <v>807</v>
      </c>
      <c r="AB60" s="463"/>
      <c r="AC60" s="956"/>
    </row>
    <row r="61" spans="2:42" hidden="1">
      <c r="B61" s="426"/>
      <c r="C61" s="426"/>
      <c r="M61" s="12"/>
      <c r="N61" s="12"/>
      <c r="Q61" s="428"/>
      <c r="T61" s="457"/>
      <c r="U61" s="428"/>
      <c r="V61" s="459"/>
      <c r="W61" s="457"/>
      <c r="X61" s="428"/>
      <c r="Z61" s="459"/>
      <c r="AA61" s="461" t="s">
        <v>807</v>
      </c>
      <c r="AB61" s="463"/>
      <c r="AC61" s="956"/>
      <c r="AE61" s="428"/>
      <c r="AF61" s="428"/>
      <c r="AG61" s="428"/>
    </row>
    <row r="62" spans="2:42" hidden="1">
      <c r="B62" s="426"/>
      <c r="C62" s="426"/>
      <c r="M62" s="12"/>
      <c r="N62" s="12"/>
      <c r="Q62" s="428"/>
      <c r="U62" s="457"/>
      <c r="V62" s="459"/>
      <c r="W62" s="459"/>
      <c r="X62" s="457"/>
      <c r="Y62" s="428"/>
      <c r="Z62" s="459"/>
      <c r="AA62" s="461" t="s">
        <v>807</v>
      </c>
      <c r="AB62" s="463"/>
      <c r="AC62" s="956"/>
      <c r="AP62" s="428"/>
    </row>
    <row r="63" spans="2:42" hidden="1">
      <c r="B63" s="426"/>
      <c r="C63" s="426"/>
      <c r="M63" s="12"/>
      <c r="N63" s="12"/>
      <c r="Q63" s="428"/>
      <c r="T63" s="428"/>
      <c r="U63" s="459"/>
      <c r="V63" s="459"/>
      <c r="W63" s="459"/>
      <c r="X63" s="459"/>
      <c r="Y63" s="457"/>
      <c r="Z63" s="459"/>
      <c r="AA63" s="461" t="s">
        <v>807</v>
      </c>
      <c r="AB63" s="956"/>
      <c r="AC63" s="956"/>
      <c r="AP63" s="428"/>
    </row>
    <row r="64" spans="2:42" hidden="1">
      <c r="B64" s="426"/>
      <c r="C64" s="426"/>
      <c r="M64" s="12"/>
      <c r="N64" s="12"/>
      <c r="Q64" s="428"/>
      <c r="T64" s="457"/>
      <c r="U64" s="459"/>
      <c r="V64" s="459"/>
      <c r="W64" s="459"/>
      <c r="X64" s="459"/>
      <c r="Y64" s="459"/>
      <c r="Z64" s="459"/>
      <c r="AA64" s="461" t="s">
        <v>807</v>
      </c>
      <c r="AB64" s="956"/>
      <c r="AC64" s="956"/>
      <c r="AD64" s="428"/>
      <c r="AH64" s="428"/>
      <c r="AP64" s="428"/>
    </row>
    <row r="65" spans="1:165" hidden="1">
      <c r="B65" s="426"/>
      <c r="C65" s="426"/>
      <c r="M65" s="12"/>
      <c r="N65" s="12"/>
      <c r="Q65" s="428"/>
      <c r="T65" s="459"/>
      <c r="U65" s="459"/>
      <c r="V65" s="459"/>
      <c r="W65" s="459"/>
      <c r="X65" s="459"/>
      <c r="Y65" s="459"/>
      <c r="Z65" s="459"/>
      <c r="AA65" s="460" t="s">
        <v>807</v>
      </c>
      <c r="AB65" s="956"/>
      <c r="AC65" s="956"/>
      <c r="AP65" s="428"/>
    </row>
    <row r="66" spans="1:165">
      <c r="B66" s="426"/>
      <c r="C66" s="426"/>
      <c r="M66" s="12"/>
      <c r="N66" s="12"/>
      <c r="Q66" s="428"/>
      <c r="T66" s="459"/>
      <c r="U66" s="459"/>
      <c r="V66" s="459"/>
      <c r="W66" s="459"/>
      <c r="X66" s="459"/>
      <c r="Y66" s="459"/>
      <c r="Z66" s="459"/>
      <c r="AA66" s="729"/>
      <c r="AB66" s="956"/>
      <c r="AP66" s="428"/>
    </row>
    <row r="67" spans="1:165">
      <c r="B67" s="429" t="s">
        <v>1145</v>
      </c>
      <c r="C67" s="425"/>
      <c r="D67" s="425"/>
      <c r="E67" s="425"/>
      <c r="F67" s="425"/>
      <c r="G67" s="425"/>
      <c r="H67" s="425"/>
      <c r="I67" s="425"/>
      <c r="J67" s="457"/>
      <c r="K67" s="457"/>
      <c r="L67" s="457"/>
      <c r="M67" s="457"/>
      <c r="N67" s="457"/>
      <c r="O67" s="457"/>
      <c r="P67" s="457"/>
      <c r="Q67" s="457"/>
      <c r="R67" s="457"/>
      <c r="S67" s="457"/>
      <c r="T67" s="459"/>
      <c r="U67" s="459"/>
      <c r="V67" s="459"/>
      <c r="W67" s="459"/>
      <c r="X67" s="459"/>
      <c r="Y67" s="459"/>
      <c r="Z67" s="459"/>
      <c r="AA67" s="729"/>
      <c r="AB67" s="956"/>
      <c r="AC67" s="428"/>
      <c r="AP67" s="428"/>
      <c r="BC67" s="428"/>
    </row>
    <row r="68" spans="1:165" ht="16.5" thickBot="1">
      <c r="B68" s="118"/>
      <c r="C68" s="426"/>
      <c r="E68" s="321"/>
      <c r="T68" s="459"/>
      <c r="U68" s="459"/>
      <c r="V68" s="459"/>
      <c r="W68" s="459"/>
      <c r="X68" s="459"/>
      <c r="Y68" s="459"/>
      <c r="Z68" s="459"/>
      <c r="AA68" s="729"/>
      <c r="AB68" s="956"/>
      <c r="AP68" s="428"/>
    </row>
    <row r="69" spans="1:165" ht="32.25" thickBot="1">
      <c r="A69" s="428"/>
      <c r="B69" s="893"/>
      <c r="C69" s="962" t="s">
        <v>1091</v>
      </c>
      <c r="D69" s="963" t="s">
        <v>1093</v>
      </c>
      <c r="E69" s="438">
        <f>E11-E9</f>
        <v>270</v>
      </c>
      <c r="F69" s="454"/>
      <c r="G69" s="964"/>
      <c r="H69" s="454"/>
      <c r="I69" s="962" t="s">
        <v>1092</v>
      </c>
      <c r="J69" s="963" t="s">
        <v>1093</v>
      </c>
      <c r="K69" s="438">
        <f>365-E69</f>
        <v>95</v>
      </c>
      <c r="L69" s="428"/>
      <c r="M69" s="428"/>
      <c r="N69" s="428"/>
      <c r="O69" s="428"/>
      <c r="P69" s="428"/>
      <c r="Q69" s="428"/>
      <c r="R69" s="428"/>
      <c r="S69" s="428"/>
      <c r="T69" s="459"/>
      <c r="U69" s="459"/>
      <c r="V69" s="729"/>
      <c r="W69" s="459"/>
      <c r="X69" s="459"/>
      <c r="Y69" s="459"/>
      <c r="Z69" s="729"/>
      <c r="AA69" s="729"/>
    </row>
    <row r="70" spans="1:165" ht="16.5" thickBot="1">
      <c r="C70" s="426"/>
      <c r="E70" s="321"/>
      <c r="J70" s="457"/>
      <c r="K70" s="457"/>
      <c r="L70" s="457"/>
      <c r="M70" s="457"/>
      <c r="N70" s="457"/>
      <c r="O70" s="457"/>
      <c r="P70" s="457"/>
      <c r="Q70" s="457"/>
      <c r="R70" s="457"/>
      <c r="S70" s="457"/>
      <c r="T70" s="459"/>
      <c r="U70" s="459"/>
      <c r="V70" s="729"/>
      <c r="W70" s="729"/>
      <c r="X70" s="459"/>
      <c r="Y70" s="459"/>
      <c r="Z70" s="729"/>
      <c r="AA70" s="729"/>
      <c r="AB70" s="428"/>
      <c r="AO70" s="428"/>
    </row>
    <row r="71" spans="1:165" ht="31.5">
      <c r="B71" s="1386" t="s">
        <v>1686</v>
      </c>
      <c r="C71" s="442" t="s">
        <v>1123</v>
      </c>
      <c r="D71" s="458" t="s">
        <v>1124</v>
      </c>
      <c r="E71" s="458" t="s">
        <v>642</v>
      </c>
      <c r="F71" s="458" t="s">
        <v>1334</v>
      </c>
      <c r="G71" s="458" t="s">
        <v>1250</v>
      </c>
      <c r="H71" s="1110"/>
      <c r="I71" s="427" t="s">
        <v>881</v>
      </c>
      <c r="J71" s="427" t="s">
        <v>850</v>
      </c>
      <c r="K71" s="443" t="s">
        <v>1003</v>
      </c>
      <c r="L71" s="459"/>
      <c r="M71" s="459"/>
      <c r="N71" s="459"/>
      <c r="O71" s="459"/>
      <c r="P71" s="459"/>
      <c r="Q71" s="459"/>
      <c r="R71" s="459"/>
      <c r="S71" s="459"/>
      <c r="T71" s="459"/>
      <c r="U71" s="729"/>
      <c r="V71" s="729"/>
      <c r="W71" s="729"/>
      <c r="X71" s="729"/>
      <c r="Y71" s="459"/>
      <c r="Z71" s="729"/>
      <c r="AA71" s="729"/>
      <c r="AO71" s="428"/>
    </row>
    <row r="72" spans="1:165" s="466" customFormat="1" ht="15.75" customHeight="1">
      <c r="A72" s="462"/>
      <c r="B72" s="1387"/>
      <c r="C72" s="967" t="str">
        <f>B52</f>
        <v>Concentrate (commercial)</v>
      </c>
      <c r="D72" s="619" t="str">
        <f>VLOOKUP(C72,FEED_P[],9,FALSE)</f>
        <v>Purchased</v>
      </c>
      <c r="E72" s="730" t="s">
        <v>1149</v>
      </c>
      <c r="F72" s="372">
        <v>0</v>
      </c>
      <c r="G72" s="730">
        <v>0</v>
      </c>
      <c r="H72" s="1111"/>
      <c r="I72" s="731" t="s">
        <v>887</v>
      </c>
      <c r="J72" s="1304" t="s">
        <v>995</v>
      </c>
      <c r="K72" s="733">
        <v>30</v>
      </c>
      <c r="L72" s="459"/>
      <c r="M72" s="459"/>
      <c r="N72" s="459"/>
      <c r="O72" s="459"/>
      <c r="P72" s="459"/>
      <c r="Q72" s="459"/>
      <c r="R72" s="459"/>
      <c r="S72" s="459"/>
      <c r="T72" s="459"/>
      <c r="U72" s="729"/>
      <c r="V72" s="729"/>
      <c r="W72" s="729"/>
      <c r="X72" s="729"/>
      <c r="Y72" s="729"/>
      <c r="Z72" s="729"/>
      <c r="AA72" s="426"/>
      <c r="AB72" s="426"/>
      <c r="AC72" s="426"/>
      <c r="AD72" s="426"/>
      <c r="AE72" s="426"/>
      <c r="AF72" s="426"/>
      <c r="AG72" s="426"/>
      <c r="AH72" s="426"/>
      <c r="AI72" s="426"/>
      <c r="AJ72" s="426"/>
      <c r="AK72" s="426"/>
      <c r="AL72" s="426"/>
      <c r="AM72" s="426"/>
      <c r="AN72" s="426"/>
      <c r="AO72" s="428"/>
      <c r="AP72" s="426"/>
      <c r="AQ72" s="426"/>
      <c r="AR72" s="426"/>
      <c r="AS72" s="426"/>
      <c r="AT72" s="426"/>
      <c r="AU72" s="426"/>
      <c r="AV72" s="426"/>
      <c r="AW72" s="426"/>
      <c r="AX72" s="426"/>
      <c r="AY72" s="426"/>
      <c r="AZ72" s="426"/>
      <c r="BA72" s="426"/>
      <c r="BB72" s="426"/>
      <c r="BC72" s="426"/>
      <c r="BD72" s="426"/>
      <c r="BE72" s="426"/>
      <c r="BF72" s="426"/>
      <c r="BG72" s="426"/>
      <c r="BH72" s="426"/>
      <c r="BI72" s="426"/>
      <c r="BJ72" s="426"/>
      <c r="BK72" s="426"/>
      <c r="BL72" s="426"/>
      <c r="BM72" s="426"/>
      <c r="BN72" s="426"/>
      <c r="BO72" s="426"/>
      <c r="BP72" s="426"/>
      <c r="BQ72" s="426"/>
      <c r="BR72" s="426"/>
      <c r="BS72" s="426"/>
      <c r="BT72" s="426"/>
      <c r="BU72" s="426"/>
      <c r="BV72" s="426"/>
      <c r="BW72" s="426"/>
      <c r="BX72" s="426"/>
      <c r="BY72" s="426"/>
      <c r="BZ72" s="426"/>
      <c r="CA72" s="426"/>
      <c r="CB72" s="426"/>
      <c r="CC72" s="426"/>
      <c r="CD72" s="426"/>
      <c r="CE72" s="426"/>
      <c r="CF72" s="426"/>
      <c r="CG72" s="426"/>
      <c r="CH72" s="426"/>
      <c r="CI72" s="426"/>
      <c r="CJ72" s="426"/>
      <c r="CK72" s="426"/>
      <c r="CL72" s="426"/>
      <c r="CM72" s="426"/>
      <c r="CN72" s="426"/>
      <c r="CO72" s="426"/>
      <c r="CP72" s="426"/>
      <c r="CQ72" s="426"/>
      <c r="CR72" s="426"/>
      <c r="CS72" s="426"/>
      <c r="CT72" s="426"/>
      <c r="CU72" s="426"/>
      <c r="CV72" s="426"/>
      <c r="CW72" s="426"/>
      <c r="CX72" s="426"/>
      <c r="CY72" s="426"/>
      <c r="CZ72" s="426"/>
      <c r="DA72" s="426"/>
      <c r="DB72" s="426"/>
      <c r="DC72" s="426"/>
      <c r="DD72" s="426"/>
      <c r="DE72" s="426"/>
      <c r="DF72" s="426"/>
      <c r="DG72" s="426"/>
      <c r="DH72" s="426"/>
      <c r="DI72" s="426"/>
      <c r="DJ72" s="426"/>
      <c r="DK72" s="426"/>
      <c r="DL72" s="426"/>
      <c r="DM72" s="426"/>
      <c r="DN72" s="426"/>
      <c r="DO72" s="426"/>
      <c r="DP72" s="426"/>
      <c r="DQ72" s="426"/>
      <c r="DR72" s="426"/>
      <c r="DS72" s="426"/>
      <c r="DT72" s="426"/>
      <c r="DU72" s="426"/>
      <c r="DV72" s="426"/>
      <c r="DW72" s="426"/>
      <c r="DX72" s="426"/>
      <c r="DY72" s="426"/>
      <c r="DZ72" s="426"/>
      <c r="EA72" s="426"/>
      <c r="EB72" s="426"/>
      <c r="EC72" s="426"/>
      <c r="ED72" s="426"/>
      <c r="EE72" s="426"/>
      <c r="EF72" s="426"/>
      <c r="EG72" s="426"/>
      <c r="EH72" s="426"/>
      <c r="EI72" s="426"/>
      <c r="EJ72" s="426"/>
      <c r="EK72" s="426"/>
      <c r="EL72" s="426"/>
      <c r="EM72" s="426"/>
      <c r="EN72" s="426"/>
      <c r="EO72" s="426"/>
      <c r="EP72" s="426"/>
      <c r="EQ72" s="426"/>
      <c r="ER72" s="426"/>
      <c r="ES72" s="426"/>
      <c r="ET72" s="426"/>
      <c r="EU72" s="426"/>
      <c r="EV72" s="426"/>
      <c r="EW72" s="426"/>
      <c r="EX72" s="426"/>
      <c r="EY72" s="426"/>
      <c r="EZ72" s="426"/>
      <c r="FA72" s="426"/>
      <c r="FB72" s="426"/>
      <c r="FC72" s="426"/>
      <c r="FD72" s="426"/>
      <c r="FE72" s="426"/>
      <c r="FF72" s="426"/>
      <c r="FG72" s="426"/>
      <c r="FH72" s="426"/>
      <c r="FI72" s="426"/>
    </row>
    <row r="73" spans="1:165" s="466" customFormat="1" ht="15.75" customHeight="1">
      <c r="A73" s="724"/>
      <c r="B73" s="1387"/>
      <c r="C73" s="967" t="str">
        <f t="shared" ref="C73:C78" si="3">B53</f>
        <v xml:space="preserve">Naturally occuring pasture - green fodder </v>
      </c>
      <c r="D73" s="619" t="str">
        <f>VLOOKUP(C73,FEED_P[],9,FALSE)</f>
        <v>Natural pasture</v>
      </c>
      <c r="E73" s="730" t="s">
        <v>1130</v>
      </c>
      <c r="F73" s="372">
        <v>0</v>
      </c>
      <c r="G73" s="730">
        <v>0</v>
      </c>
      <c r="H73" s="1111"/>
      <c r="I73" s="731" t="s">
        <v>889</v>
      </c>
      <c r="J73" s="732" t="s">
        <v>995</v>
      </c>
      <c r="K73" s="733">
        <v>30</v>
      </c>
      <c r="L73" s="459"/>
      <c r="M73" s="459"/>
      <c r="N73" s="459"/>
      <c r="O73" s="459"/>
      <c r="P73" s="459"/>
      <c r="Q73" s="459"/>
      <c r="R73" s="459"/>
      <c r="S73" s="459"/>
      <c r="T73" s="729"/>
      <c r="U73" s="729"/>
      <c r="V73" s="729"/>
      <c r="W73" s="729"/>
      <c r="X73" s="729"/>
      <c r="Y73" s="729"/>
      <c r="Z73" s="729"/>
      <c r="AA73" s="470"/>
      <c r="AB73" s="426"/>
      <c r="AC73" s="426"/>
      <c r="AD73" s="426"/>
      <c r="AE73" s="426"/>
      <c r="AF73" s="426"/>
      <c r="AG73" s="426"/>
      <c r="AH73" s="426"/>
      <c r="AI73" s="426"/>
      <c r="AJ73" s="426"/>
      <c r="AK73" s="426"/>
      <c r="AL73" s="426"/>
      <c r="AM73" s="426"/>
      <c r="AN73" s="426"/>
      <c r="AO73" s="428"/>
      <c r="AP73" s="426"/>
      <c r="AQ73" s="426"/>
      <c r="AR73" s="426"/>
      <c r="AS73" s="426"/>
      <c r="AT73" s="426"/>
      <c r="AU73" s="426"/>
      <c r="AV73" s="426"/>
      <c r="AW73" s="426"/>
      <c r="AX73" s="426"/>
      <c r="AY73" s="426"/>
      <c r="AZ73" s="426"/>
      <c r="BA73" s="426"/>
      <c r="BB73" s="426"/>
      <c r="BC73" s="426"/>
      <c r="BD73" s="426"/>
      <c r="BE73" s="426"/>
      <c r="BF73" s="426"/>
      <c r="BG73" s="426"/>
      <c r="BH73" s="426"/>
      <c r="BI73" s="426"/>
      <c r="BJ73" s="426"/>
      <c r="BK73" s="426"/>
      <c r="BL73" s="426"/>
      <c r="BM73" s="426"/>
      <c r="BN73" s="426"/>
      <c r="BO73" s="426"/>
      <c r="BP73" s="426"/>
      <c r="BQ73" s="426"/>
      <c r="BR73" s="426"/>
      <c r="BS73" s="426"/>
      <c r="BT73" s="426"/>
      <c r="BU73" s="426"/>
      <c r="BV73" s="426"/>
      <c r="BW73" s="426"/>
      <c r="BX73" s="426"/>
      <c r="BY73" s="426"/>
      <c r="BZ73" s="426"/>
      <c r="CA73" s="426"/>
      <c r="CB73" s="426"/>
      <c r="CC73" s="426"/>
      <c r="CD73" s="426"/>
      <c r="CE73" s="426"/>
      <c r="CF73" s="426"/>
      <c r="CG73" s="426"/>
      <c r="CH73" s="426"/>
      <c r="CI73" s="426"/>
      <c r="CJ73" s="426"/>
      <c r="CK73" s="426"/>
      <c r="CL73" s="426"/>
      <c r="CM73" s="426"/>
      <c r="CN73" s="426"/>
      <c r="CO73" s="426"/>
      <c r="CP73" s="426"/>
      <c r="CQ73" s="426"/>
      <c r="CR73" s="426"/>
      <c r="CS73" s="426"/>
      <c r="CT73" s="426"/>
      <c r="CU73" s="426"/>
      <c r="CV73" s="426"/>
      <c r="CW73" s="426"/>
      <c r="CX73" s="426"/>
      <c r="CY73" s="426"/>
      <c r="CZ73" s="426"/>
      <c r="DA73" s="426"/>
      <c r="DB73" s="426"/>
      <c r="DC73" s="426"/>
      <c r="DD73" s="426"/>
      <c r="DE73" s="426"/>
      <c r="DF73" s="426"/>
      <c r="DG73" s="426"/>
      <c r="DH73" s="426"/>
      <c r="DI73" s="426"/>
      <c r="DJ73" s="426"/>
      <c r="DK73" s="426"/>
      <c r="DL73" s="426"/>
      <c r="DM73" s="426"/>
      <c r="DN73" s="426"/>
      <c r="DO73" s="426"/>
      <c r="DP73" s="426"/>
      <c r="DQ73" s="426"/>
      <c r="DR73" s="426"/>
      <c r="DS73" s="426"/>
      <c r="DT73" s="426"/>
      <c r="DU73" s="426"/>
      <c r="DV73" s="426"/>
      <c r="DW73" s="426"/>
      <c r="DX73" s="426"/>
      <c r="DY73" s="426"/>
      <c r="DZ73" s="426"/>
      <c r="EA73" s="426"/>
      <c r="EB73" s="426"/>
      <c r="EC73" s="426"/>
      <c r="ED73" s="426"/>
      <c r="EE73" s="426"/>
      <c r="EF73" s="426"/>
      <c r="EG73" s="426"/>
      <c r="EH73" s="426"/>
      <c r="EI73" s="426"/>
      <c r="EJ73" s="426"/>
      <c r="EK73" s="426"/>
      <c r="EL73" s="426"/>
      <c r="EM73" s="426"/>
      <c r="EN73" s="426"/>
      <c r="EO73" s="426"/>
      <c r="EP73" s="426"/>
      <c r="EQ73" s="426"/>
      <c r="ER73" s="426"/>
      <c r="ES73" s="426"/>
      <c r="ET73" s="426"/>
      <c r="EU73" s="426"/>
      <c r="EV73" s="426"/>
      <c r="EW73" s="426"/>
      <c r="EX73" s="426"/>
      <c r="EY73" s="426"/>
      <c r="EZ73" s="426"/>
      <c r="FA73" s="426"/>
      <c r="FB73" s="426"/>
      <c r="FC73" s="426"/>
      <c r="FD73" s="426"/>
      <c r="FE73" s="426"/>
      <c r="FF73" s="426"/>
      <c r="FG73" s="426"/>
      <c r="FH73" s="426"/>
      <c r="FI73" s="426"/>
    </row>
    <row r="74" spans="1:165" s="466" customFormat="1" ht="15.75" customHeight="1">
      <c r="A74" s="724"/>
      <c r="B74" s="1387"/>
      <c r="C74" s="967" t="str">
        <f t="shared" si="3"/>
        <v>Maize (Zea mays)-stover</v>
      </c>
      <c r="D74" s="619" t="str">
        <f>VLOOKUP(C74,FEED_P[],9,FALSE)</f>
        <v>Maize</v>
      </c>
      <c r="E74" s="730" t="s">
        <v>1131</v>
      </c>
      <c r="F74" s="372">
        <v>0</v>
      </c>
      <c r="G74" s="730">
        <v>0</v>
      </c>
      <c r="H74" s="1111"/>
      <c r="I74" s="731" t="s">
        <v>388</v>
      </c>
      <c r="J74" s="732" t="s">
        <v>995</v>
      </c>
      <c r="K74" s="733">
        <v>30</v>
      </c>
      <c r="L74" s="459"/>
      <c r="M74" s="459"/>
      <c r="N74" s="459"/>
      <c r="O74" s="459"/>
      <c r="P74" s="459"/>
      <c r="Q74" s="459"/>
      <c r="R74" s="459"/>
      <c r="S74" s="459"/>
      <c r="T74" s="729"/>
      <c r="U74" s="729"/>
      <c r="V74" s="729"/>
      <c r="W74" s="729"/>
      <c r="X74" s="729"/>
      <c r="Y74" s="729"/>
      <c r="Z74" s="729"/>
      <c r="AA74" s="457"/>
      <c r="AB74" s="426"/>
      <c r="AC74" s="426"/>
      <c r="AD74" s="426"/>
      <c r="AE74" s="426"/>
      <c r="AF74" s="426"/>
      <c r="AG74" s="426"/>
      <c r="AH74" s="426"/>
      <c r="AI74" s="428"/>
      <c r="AJ74" s="426"/>
      <c r="AK74" s="426"/>
      <c r="AL74" s="426"/>
      <c r="AM74" s="426"/>
      <c r="AN74" s="426"/>
      <c r="AO74" s="428"/>
      <c r="AP74" s="426"/>
      <c r="AQ74" s="426"/>
      <c r="AR74" s="426"/>
      <c r="AS74" s="426"/>
      <c r="AT74" s="426"/>
      <c r="AU74" s="426"/>
      <c r="AV74" s="426"/>
      <c r="AW74" s="426"/>
      <c r="AX74" s="426"/>
      <c r="AY74" s="426"/>
      <c r="AZ74" s="426"/>
      <c r="BA74" s="426"/>
      <c r="BB74" s="426"/>
      <c r="BC74" s="426"/>
      <c r="BD74" s="426"/>
      <c r="BE74" s="426"/>
      <c r="BF74" s="426"/>
      <c r="BG74" s="426"/>
      <c r="BH74" s="426"/>
      <c r="BI74" s="426"/>
      <c r="BJ74" s="426"/>
      <c r="BK74" s="426"/>
      <c r="BL74" s="426"/>
      <c r="BM74" s="426"/>
      <c r="BN74" s="426"/>
      <c r="BO74" s="426"/>
      <c r="BP74" s="426"/>
      <c r="BQ74" s="426"/>
      <c r="BR74" s="426"/>
      <c r="BS74" s="426"/>
      <c r="BT74" s="426"/>
      <c r="BU74" s="426"/>
      <c r="BV74" s="426"/>
      <c r="BW74" s="426"/>
      <c r="BX74" s="426"/>
      <c r="BY74" s="426"/>
      <c r="BZ74" s="426"/>
      <c r="CA74" s="426"/>
      <c r="CB74" s="426"/>
      <c r="CC74" s="426"/>
      <c r="CD74" s="426"/>
      <c r="CE74" s="426"/>
      <c r="CF74" s="426"/>
      <c r="CG74" s="426"/>
      <c r="CH74" s="426"/>
      <c r="CI74" s="426"/>
      <c r="CJ74" s="426"/>
      <c r="CK74" s="426"/>
      <c r="CL74" s="426"/>
      <c r="CM74" s="426"/>
      <c r="CN74" s="426"/>
      <c r="CO74" s="426"/>
      <c r="CP74" s="426"/>
      <c r="CQ74" s="426"/>
      <c r="CR74" s="426"/>
      <c r="CS74" s="426"/>
      <c r="CT74" s="426"/>
      <c r="CU74" s="426"/>
      <c r="CV74" s="426"/>
      <c r="CW74" s="426"/>
      <c r="CX74" s="426"/>
      <c r="CY74" s="426"/>
      <c r="CZ74" s="426"/>
      <c r="DA74" s="426"/>
      <c r="DB74" s="426"/>
      <c r="DC74" s="426"/>
      <c r="DD74" s="426"/>
      <c r="DE74" s="426"/>
      <c r="DF74" s="426"/>
      <c r="DG74" s="426"/>
      <c r="DH74" s="426"/>
      <c r="DI74" s="426"/>
      <c r="DJ74" s="426"/>
      <c r="DK74" s="426"/>
      <c r="DL74" s="426"/>
      <c r="DM74" s="426"/>
      <c r="DN74" s="426"/>
      <c r="DO74" s="426"/>
      <c r="DP74" s="426"/>
      <c r="DQ74" s="426"/>
      <c r="DR74" s="426"/>
      <c r="DS74" s="426"/>
      <c r="DT74" s="426"/>
      <c r="DU74" s="426"/>
      <c r="DV74" s="426"/>
      <c r="DW74" s="426"/>
      <c r="DX74" s="426"/>
      <c r="DY74" s="426"/>
      <c r="DZ74" s="426"/>
      <c r="EA74" s="426"/>
      <c r="EB74" s="426"/>
      <c r="EC74" s="426"/>
      <c r="ED74" s="426"/>
      <c r="EE74" s="426"/>
      <c r="EF74" s="426"/>
      <c r="EG74" s="426"/>
      <c r="EH74" s="426"/>
      <c r="EI74" s="426"/>
      <c r="EJ74" s="426"/>
      <c r="EK74" s="426"/>
      <c r="EL74" s="426"/>
      <c r="EM74" s="426"/>
      <c r="EN74" s="426"/>
      <c r="EO74" s="426"/>
      <c r="EP74" s="426"/>
      <c r="EQ74" s="426"/>
      <c r="ER74" s="426"/>
      <c r="ES74" s="426"/>
      <c r="ET74" s="426"/>
      <c r="EU74" s="426"/>
      <c r="EV74" s="426"/>
      <c r="EW74" s="426"/>
      <c r="EX74" s="426"/>
      <c r="EY74" s="426"/>
      <c r="EZ74" s="426"/>
      <c r="FA74" s="426"/>
      <c r="FB74" s="426"/>
      <c r="FC74" s="426"/>
      <c r="FD74" s="426"/>
      <c r="FE74" s="426"/>
      <c r="FF74" s="426"/>
      <c r="FG74" s="426"/>
      <c r="FH74" s="426"/>
      <c r="FI74" s="426"/>
    </row>
    <row r="75" spans="1:165" s="466" customFormat="1" ht="15.75" customHeight="1">
      <c r="A75" s="724"/>
      <c r="B75" s="1387"/>
      <c r="C75" s="967" t="str">
        <f t="shared" si="3"/>
        <v>Guatemala grass (Tripsacum andersonii) - forage</v>
      </c>
      <c r="D75" s="619" t="str">
        <f>VLOOKUP(C75,FEED_P[],9,FALSE)</f>
        <v>Guatemala</v>
      </c>
      <c r="E75" s="730" t="s">
        <v>1130</v>
      </c>
      <c r="F75" s="372">
        <v>0</v>
      </c>
      <c r="G75" s="730">
        <v>0</v>
      </c>
      <c r="H75" s="1111"/>
      <c r="I75" s="731" t="s">
        <v>889</v>
      </c>
      <c r="J75" s="732" t="s">
        <v>995</v>
      </c>
      <c r="K75" s="733">
        <v>30</v>
      </c>
      <c r="L75" s="459"/>
      <c r="M75" s="459"/>
      <c r="N75" s="459"/>
      <c r="O75" s="459"/>
      <c r="P75" s="459"/>
      <c r="Q75" s="459"/>
      <c r="R75" s="459"/>
      <c r="S75" s="459"/>
      <c r="T75" s="729"/>
      <c r="U75" s="729"/>
      <c r="V75" s="426"/>
      <c r="W75" s="729"/>
      <c r="X75" s="729"/>
      <c r="Y75" s="729"/>
      <c r="Z75" s="426"/>
      <c r="AA75" s="457"/>
      <c r="AB75" s="426"/>
      <c r="AC75" s="426"/>
      <c r="AD75" s="426"/>
      <c r="AE75" s="426"/>
      <c r="AF75" s="426"/>
      <c r="AG75" s="426"/>
      <c r="AH75" s="426"/>
      <c r="AI75" s="426"/>
      <c r="AJ75" s="426"/>
      <c r="AK75" s="426"/>
      <c r="AL75" s="426"/>
      <c r="AM75" s="426"/>
      <c r="AN75" s="426"/>
      <c r="AO75" s="428"/>
      <c r="AP75" s="426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426"/>
      <c r="BI75" s="426"/>
      <c r="BJ75" s="426"/>
      <c r="BK75" s="426"/>
      <c r="BL75" s="426"/>
      <c r="BM75" s="426"/>
      <c r="BN75" s="426"/>
      <c r="BO75" s="426"/>
      <c r="BP75" s="426"/>
      <c r="BQ75" s="426"/>
      <c r="BR75" s="426"/>
      <c r="BS75" s="426"/>
      <c r="BT75" s="426"/>
      <c r="BU75" s="426"/>
      <c r="BV75" s="426"/>
      <c r="BW75" s="426"/>
      <c r="BX75" s="426"/>
      <c r="BY75" s="426"/>
      <c r="BZ75" s="426"/>
      <c r="CA75" s="426"/>
      <c r="CB75" s="426"/>
      <c r="CC75" s="426"/>
      <c r="CD75" s="426"/>
      <c r="CE75" s="426"/>
      <c r="CF75" s="426"/>
      <c r="CG75" s="426"/>
      <c r="CH75" s="426"/>
      <c r="CI75" s="426"/>
      <c r="CJ75" s="426"/>
      <c r="CK75" s="426"/>
      <c r="CL75" s="426"/>
      <c r="CM75" s="426"/>
      <c r="CN75" s="426"/>
      <c r="CO75" s="426"/>
      <c r="CP75" s="426"/>
      <c r="CQ75" s="426"/>
      <c r="CR75" s="426"/>
      <c r="CS75" s="426"/>
      <c r="CT75" s="426"/>
      <c r="CU75" s="426"/>
      <c r="CV75" s="426"/>
      <c r="CW75" s="426"/>
      <c r="CX75" s="426"/>
      <c r="CY75" s="426"/>
      <c r="CZ75" s="426"/>
      <c r="DA75" s="426"/>
      <c r="DB75" s="426"/>
      <c r="DC75" s="426"/>
      <c r="DD75" s="426"/>
      <c r="DE75" s="426"/>
      <c r="DF75" s="426"/>
      <c r="DG75" s="426"/>
      <c r="DH75" s="426"/>
      <c r="DI75" s="426"/>
      <c r="DJ75" s="426"/>
      <c r="DK75" s="426"/>
      <c r="DL75" s="426"/>
      <c r="DM75" s="426"/>
      <c r="DN75" s="426"/>
      <c r="DO75" s="426"/>
      <c r="DP75" s="426"/>
      <c r="DQ75" s="426"/>
      <c r="DR75" s="426"/>
      <c r="DS75" s="426"/>
      <c r="DT75" s="426"/>
      <c r="DU75" s="426"/>
      <c r="DV75" s="426"/>
      <c r="DW75" s="426"/>
      <c r="DX75" s="426"/>
      <c r="DY75" s="426"/>
      <c r="DZ75" s="426"/>
      <c r="EA75" s="426"/>
      <c r="EB75" s="426"/>
      <c r="EC75" s="426"/>
      <c r="ED75" s="426"/>
      <c r="EE75" s="426"/>
      <c r="EF75" s="426"/>
      <c r="EG75" s="426"/>
      <c r="EH75" s="426"/>
      <c r="EI75" s="426"/>
      <c r="EJ75" s="426"/>
      <c r="EK75" s="426"/>
      <c r="EL75" s="426"/>
      <c r="EM75" s="426"/>
      <c r="EN75" s="426"/>
      <c r="EO75" s="426"/>
      <c r="EP75" s="426"/>
      <c r="EQ75" s="426"/>
      <c r="ER75" s="426"/>
      <c r="ES75" s="426"/>
      <c r="ET75" s="426"/>
      <c r="EU75" s="426"/>
      <c r="EV75" s="426"/>
      <c r="EW75" s="426"/>
      <c r="EX75" s="426"/>
      <c r="EY75" s="426"/>
      <c r="EZ75" s="426"/>
      <c r="FA75" s="426"/>
      <c r="FB75" s="426"/>
      <c r="FC75" s="426"/>
      <c r="FD75" s="426"/>
      <c r="FE75" s="426"/>
      <c r="FF75" s="426"/>
      <c r="FG75" s="426"/>
      <c r="FH75" s="426"/>
      <c r="FI75" s="426"/>
    </row>
    <row r="76" spans="1:165" s="466" customFormat="1" ht="15.75" customHeight="1">
      <c r="A76" s="724"/>
      <c r="B76" s="1387"/>
      <c r="C76" s="967" t="str">
        <f t="shared" si="3"/>
        <v>Rhodes grass (Chloris gayana) - forage</v>
      </c>
      <c r="D76" s="619" t="str">
        <f>VLOOKUP(C76,FEED_P[],9,FALSE)</f>
        <v>Rhodes</v>
      </c>
      <c r="E76" s="730" t="s">
        <v>1130</v>
      </c>
      <c r="F76" s="372">
        <v>0</v>
      </c>
      <c r="G76" s="730">
        <v>0</v>
      </c>
      <c r="H76" s="1111"/>
      <c r="I76" s="731" t="s">
        <v>903</v>
      </c>
      <c r="J76" s="732" t="s">
        <v>995</v>
      </c>
      <c r="K76" s="733">
        <v>30</v>
      </c>
      <c r="L76" s="459"/>
      <c r="M76" s="459"/>
      <c r="N76" s="459"/>
      <c r="O76" s="459"/>
      <c r="P76" s="459"/>
      <c r="Q76" s="459"/>
      <c r="R76" s="459"/>
      <c r="S76" s="459"/>
      <c r="T76" s="729"/>
      <c r="U76" s="729"/>
      <c r="V76" s="460"/>
      <c r="W76" s="426"/>
      <c r="X76" s="729"/>
      <c r="Y76" s="729"/>
      <c r="Z76" s="460"/>
      <c r="AA76" s="457"/>
      <c r="AB76" s="426"/>
      <c r="AC76" s="426"/>
      <c r="AD76" s="426"/>
      <c r="AE76" s="426"/>
      <c r="AF76" s="426"/>
      <c r="AG76" s="426"/>
      <c r="AH76" s="426"/>
      <c r="AI76" s="426"/>
      <c r="AJ76" s="426"/>
      <c r="AK76" s="426"/>
      <c r="AL76" s="426"/>
      <c r="AM76" s="426"/>
      <c r="AN76" s="426"/>
      <c r="AO76" s="428"/>
      <c r="AP76" s="426"/>
      <c r="AQ76" s="426"/>
      <c r="AR76" s="426"/>
      <c r="AS76" s="426"/>
      <c r="AT76" s="426"/>
      <c r="AU76" s="426"/>
      <c r="AV76" s="426"/>
      <c r="AW76" s="426"/>
      <c r="AX76" s="426"/>
      <c r="AY76" s="426"/>
      <c r="AZ76" s="426"/>
      <c r="BA76" s="426"/>
      <c r="BB76" s="426"/>
      <c r="BC76" s="426"/>
      <c r="BD76" s="426"/>
      <c r="BE76" s="426"/>
      <c r="BF76" s="426"/>
      <c r="BG76" s="426"/>
      <c r="BH76" s="426"/>
      <c r="BI76" s="426"/>
      <c r="BJ76" s="426"/>
      <c r="BK76" s="426"/>
      <c r="BL76" s="426"/>
      <c r="BM76" s="426"/>
      <c r="BN76" s="426"/>
      <c r="BO76" s="426"/>
      <c r="BP76" s="426"/>
      <c r="BQ76" s="426"/>
      <c r="BR76" s="426"/>
      <c r="BS76" s="426"/>
      <c r="BT76" s="426"/>
      <c r="BU76" s="426"/>
      <c r="BV76" s="426"/>
      <c r="BW76" s="426"/>
      <c r="BX76" s="426"/>
      <c r="BY76" s="426"/>
      <c r="BZ76" s="426"/>
      <c r="CA76" s="426"/>
      <c r="CB76" s="426"/>
      <c r="CC76" s="426"/>
      <c r="CD76" s="426"/>
      <c r="CE76" s="426"/>
      <c r="CF76" s="426"/>
      <c r="CG76" s="426"/>
      <c r="CH76" s="426"/>
      <c r="CI76" s="426"/>
      <c r="CJ76" s="426"/>
      <c r="CK76" s="426"/>
      <c r="CL76" s="426"/>
      <c r="CM76" s="426"/>
      <c r="CN76" s="426"/>
      <c r="CO76" s="426"/>
      <c r="CP76" s="426"/>
      <c r="CQ76" s="426"/>
      <c r="CR76" s="426"/>
      <c r="CS76" s="426"/>
      <c r="CT76" s="426"/>
      <c r="CU76" s="426"/>
      <c r="CV76" s="426"/>
      <c r="CW76" s="426"/>
      <c r="CX76" s="426"/>
      <c r="CY76" s="426"/>
      <c r="CZ76" s="426"/>
      <c r="DA76" s="426"/>
      <c r="DB76" s="426"/>
      <c r="DC76" s="426"/>
      <c r="DD76" s="426"/>
      <c r="DE76" s="426"/>
      <c r="DF76" s="426"/>
      <c r="DG76" s="426"/>
      <c r="DH76" s="426"/>
      <c r="DI76" s="426"/>
      <c r="DJ76" s="426"/>
      <c r="DK76" s="426"/>
      <c r="DL76" s="426"/>
      <c r="DM76" s="426"/>
      <c r="DN76" s="426"/>
      <c r="DO76" s="426"/>
      <c r="DP76" s="426"/>
      <c r="DQ76" s="426"/>
      <c r="DR76" s="426"/>
      <c r="DS76" s="426"/>
      <c r="DT76" s="426"/>
      <c r="DU76" s="426"/>
      <c r="DV76" s="426"/>
      <c r="DW76" s="426"/>
      <c r="DX76" s="426"/>
      <c r="DY76" s="426"/>
      <c r="DZ76" s="426"/>
      <c r="EA76" s="426"/>
      <c r="EB76" s="426"/>
      <c r="EC76" s="426"/>
      <c r="ED76" s="426"/>
      <c r="EE76" s="426"/>
      <c r="EF76" s="426"/>
      <c r="EG76" s="426"/>
      <c r="EH76" s="426"/>
      <c r="EI76" s="426"/>
      <c r="EJ76" s="426"/>
      <c r="EK76" s="426"/>
      <c r="EL76" s="426"/>
      <c r="EM76" s="426"/>
      <c r="EN76" s="426"/>
      <c r="EO76" s="426"/>
      <c r="EP76" s="426"/>
      <c r="EQ76" s="426"/>
      <c r="ER76" s="426"/>
      <c r="ES76" s="426"/>
      <c r="ET76" s="426"/>
      <c r="EU76" s="426"/>
      <c r="EV76" s="426"/>
      <c r="EW76" s="426"/>
      <c r="EX76" s="426"/>
      <c r="EY76" s="426"/>
      <c r="EZ76" s="426"/>
      <c r="FA76" s="426"/>
      <c r="FB76" s="426"/>
      <c r="FC76" s="426"/>
      <c r="FD76" s="426"/>
      <c r="FE76" s="426"/>
      <c r="FF76" s="426"/>
      <c r="FG76" s="426"/>
      <c r="FH76" s="426"/>
      <c r="FI76" s="426"/>
    </row>
    <row r="77" spans="1:165" s="466" customFormat="1" ht="16.5" customHeight="1">
      <c r="A77" s="724"/>
      <c r="B77" s="1387"/>
      <c r="C77" s="967" t="str">
        <f t="shared" si="3"/>
        <v>Napier grass (Pennisetum purpureum) - forage</v>
      </c>
      <c r="D77" s="619" t="str">
        <f>VLOOKUP(C77,FEED_P[],9,FALSE)</f>
        <v>Napier</v>
      </c>
      <c r="E77" s="730" t="s">
        <v>1130</v>
      </c>
      <c r="F77" s="372">
        <v>0</v>
      </c>
      <c r="G77" s="730">
        <v>0</v>
      </c>
      <c r="H77" s="1111"/>
      <c r="I77" s="731" t="s">
        <v>903</v>
      </c>
      <c r="J77" s="732" t="s">
        <v>995</v>
      </c>
      <c r="K77" s="733">
        <v>30</v>
      </c>
      <c r="L77" s="459"/>
      <c r="M77" s="459"/>
      <c r="N77" s="459"/>
      <c r="O77" s="459"/>
      <c r="P77" s="459"/>
      <c r="Q77" s="459"/>
      <c r="R77" s="459"/>
      <c r="S77" s="459"/>
      <c r="T77" s="729"/>
      <c r="U77" s="426"/>
      <c r="V77" s="461"/>
      <c r="W77" s="460"/>
      <c r="X77" s="426"/>
      <c r="Y77" s="729"/>
      <c r="Z77" s="461"/>
      <c r="AA77" s="457"/>
      <c r="AB77" s="426"/>
      <c r="AC77" s="426"/>
      <c r="AD77" s="426"/>
      <c r="AE77" s="426"/>
      <c r="AF77" s="426"/>
      <c r="AG77" s="426"/>
      <c r="AH77" s="426"/>
      <c r="AI77" s="426"/>
      <c r="AJ77" s="426"/>
      <c r="AK77" s="426"/>
      <c r="AL77" s="426"/>
      <c r="AM77" s="426"/>
      <c r="AN77" s="426"/>
      <c r="AO77" s="426"/>
      <c r="AP77" s="426"/>
      <c r="AQ77" s="426"/>
      <c r="AR77" s="426"/>
      <c r="AS77" s="426"/>
      <c r="AT77" s="426"/>
      <c r="AU77" s="426"/>
      <c r="AV77" s="426"/>
      <c r="AW77" s="426"/>
      <c r="AX77" s="426"/>
      <c r="AY77" s="426"/>
      <c r="AZ77" s="426"/>
      <c r="BA77" s="426"/>
      <c r="BB77" s="426"/>
      <c r="BC77" s="426"/>
      <c r="BD77" s="426"/>
      <c r="BE77" s="426"/>
      <c r="BF77" s="426"/>
      <c r="BG77" s="426"/>
      <c r="BH77" s="426"/>
      <c r="BI77" s="426"/>
      <c r="BJ77" s="426"/>
      <c r="BK77" s="426"/>
      <c r="BL77" s="426"/>
      <c r="BM77" s="426"/>
      <c r="BN77" s="426"/>
      <c r="BO77" s="426"/>
      <c r="BP77" s="426"/>
      <c r="BQ77" s="426"/>
      <c r="BR77" s="426"/>
      <c r="BS77" s="426"/>
      <c r="BT77" s="426"/>
      <c r="BU77" s="426"/>
      <c r="BV77" s="426"/>
      <c r="BW77" s="426"/>
      <c r="BX77" s="426"/>
      <c r="BY77" s="426"/>
      <c r="BZ77" s="426"/>
      <c r="CA77" s="426"/>
      <c r="CB77" s="426"/>
      <c r="CC77" s="426"/>
      <c r="CD77" s="426"/>
      <c r="CE77" s="426"/>
      <c r="CF77" s="426"/>
      <c r="CG77" s="426"/>
      <c r="CH77" s="426"/>
      <c r="CI77" s="426"/>
      <c r="CJ77" s="426"/>
      <c r="CK77" s="426"/>
      <c r="CL77" s="426"/>
      <c r="CM77" s="426"/>
      <c r="CN77" s="426"/>
      <c r="CO77" s="426"/>
      <c r="CP77" s="426"/>
      <c r="CQ77" s="426"/>
      <c r="CR77" s="426"/>
      <c r="CS77" s="426"/>
      <c r="CT77" s="426"/>
      <c r="CU77" s="426"/>
      <c r="CV77" s="426"/>
      <c r="CW77" s="426"/>
      <c r="CX77" s="426"/>
      <c r="CY77" s="426"/>
      <c r="CZ77" s="426"/>
      <c r="DA77" s="426"/>
      <c r="DB77" s="426"/>
      <c r="DC77" s="426"/>
      <c r="DD77" s="426"/>
      <c r="DE77" s="426"/>
      <c r="DF77" s="426"/>
      <c r="DG77" s="426"/>
      <c r="DH77" s="426"/>
      <c r="DI77" s="426"/>
      <c r="DJ77" s="426"/>
      <c r="DK77" s="426"/>
      <c r="DL77" s="426"/>
      <c r="DM77" s="426"/>
      <c r="DN77" s="426"/>
      <c r="DO77" s="426"/>
      <c r="DP77" s="426"/>
      <c r="DQ77" s="426"/>
      <c r="DR77" s="426"/>
      <c r="DS77" s="426"/>
      <c r="DT77" s="426"/>
      <c r="DU77" s="426"/>
      <c r="DV77" s="426"/>
      <c r="DW77" s="426"/>
      <c r="DX77" s="426"/>
      <c r="DY77" s="426"/>
      <c r="DZ77" s="426"/>
      <c r="EA77" s="426"/>
      <c r="EB77" s="426"/>
      <c r="EC77" s="426"/>
      <c r="ED77" s="426"/>
      <c r="EE77" s="426"/>
      <c r="EF77" s="426"/>
      <c r="EG77" s="426"/>
      <c r="EH77" s="426"/>
      <c r="EI77" s="426"/>
      <c r="EJ77" s="426"/>
      <c r="EK77" s="426"/>
      <c r="EL77" s="426"/>
      <c r="EM77" s="426"/>
      <c r="EN77" s="426"/>
      <c r="EO77" s="426"/>
      <c r="EP77" s="426"/>
      <c r="EQ77" s="426"/>
      <c r="ER77" s="426"/>
      <c r="ES77" s="426"/>
      <c r="ET77" s="426"/>
      <c r="EU77" s="426"/>
      <c r="EV77" s="426"/>
      <c r="EW77" s="426"/>
      <c r="EX77" s="426"/>
      <c r="EY77" s="426"/>
      <c r="EZ77" s="426"/>
      <c r="FA77" s="426"/>
      <c r="FB77" s="426"/>
      <c r="FC77" s="426"/>
      <c r="FD77" s="426"/>
      <c r="FE77" s="426"/>
      <c r="FF77" s="426"/>
      <c r="FG77" s="426"/>
      <c r="FH77" s="426"/>
      <c r="FI77" s="426"/>
    </row>
    <row r="78" spans="1:165" ht="16.5" thickBot="1">
      <c r="A78" s="734"/>
      <c r="B78" s="1387"/>
      <c r="C78" s="968" t="str">
        <f t="shared" si="3"/>
        <v>N/A</v>
      </c>
      <c r="D78" s="246" t="str">
        <f>VLOOKUP(C78,FEED_P[],9,FALSE)</f>
        <v>N/A</v>
      </c>
      <c r="E78" s="969" t="s">
        <v>1130</v>
      </c>
      <c r="F78" s="970">
        <v>0</v>
      </c>
      <c r="G78" s="969">
        <v>0</v>
      </c>
      <c r="H78" s="1112"/>
      <c r="I78" s="971" t="s">
        <v>903</v>
      </c>
      <c r="J78" s="972" t="s">
        <v>995</v>
      </c>
      <c r="K78" s="973">
        <v>30</v>
      </c>
      <c r="L78" s="459"/>
      <c r="M78" s="459"/>
      <c r="N78" s="459"/>
      <c r="O78" s="459"/>
      <c r="P78" s="459"/>
      <c r="Q78" s="459"/>
      <c r="R78" s="459"/>
      <c r="S78" s="459"/>
      <c r="T78" s="729"/>
      <c r="U78" s="460"/>
      <c r="V78" s="461"/>
      <c r="W78" s="461"/>
      <c r="X78" s="460"/>
      <c r="Z78" s="461"/>
      <c r="AA78" s="457"/>
      <c r="AG78" s="428"/>
      <c r="AN78" s="428"/>
    </row>
    <row r="79" spans="1:165" s="466" customFormat="1" ht="15.75" hidden="1" customHeight="1">
      <c r="A79" s="940"/>
      <c r="B79" s="1387"/>
      <c r="C79" s="965"/>
      <c r="D79" s="966" t="s">
        <v>807</v>
      </c>
      <c r="E79" s="944"/>
      <c r="F79" s="944"/>
      <c r="G79" s="944"/>
      <c r="H79" s="945"/>
      <c r="I79" s="946"/>
      <c r="J79"/>
      <c r="K79" s="953" t="s">
        <v>807</v>
      </c>
      <c r="L79" s="951"/>
      <c r="M79" s="951"/>
      <c r="N79" s="952"/>
      <c r="O79" s="952"/>
      <c r="P79" s="426"/>
      <c r="Q79" s="426"/>
      <c r="R79" s="426"/>
      <c r="S79" s="426"/>
      <c r="T79" s="426"/>
      <c r="U79" s="426"/>
      <c r="V79" s="426"/>
      <c r="W79" s="426"/>
      <c r="X79" s="426"/>
      <c r="Y79" s="426"/>
      <c r="Z79" s="426"/>
      <c r="AA79" s="426"/>
      <c r="AB79" s="426"/>
      <c r="AC79" s="426"/>
      <c r="AD79" s="426"/>
      <c r="AE79" s="426"/>
      <c r="AF79" s="426"/>
      <c r="AG79" s="426"/>
      <c r="AH79" s="426"/>
      <c r="AI79" s="426"/>
      <c r="AJ79" s="426"/>
      <c r="AK79" s="426"/>
      <c r="AL79" s="426"/>
      <c r="AM79" s="426"/>
      <c r="AN79" s="426"/>
      <c r="AO79" s="426"/>
      <c r="AP79" s="426"/>
      <c r="AQ79" s="426"/>
      <c r="AR79" s="426"/>
      <c r="AS79" s="426"/>
      <c r="AT79" s="426"/>
      <c r="AU79" s="426"/>
      <c r="AV79" s="426"/>
      <c r="AW79" s="426"/>
      <c r="AX79" s="426"/>
      <c r="AY79" s="426"/>
      <c r="AZ79" s="426"/>
      <c r="BA79" s="426"/>
      <c r="BB79" s="426"/>
      <c r="BC79" s="426"/>
      <c r="BD79" s="426"/>
      <c r="BE79" s="426"/>
      <c r="BF79" s="426"/>
      <c r="BG79" s="426"/>
      <c r="BH79" s="426"/>
      <c r="BI79" s="426"/>
      <c r="BJ79" s="426"/>
      <c r="BK79" s="426"/>
      <c r="BL79" s="426"/>
      <c r="BM79" s="426"/>
      <c r="BN79" s="426"/>
      <c r="BO79" s="426"/>
      <c r="BP79" s="426"/>
      <c r="BQ79" s="426"/>
      <c r="BR79" s="426"/>
      <c r="BS79" s="426"/>
      <c r="BT79" s="426"/>
      <c r="BU79" s="426"/>
      <c r="BV79" s="426"/>
      <c r="BW79" s="426"/>
      <c r="BX79" s="426"/>
      <c r="BY79" s="426"/>
      <c r="BZ79" s="426"/>
      <c r="CA79" s="426"/>
      <c r="CB79" s="426"/>
      <c r="CC79" s="426"/>
      <c r="CD79" s="426"/>
      <c r="CE79" s="426"/>
      <c r="CF79" s="426"/>
      <c r="CG79" s="426"/>
      <c r="CH79" s="426"/>
      <c r="CI79" s="426"/>
      <c r="CJ79" s="426"/>
      <c r="CK79" s="426"/>
      <c r="CL79" s="426"/>
      <c r="CM79" s="426"/>
      <c r="CN79" s="426"/>
      <c r="CO79" s="426"/>
      <c r="CP79" s="426"/>
      <c r="CQ79" s="426"/>
      <c r="CR79" s="426"/>
      <c r="CS79" s="426"/>
      <c r="CT79" s="426"/>
      <c r="CU79" s="426"/>
      <c r="CV79" s="426"/>
      <c r="CW79" s="426"/>
      <c r="CX79" s="426"/>
      <c r="CY79" s="426"/>
      <c r="CZ79" s="426"/>
      <c r="DA79" s="426"/>
      <c r="DB79" s="426"/>
      <c r="DC79" s="426"/>
      <c r="DD79" s="426"/>
      <c r="DE79" s="426"/>
      <c r="DF79" s="426"/>
      <c r="DG79" s="426"/>
      <c r="DH79" s="426"/>
      <c r="DI79" s="426"/>
      <c r="DJ79" s="426"/>
      <c r="DK79" s="426"/>
      <c r="DL79" s="426"/>
      <c r="DM79" s="426"/>
      <c r="DN79" s="426"/>
      <c r="DO79" s="426"/>
      <c r="DP79" s="426"/>
      <c r="DQ79" s="426"/>
      <c r="DR79" s="426"/>
      <c r="DS79" s="426"/>
      <c r="DT79" s="426"/>
      <c r="DU79" s="426"/>
      <c r="DV79" s="426"/>
      <c r="DW79" s="426"/>
      <c r="DX79" s="426"/>
      <c r="DY79" s="426"/>
      <c r="DZ79" s="426"/>
      <c r="EA79" s="426"/>
      <c r="EB79" s="426"/>
      <c r="EC79" s="426"/>
      <c r="ED79" s="426"/>
      <c r="EE79" s="426"/>
      <c r="EF79" s="426"/>
      <c r="EG79" s="426"/>
      <c r="EH79" s="426"/>
      <c r="EI79" s="426"/>
      <c r="EJ79" s="426"/>
      <c r="EK79" s="426"/>
      <c r="EL79" s="426"/>
      <c r="EM79" s="426"/>
      <c r="EN79" s="426"/>
      <c r="EO79" s="426"/>
      <c r="EP79" s="426"/>
      <c r="EQ79" s="426"/>
      <c r="ER79" s="426"/>
      <c r="ES79" s="426"/>
      <c r="ET79" s="426"/>
      <c r="EU79" s="426"/>
      <c r="EV79" s="426"/>
      <c r="EW79" s="426"/>
      <c r="EX79" s="426"/>
      <c r="EY79" s="426"/>
      <c r="EZ79" s="426"/>
      <c r="FA79" s="426"/>
      <c r="FB79" s="426"/>
      <c r="FC79" s="426"/>
      <c r="FD79" s="426"/>
      <c r="FE79" s="426"/>
      <c r="FF79" s="426"/>
      <c r="FG79" s="426"/>
      <c r="FH79" s="426"/>
      <c r="FI79" s="426"/>
    </row>
    <row r="80" spans="1:165" s="466" customFormat="1" ht="15.75" hidden="1" customHeight="1">
      <c r="A80" s="940"/>
      <c r="B80" s="1387"/>
      <c r="C80" s="464"/>
      <c r="D80" s="465" t="s">
        <v>807</v>
      </c>
      <c r="E80" s="941"/>
      <c r="F80" s="941"/>
      <c r="G80" s="941"/>
      <c r="H80" s="942"/>
      <c r="I80" s="943"/>
      <c r="J80"/>
      <c r="K80" s="954" t="s">
        <v>807</v>
      </c>
      <c r="L80" s="951"/>
      <c r="M80" s="951"/>
      <c r="N80" s="952"/>
      <c r="O80" s="952"/>
      <c r="P80" s="426"/>
      <c r="Q80" s="426"/>
      <c r="R80" s="426"/>
      <c r="S80" s="426"/>
      <c r="T80" s="426"/>
      <c r="U80" s="426"/>
      <c r="V80" s="426"/>
      <c r="W80" s="426"/>
      <c r="X80" s="426"/>
      <c r="Y80" s="426"/>
      <c r="Z80" s="426"/>
      <c r="AA80" s="426"/>
      <c r="AB80" s="426"/>
      <c r="AC80" s="426"/>
      <c r="AD80" s="426"/>
      <c r="AE80" s="426"/>
      <c r="AF80" s="426"/>
      <c r="AG80" s="426"/>
      <c r="AH80" s="426"/>
      <c r="AI80" s="426"/>
      <c r="AJ80" s="426"/>
      <c r="AK80" s="426"/>
      <c r="AL80" s="426"/>
      <c r="AM80" s="426"/>
      <c r="AN80" s="426"/>
      <c r="AO80" s="426"/>
      <c r="AP80" s="426"/>
      <c r="AQ80" s="426"/>
      <c r="AR80" s="426"/>
      <c r="AS80" s="426"/>
      <c r="AT80" s="426"/>
      <c r="AU80" s="426"/>
      <c r="AV80" s="426"/>
      <c r="AW80" s="426"/>
      <c r="AX80" s="426"/>
      <c r="AY80" s="426"/>
      <c r="AZ80" s="426"/>
      <c r="BA80" s="426"/>
      <c r="BB80" s="426"/>
      <c r="BC80" s="426"/>
      <c r="BD80" s="426"/>
      <c r="BE80" s="426"/>
      <c r="BF80" s="426"/>
      <c r="BG80" s="426"/>
      <c r="BH80" s="426"/>
      <c r="BI80" s="426"/>
      <c r="BJ80" s="426"/>
      <c r="BK80" s="426"/>
      <c r="BL80" s="426"/>
      <c r="BM80" s="426"/>
      <c r="BN80" s="426"/>
      <c r="BO80" s="426"/>
      <c r="BP80" s="426"/>
      <c r="BQ80" s="426"/>
      <c r="BR80" s="426"/>
      <c r="BS80" s="426"/>
      <c r="BT80" s="426"/>
      <c r="BU80" s="426"/>
      <c r="BV80" s="426"/>
      <c r="BW80" s="426"/>
      <c r="BX80" s="426"/>
      <c r="BY80" s="426"/>
      <c r="BZ80" s="426"/>
      <c r="CA80" s="426"/>
      <c r="CB80" s="426"/>
      <c r="CC80" s="426"/>
      <c r="CD80" s="426"/>
      <c r="CE80" s="426"/>
      <c r="CF80" s="426"/>
      <c r="CG80" s="426"/>
      <c r="CH80" s="426"/>
      <c r="CI80" s="426"/>
      <c r="CJ80" s="426"/>
      <c r="CK80" s="426"/>
      <c r="CL80" s="426"/>
      <c r="CM80" s="426"/>
      <c r="CN80" s="426"/>
      <c r="CO80" s="426"/>
      <c r="CP80" s="426"/>
      <c r="CQ80" s="426"/>
      <c r="CR80" s="426"/>
      <c r="CS80" s="426"/>
      <c r="CT80" s="426"/>
      <c r="CU80" s="426"/>
      <c r="CV80" s="426"/>
      <c r="CW80" s="426"/>
      <c r="CX80" s="426"/>
      <c r="CY80" s="426"/>
      <c r="CZ80" s="426"/>
      <c r="DA80" s="426"/>
      <c r="DB80" s="426"/>
      <c r="DC80" s="426"/>
      <c r="DD80" s="426"/>
      <c r="DE80" s="426"/>
      <c r="DF80" s="426"/>
      <c r="DG80" s="426"/>
      <c r="DH80" s="426"/>
      <c r="DI80" s="426"/>
      <c r="DJ80" s="426"/>
      <c r="DK80" s="426"/>
      <c r="DL80" s="426"/>
      <c r="DM80" s="426"/>
      <c r="DN80" s="426"/>
      <c r="DO80" s="426"/>
      <c r="DP80" s="426"/>
      <c r="DQ80" s="426"/>
      <c r="DR80" s="426"/>
      <c r="DS80" s="426"/>
      <c r="DT80" s="426"/>
      <c r="DU80" s="426"/>
      <c r="DV80" s="426"/>
      <c r="DW80" s="426"/>
      <c r="DX80" s="426"/>
      <c r="DY80" s="426"/>
      <c r="DZ80" s="426"/>
      <c r="EA80" s="426"/>
      <c r="EB80" s="426"/>
      <c r="EC80" s="426"/>
      <c r="ED80" s="426"/>
      <c r="EE80" s="426"/>
      <c r="EF80" s="426"/>
      <c r="EG80" s="426"/>
      <c r="EH80" s="426"/>
      <c r="EI80" s="426"/>
      <c r="EJ80" s="426"/>
      <c r="EK80" s="426"/>
      <c r="EL80" s="426"/>
      <c r="EM80" s="426"/>
      <c r="EN80" s="426"/>
      <c r="EO80" s="426"/>
      <c r="EP80" s="426"/>
      <c r="EQ80" s="426"/>
      <c r="ER80" s="426"/>
      <c r="ES80" s="426"/>
      <c r="ET80" s="426"/>
      <c r="EU80" s="426"/>
      <c r="EV80" s="426"/>
      <c r="EW80" s="426"/>
      <c r="EX80" s="426"/>
      <c r="EY80" s="426"/>
      <c r="EZ80" s="426"/>
      <c r="FA80" s="426"/>
      <c r="FB80" s="426"/>
      <c r="FC80" s="426"/>
      <c r="FD80" s="426"/>
      <c r="FE80" s="426"/>
      <c r="FF80" s="426"/>
      <c r="FG80" s="426"/>
      <c r="FH80" s="426"/>
      <c r="FI80" s="426"/>
    </row>
    <row r="81" spans="1:165" s="466" customFormat="1" ht="15.75" hidden="1" customHeight="1">
      <c r="A81" s="940"/>
      <c r="B81" s="1387"/>
      <c r="C81" s="464"/>
      <c r="D81" s="465" t="s">
        <v>807</v>
      </c>
      <c r="E81" s="941"/>
      <c r="F81" s="941"/>
      <c r="G81" s="941"/>
      <c r="H81" s="942"/>
      <c r="I81" s="943"/>
      <c r="J81"/>
      <c r="K81" s="954" t="s">
        <v>807</v>
      </c>
      <c r="L81" s="951"/>
      <c r="M81" s="951"/>
      <c r="N81" s="952"/>
      <c r="O81" s="952"/>
      <c r="P81" s="426"/>
      <c r="Q81" s="426"/>
      <c r="R81" s="426"/>
      <c r="S81" s="426"/>
      <c r="T81" s="426"/>
      <c r="U81" s="426"/>
      <c r="V81" s="426"/>
      <c r="W81" s="426"/>
      <c r="X81" s="426"/>
      <c r="Y81" s="426"/>
      <c r="Z81" s="426"/>
      <c r="AA81" s="426"/>
      <c r="AB81" s="426"/>
      <c r="AC81" s="426"/>
      <c r="AD81" s="426"/>
      <c r="AE81" s="426"/>
      <c r="AF81" s="426"/>
      <c r="AG81" s="426"/>
      <c r="AH81" s="426"/>
      <c r="AI81" s="426"/>
      <c r="AJ81" s="426"/>
      <c r="AK81" s="426"/>
      <c r="AL81" s="426"/>
      <c r="AM81" s="426"/>
      <c r="AN81" s="426"/>
      <c r="AO81" s="426"/>
      <c r="AP81" s="426"/>
      <c r="AQ81" s="426"/>
      <c r="AR81" s="426"/>
      <c r="AS81" s="426"/>
      <c r="AT81" s="426"/>
      <c r="AU81" s="426"/>
      <c r="AV81" s="426"/>
      <c r="AW81" s="426"/>
      <c r="AX81" s="426"/>
      <c r="AY81" s="426"/>
      <c r="AZ81" s="426"/>
      <c r="BA81" s="426"/>
      <c r="BB81" s="426"/>
      <c r="BC81" s="426"/>
      <c r="BD81" s="426"/>
      <c r="BE81" s="426"/>
      <c r="BF81" s="426"/>
      <c r="BG81" s="426"/>
      <c r="BH81" s="426"/>
      <c r="BI81" s="426"/>
      <c r="BJ81" s="426"/>
      <c r="BK81" s="426"/>
      <c r="BL81" s="426"/>
      <c r="BM81" s="426"/>
      <c r="BN81" s="426"/>
      <c r="BO81" s="426"/>
      <c r="BP81" s="426"/>
      <c r="BQ81" s="426"/>
      <c r="BR81" s="426"/>
      <c r="BS81" s="426"/>
      <c r="BT81" s="426"/>
      <c r="BU81" s="426"/>
      <c r="BV81" s="426"/>
      <c r="BW81" s="426"/>
      <c r="BX81" s="426"/>
      <c r="BY81" s="426"/>
      <c r="BZ81" s="426"/>
      <c r="CA81" s="426"/>
      <c r="CB81" s="426"/>
      <c r="CC81" s="426"/>
      <c r="CD81" s="426"/>
      <c r="CE81" s="426"/>
      <c r="CF81" s="426"/>
      <c r="CG81" s="426"/>
      <c r="CH81" s="426"/>
      <c r="CI81" s="426"/>
      <c r="CJ81" s="426"/>
      <c r="CK81" s="426"/>
      <c r="CL81" s="426"/>
      <c r="CM81" s="426"/>
      <c r="CN81" s="426"/>
      <c r="CO81" s="426"/>
      <c r="CP81" s="426"/>
      <c r="CQ81" s="426"/>
      <c r="CR81" s="426"/>
      <c r="CS81" s="426"/>
      <c r="CT81" s="426"/>
      <c r="CU81" s="426"/>
      <c r="CV81" s="426"/>
      <c r="CW81" s="426"/>
      <c r="CX81" s="426"/>
      <c r="CY81" s="426"/>
      <c r="CZ81" s="426"/>
      <c r="DA81" s="426"/>
      <c r="DB81" s="426"/>
      <c r="DC81" s="426"/>
      <c r="DD81" s="426"/>
      <c r="DE81" s="426"/>
      <c r="DF81" s="426"/>
      <c r="DG81" s="426"/>
      <c r="DH81" s="426"/>
      <c r="DI81" s="426"/>
      <c r="DJ81" s="426"/>
      <c r="DK81" s="426"/>
      <c r="DL81" s="426"/>
      <c r="DM81" s="426"/>
      <c r="DN81" s="426"/>
      <c r="DO81" s="426"/>
      <c r="DP81" s="426"/>
      <c r="DQ81" s="426"/>
      <c r="DR81" s="426"/>
      <c r="DS81" s="426"/>
      <c r="DT81" s="426"/>
      <c r="DU81" s="426"/>
      <c r="DV81" s="426"/>
      <c r="DW81" s="426"/>
      <c r="DX81" s="426"/>
      <c r="DY81" s="426"/>
      <c r="DZ81" s="426"/>
      <c r="EA81" s="426"/>
      <c r="EB81" s="426"/>
      <c r="EC81" s="426"/>
      <c r="ED81" s="426"/>
      <c r="EE81" s="426"/>
      <c r="EF81" s="426"/>
      <c r="EG81" s="426"/>
      <c r="EH81" s="426"/>
      <c r="EI81" s="426"/>
      <c r="EJ81" s="426"/>
      <c r="EK81" s="426"/>
      <c r="EL81" s="426"/>
      <c r="EM81" s="426"/>
      <c r="EN81" s="426"/>
      <c r="EO81" s="426"/>
      <c r="EP81" s="426"/>
      <c r="EQ81" s="426"/>
      <c r="ER81" s="426"/>
      <c r="ES81" s="426"/>
      <c r="ET81" s="426"/>
      <c r="EU81" s="426"/>
      <c r="EV81" s="426"/>
      <c r="EW81" s="426"/>
      <c r="EX81" s="426"/>
      <c r="EY81" s="426"/>
      <c r="EZ81" s="426"/>
      <c r="FA81" s="426"/>
      <c r="FB81" s="426"/>
      <c r="FC81" s="426"/>
      <c r="FD81" s="426"/>
      <c r="FE81" s="426"/>
      <c r="FF81" s="426"/>
      <c r="FG81" s="426"/>
      <c r="FH81" s="426"/>
      <c r="FI81" s="426"/>
    </row>
    <row r="82" spans="1:165" s="466" customFormat="1" ht="15.75" hidden="1" customHeight="1">
      <c r="A82" s="940"/>
      <c r="B82" s="1387"/>
      <c r="C82" s="464"/>
      <c r="D82" s="465" t="s">
        <v>807</v>
      </c>
      <c r="E82" s="941"/>
      <c r="F82" s="941"/>
      <c r="G82" s="941"/>
      <c r="H82" s="942"/>
      <c r="I82" s="943"/>
      <c r="J82"/>
      <c r="K82" s="954" t="s">
        <v>807</v>
      </c>
      <c r="L82" s="951"/>
      <c r="M82" s="951"/>
      <c r="N82" s="952"/>
      <c r="O82" s="952"/>
      <c r="P82" s="426"/>
      <c r="Q82" s="426"/>
      <c r="R82" s="426"/>
      <c r="S82" s="426"/>
      <c r="T82" s="426"/>
      <c r="U82" s="426"/>
      <c r="V82" s="426"/>
      <c r="W82" s="426"/>
      <c r="X82" s="426"/>
      <c r="Y82" s="426"/>
      <c r="Z82" s="426"/>
      <c r="AA82" s="426"/>
      <c r="AB82" s="426"/>
      <c r="AC82" s="426"/>
      <c r="AD82" s="426"/>
      <c r="AE82" s="426"/>
      <c r="AF82" s="426"/>
      <c r="AG82" s="426"/>
      <c r="AH82" s="426"/>
      <c r="AI82" s="426"/>
      <c r="AJ82" s="426"/>
      <c r="AK82" s="426"/>
      <c r="AL82" s="426"/>
      <c r="AM82" s="426"/>
      <c r="AN82" s="426"/>
      <c r="AO82" s="426"/>
      <c r="AP82" s="426"/>
      <c r="AQ82" s="426"/>
      <c r="AR82" s="426"/>
      <c r="AS82" s="426"/>
      <c r="AT82" s="426"/>
      <c r="AU82" s="426"/>
      <c r="AV82" s="426"/>
      <c r="AW82" s="426"/>
      <c r="AX82" s="426"/>
      <c r="AY82" s="426"/>
      <c r="AZ82" s="426"/>
      <c r="BA82" s="426"/>
      <c r="BB82" s="426"/>
      <c r="BC82" s="426"/>
      <c r="BD82" s="426"/>
      <c r="BE82" s="426"/>
      <c r="BF82" s="426"/>
      <c r="BG82" s="426"/>
      <c r="BH82" s="426"/>
      <c r="BI82" s="426"/>
      <c r="BJ82" s="426"/>
      <c r="BK82" s="426"/>
      <c r="BL82" s="426"/>
      <c r="BM82" s="426"/>
      <c r="BN82" s="426"/>
      <c r="BO82" s="426"/>
      <c r="BP82" s="426"/>
      <c r="BQ82" s="426"/>
      <c r="BR82" s="426"/>
      <c r="BS82" s="426"/>
      <c r="BT82" s="426"/>
      <c r="BU82" s="426"/>
      <c r="BV82" s="426"/>
      <c r="BW82" s="426"/>
      <c r="BX82" s="426"/>
      <c r="BY82" s="426"/>
      <c r="BZ82" s="426"/>
      <c r="CA82" s="426"/>
      <c r="CB82" s="426"/>
      <c r="CC82" s="426"/>
      <c r="CD82" s="426"/>
      <c r="CE82" s="426"/>
      <c r="CF82" s="426"/>
      <c r="CG82" s="426"/>
      <c r="CH82" s="426"/>
      <c r="CI82" s="426"/>
      <c r="CJ82" s="426"/>
      <c r="CK82" s="426"/>
      <c r="CL82" s="426"/>
      <c r="CM82" s="426"/>
      <c r="CN82" s="426"/>
      <c r="CO82" s="426"/>
      <c r="CP82" s="426"/>
      <c r="CQ82" s="426"/>
      <c r="CR82" s="426"/>
      <c r="CS82" s="426"/>
      <c r="CT82" s="426"/>
      <c r="CU82" s="426"/>
      <c r="CV82" s="426"/>
      <c r="CW82" s="426"/>
      <c r="CX82" s="426"/>
      <c r="CY82" s="426"/>
      <c r="CZ82" s="426"/>
      <c r="DA82" s="426"/>
      <c r="DB82" s="426"/>
      <c r="DC82" s="426"/>
      <c r="DD82" s="426"/>
      <c r="DE82" s="426"/>
      <c r="DF82" s="426"/>
      <c r="DG82" s="426"/>
      <c r="DH82" s="426"/>
      <c r="DI82" s="426"/>
      <c r="DJ82" s="426"/>
      <c r="DK82" s="426"/>
      <c r="DL82" s="426"/>
      <c r="DM82" s="426"/>
      <c r="DN82" s="426"/>
      <c r="DO82" s="426"/>
      <c r="DP82" s="426"/>
      <c r="DQ82" s="426"/>
      <c r="DR82" s="426"/>
      <c r="DS82" s="426"/>
      <c r="DT82" s="426"/>
      <c r="DU82" s="426"/>
      <c r="DV82" s="426"/>
      <c r="DW82" s="426"/>
      <c r="DX82" s="426"/>
      <c r="DY82" s="426"/>
      <c r="DZ82" s="426"/>
      <c r="EA82" s="426"/>
      <c r="EB82" s="426"/>
      <c r="EC82" s="426"/>
      <c r="ED82" s="426"/>
      <c r="EE82" s="426"/>
      <c r="EF82" s="426"/>
      <c r="EG82" s="426"/>
      <c r="EH82" s="426"/>
      <c r="EI82" s="426"/>
      <c r="EJ82" s="426"/>
      <c r="EK82" s="426"/>
      <c r="EL82" s="426"/>
      <c r="EM82" s="426"/>
      <c r="EN82" s="426"/>
      <c r="EO82" s="426"/>
      <c r="EP82" s="426"/>
      <c r="EQ82" s="426"/>
      <c r="ER82" s="426"/>
      <c r="ES82" s="426"/>
      <c r="ET82" s="426"/>
      <c r="EU82" s="426"/>
      <c r="EV82" s="426"/>
      <c r="EW82" s="426"/>
      <c r="EX82" s="426"/>
      <c r="EY82" s="426"/>
      <c r="EZ82" s="426"/>
      <c r="FA82" s="426"/>
      <c r="FB82" s="426"/>
      <c r="FC82" s="426"/>
      <c r="FD82" s="426"/>
      <c r="FE82" s="426"/>
      <c r="FF82" s="426"/>
      <c r="FG82" s="426"/>
      <c r="FH82" s="426"/>
      <c r="FI82" s="426"/>
    </row>
    <row r="83" spans="1:165" s="466" customFormat="1" ht="15.75" hidden="1" customHeight="1">
      <c r="A83" s="940"/>
      <c r="B83" s="1387"/>
      <c r="C83" s="464"/>
      <c r="D83" s="465" t="s">
        <v>807</v>
      </c>
      <c r="E83" s="941"/>
      <c r="F83" s="941"/>
      <c r="G83" s="941"/>
      <c r="H83" s="942"/>
      <c r="I83" s="943"/>
      <c r="J83"/>
      <c r="K83" s="954" t="s">
        <v>807</v>
      </c>
      <c r="L83" s="951"/>
      <c r="M83" s="951"/>
      <c r="N83" s="952"/>
      <c r="O83" s="952"/>
      <c r="P83" s="426"/>
      <c r="Q83" s="426"/>
      <c r="R83" s="426"/>
      <c r="S83" s="426"/>
      <c r="T83" s="426"/>
      <c r="U83" s="426"/>
      <c r="V83" s="426"/>
      <c r="W83" s="426"/>
      <c r="X83" s="426"/>
      <c r="Y83" s="426"/>
      <c r="Z83" s="426"/>
      <c r="AA83" s="426"/>
      <c r="AB83" s="426"/>
      <c r="AC83" s="426"/>
      <c r="AD83" s="426"/>
      <c r="AE83" s="426"/>
      <c r="AF83" s="426"/>
      <c r="AG83" s="426"/>
      <c r="AH83" s="426"/>
      <c r="AI83" s="426"/>
      <c r="AJ83" s="426"/>
      <c r="AK83" s="426"/>
      <c r="AL83" s="426"/>
      <c r="AM83" s="426"/>
      <c r="AN83" s="426"/>
      <c r="AO83" s="426"/>
      <c r="AP83" s="426"/>
      <c r="AQ83" s="426"/>
      <c r="AR83" s="426"/>
      <c r="AS83" s="426"/>
      <c r="AT83" s="426"/>
      <c r="AU83" s="426"/>
      <c r="AV83" s="426"/>
      <c r="AW83" s="426"/>
      <c r="AX83" s="426"/>
      <c r="AY83" s="426"/>
      <c r="AZ83" s="426"/>
      <c r="BA83" s="426"/>
      <c r="BB83" s="426"/>
      <c r="BC83" s="426"/>
      <c r="BD83" s="426"/>
      <c r="BE83" s="426"/>
      <c r="BF83" s="426"/>
      <c r="BG83" s="426"/>
      <c r="BH83" s="426"/>
      <c r="BI83" s="426"/>
      <c r="BJ83" s="426"/>
      <c r="BK83" s="426"/>
      <c r="BL83" s="426"/>
      <c r="BM83" s="426"/>
      <c r="BN83" s="426"/>
      <c r="BO83" s="426"/>
      <c r="BP83" s="426"/>
      <c r="BQ83" s="426"/>
      <c r="BR83" s="426"/>
      <c r="BS83" s="426"/>
      <c r="BT83" s="426"/>
      <c r="BU83" s="426"/>
      <c r="BV83" s="426"/>
      <c r="BW83" s="426"/>
      <c r="BX83" s="426"/>
      <c r="BY83" s="426"/>
      <c r="BZ83" s="426"/>
      <c r="CA83" s="426"/>
      <c r="CB83" s="426"/>
      <c r="CC83" s="426"/>
      <c r="CD83" s="426"/>
      <c r="CE83" s="426"/>
      <c r="CF83" s="426"/>
      <c r="CG83" s="426"/>
      <c r="CH83" s="426"/>
      <c r="CI83" s="426"/>
      <c r="CJ83" s="426"/>
      <c r="CK83" s="426"/>
      <c r="CL83" s="426"/>
      <c r="CM83" s="426"/>
      <c r="CN83" s="426"/>
      <c r="CO83" s="426"/>
      <c r="CP83" s="426"/>
      <c r="CQ83" s="426"/>
      <c r="CR83" s="426"/>
      <c r="CS83" s="426"/>
      <c r="CT83" s="426"/>
      <c r="CU83" s="426"/>
      <c r="CV83" s="426"/>
      <c r="CW83" s="426"/>
      <c r="CX83" s="426"/>
      <c r="CY83" s="426"/>
      <c r="CZ83" s="426"/>
      <c r="DA83" s="426"/>
      <c r="DB83" s="426"/>
      <c r="DC83" s="426"/>
      <c r="DD83" s="426"/>
      <c r="DE83" s="426"/>
      <c r="DF83" s="426"/>
      <c r="DG83" s="426"/>
      <c r="DH83" s="426"/>
      <c r="DI83" s="426"/>
      <c r="DJ83" s="426"/>
      <c r="DK83" s="426"/>
      <c r="DL83" s="426"/>
      <c r="DM83" s="426"/>
      <c r="DN83" s="426"/>
      <c r="DO83" s="426"/>
      <c r="DP83" s="426"/>
      <c r="DQ83" s="426"/>
      <c r="DR83" s="426"/>
      <c r="DS83" s="426"/>
      <c r="DT83" s="426"/>
      <c r="DU83" s="426"/>
      <c r="DV83" s="426"/>
      <c r="DW83" s="426"/>
      <c r="DX83" s="426"/>
      <c r="DY83" s="426"/>
      <c r="DZ83" s="426"/>
      <c r="EA83" s="426"/>
      <c r="EB83" s="426"/>
      <c r="EC83" s="426"/>
      <c r="ED83" s="426"/>
      <c r="EE83" s="426"/>
      <c r="EF83" s="426"/>
      <c r="EG83" s="426"/>
      <c r="EH83" s="426"/>
      <c r="EI83" s="426"/>
      <c r="EJ83" s="426"/>
      <c r="EK83" s="426"/>
      <c r="EL83" s="426"/>
      <c r="EM83" s="426"/>
      <c r="EN83" s="426"/>
      <c r="EO83" s="426"/>
      <c r="EP83" s="426"/>
      <c r="EQ83" s="426"/>
      <c r="ER83" s="426"/>
      <c r="ES83" s="426"/>
      <c r="ET83" s="426"/>
      <c r="EU83" s="426"/>
      <c r="EV83" s="426"/>
      <c r="EW83" s="426"/>
      <c r="EX83" s="426"/>
      <c r="EY83" s="426"/>
      <c r="EZ83" s="426"/>
      <c r="FA83" s="426"/>
      <c r="FB83" s="426"/>
      <c r="FC83" s="426"/>
      <c r="FD83" s="426"/>
      <c r="FE83" s="426"/>
      <c r="FF83" s="426"/>
      <c r="FG83" s="426"/>
      <c r="FH83" s="426"/>
      <c r="FI83" s="426"/>
    </row>
    <row r="84" spans="1:165" s="466" customFormat="1" ht="16.5" hidden="1" customHeight="1" thickBot="1">
      <c r="A84" s="940"/>
      <c r="B84" s="1387"/>
      <c r="C84" s="467"/>
      <c r="D84" s="468" t="s">
        <v>807</v>
      </c>
      <c r="E84" s="947"/>
      <c r="F84" s="941"/>
      <c r="G84" s="948"/>
      <c r="H84" s="949"/>
      <c r="I84" s="950"/>
      <c r="J84"/>
      <c r="K84" s="955" t="s">
        <v>807</v>
      </c>
      <c r="L84" s="951"/>
      <c r="M84" s="951"/>
      <c r="N84" s="952"/>
      <c r="O84" s="952"/>
      <c r="P84" s="426"/>
      <c r="Q84" s="426"/>
      <c r="R84" s="426"/>
      <c r="S84" s="426"/>
      <c r="T84" s="426"/>
      <c r="U84" s="426"/>
      <c r="V84" s="426"/>
      <c r="W84" s="426"/>
      <c r="X84" s="426"/>
      <c r="Y84" s="426"/>
      <c r="Z84" s="426"/>
      <c r="AA84" s="426"/>
      <c r="AB84" s="426"/>
      <c r="AC84" s="426"/>
      <c r="AD84" s="426"/>
      <c r="AE84" s="426"/>
      <c r="AF84" s="426"/>
      <c r="AG84" s="426"/>
      <c r="AH84" s="426"/>
      <c r="AI84" s="426"/>
      <c r="AJ84" s="426"/>
      <c r="AK84" s="426"/>
      <c r="AL84" s="426"/>
      <c r="AM84" s="426"/>
      <c r="AN84" s="426"/>
      <c r="AO84" s="426"/>
      <c r="AP84" s="426"/>
      <c r="AQ84" s="426"/>
      <c r="AR84" s="426"/>
      <c r="AS84" s="426"/>
      <c r="AT84" s="426"/>
      <c r="AU84" s="426"/>
      <c r="AV84" s="426"/>
      <c r="AW84" s="426"/>
      <c r="AX84" s="426"/>
      <c r="AY84" s="426"/>
      <c r="AZ84" s="426"/>
      <c r="BA84" s="426"/>
      <c r="BB84" s="426"/>
      <c r="BC84" s="426"/>
      <c r="BD84" s="426"/>
      <c r="BE84" s="426"/>
      <c r="BF84" s="426"/>
      <c r="BG84" s="426"/>
      <c r="BH84" s="426"/>
      <c r="BI84" s="426"/>
      <c r="BJ84" s="426"/>
      <c r="BK84" s="426"/>
      <c r="BL84" s="426"/>
      <c r="BM84" s="426"/>
      <c r="BN84" s="426"/>
      <c r="BO84" s="426"/>
      <c r="BP84" s="426"/>
      <c r="BQ84" s="426"/>
      <c r="BR84" s="426"/>
      <c r="BS84" s="426"/>
      <c r="BT84" s="426"/>
      <c r="BU84" s="426"/>
      <c r="BV84" s="426"/>
      <c r="BW84" s="426"/>
      <c r="BX84" s="426"/>
      <c r="BY84" s="426"/>
      <c r="BZ84" s="426"/>
      <c r="CA84" s="426"/>
      <c r="CB84" s="426"/>
      <c r="CC84" s="426"/>
      <c r="CD84" s="426"/>
      <c r="CE84" s="426"/>
      <c r="CF84" s="426"/>
      <c r="CG84" s="426"/>
      <c r="CH84" s="426"/>
      <c r="CI84" s="426"/>
      <c r="CJ84" s="426"/>
      <c r="CK84" s="426"/>
      <c r="CL84" s="426"/>
      <c r="CM84" s="426"/>
      <c r="CN84" s="426"/>
      <c r="CO84" s="426"/>
      <c r="CP84" s="426"/>
      <c r="CQ84" s="426"/>
      <c r="CR84" s="426"/>
      <c r="CS84" s="426"/>
      <c r="CT84" s="426"/>
      <c r="CU84" s="426"/>
      <c r="CV84" s="426"/>
      <c r="CW84" s="426"/>
      <c r="CX84" s="426"/>
      <c r="CY84" s="426"/>
      <c r="CZ84" s="426"/>
      <c r="DA84" s="426"/>
      <c r="DB84" s="426"/>
      <c r="DC84" s="426"/>
      <c r="DD84" s="426"/>
      <c r="DE84" s="426"/>
      <c r="DF84" s="426"/>
      <c r="DG84" s="426"/>
      <c r="DH84" s="426"/>
      <c r="DI84" s="426"/>
      <c r="DJ84" s="426"/>
      <c r="DK84" s="426"/>
      <c r="DL84" s="426"/>
      <c r="DM84" s="426"/>
      <c r="DN84" s="426"/>
      <c r="DO84" s="426"/>
      <c r="DP84" s="426"/>
      <c r="DQ84" s="426"/>
      <c r="DR84" s="426"/>
      <c r="DS84" s="426"/>
      <c r="DT84" s="426"/>
      <c r="DU84" s="426"/>
      <c r="DV84" s="426"/>
      <c r="DW84" s="426"/>
      <c r="DX84" s="426"/>
      <c r="DY84" s="426"/>
      <c r="DZ84" s="426"/>
      <c r="EA84" s="426"/>
      <c r="EB84" s="426"/>
      <c r="EC84" s="426"/>
      <c r="ED84" s="426"/>
      <c r="EE84" s="426"/>
      <c r="EF84" s="426"/>
      <c r="EG84" s="426"/>
      <c r="EH84" s="426"/>
      <c r="EI84" s="426"/>
      <c r="EJ84" s="426"/>
      <c r="EK84" s="426"/>
      <c r="EL84" s="426"/>
      <c r="EM84" s="426"/>
      <c r="EN84" s="426"/>
      <c r="EO84" s="426"/>
      <c r="EP84" s="426"/>
      <c r="EQ84" s="426"/>
      <c r="ER84" s="426"/>
      <c r="ES84" s="426"/>
      <c r="ET84" s="426"/>
      <c r="EU84" s="426"/>
      <c r="EV84" s="426"/>
      <c r="EW84" s="426"/>
      <c r="EX84" s="426"/>
      <c r="EY84" s="426"/>
      <c r="EZ84" s="426"/>
      <c r="FA84" s="426"/>
      <c r="FB84" s="426"/>
      <c r="FC84" s="426"/>
      <c r="FD84" s="426"/>
      <c r="FE84" s="426"/>
      <c r="FF84" s="426"/>
      <c r="FG84" s="426"/>
      <c r="FH84" s="426"/>
      <c r="FI84" s="426"/>
    </row>
    <row r="85" spans="1:165" ht="16.5" thickBot="1">
      <c r="A85" s="724"/>
      <c r="B85" s="1387"/>
      <c r="C85" s="469"/>
      <c r="D85" s="724"/>
      <c r="E85" s="729"/>
      <c r="I85" s="346"/>
      <c r="T85" s="461"/>
      <c r="U85" s="461"/>
      <c r="V85" s="471"/>
      <c r="W85" s="457"/>
      <c r="X85" s="461"/>
      <c r="Y85" s="461"/>
      <c r="Z85" s="471"/>
      <c r="AM85" s="428"/>
      <c r="AW85" s="428"/>
    </row>
    <row r="86" spans="1:165" ht="31.5">
      <c r="A86" s="723"/>
      <c r="B86" s="1387"/>
      <c r="C86" s="442" t="str">
        <f t="shared" ref="C86:C93" si="4">C71</f>
        <v>Feed item</v>
      </c>
      <c r="D86" s="611"/>
      <c r="E86" s="611" t="s">
        <v>1333</v>
      </c>
      <c r="F86" s="611" t="s">
        <v>1175</v>
      </c>
      <c r="G86" s="612" t="s">
        <v>1176</v>
      </c>
      <c r="H86" s="428"/>
      <c r="I86" s="460"/>
      <c r="J86" s="460" t="s">
        <v>912</v>
      </c>
      <c r="K86" s="460" t="s">
        <v>1094</v>
      </c>
      <c r="L86" s="460" t="s">
        <v>1095</v>
      </c>
      <c r="M86" s="460"/>
      <c r="N86" s="460"/>
      <c r="O86" s="460"/>
      <c r="P86" s="460"/>
      <c r="Q86" s="460"/>
      <c r="R86" s="460"/>
      <c r="S86" s="460"/>
      <c r="T86" s="461"/>
      <c r="U86" s="457"/>
      <c r="V86" s="471"/>
      <c r="W86" s="471"/>
      <c r="X86" s="457"/>
      <c r="Y86" s="461"/>
      <c r="Z86" s="471"/>
      <c r="AM86" s="428"/>
      <c r="AW86" s="428"/>
    </row>
    <row r="87" spans="1:165">
      <c r="A87" s="724"/>
      <c r="B87" s="1387"/>
      <c r="C87" s="967" t="str">
        <f t="shared" si="4"/>
        <v>Concentrate (commercial)</v>
      </c>
      <c r="D87" s="114" t="str">
        <f>IF(E72="Residue", D72, "-")</f>
        <v>-</v>
      </c>
      <c r="E87" s="705"/>
      <c r="F87" s="705"/>
      <c r="G87" s="682">
        <v>0</v>
      </c>
      <c r="I87" s="461"/>
      <c r="J87" s="460" t="e">
        <f>#REF!</f>
        <v>#REF!</v>
      </c>
      <c r="K87" s="461"/>
      <c r="L87" s="461"/>
      <c r="M87" s="461"/>
      <c r="N87" s="461"/>
      <c r="O87" s="461"/>
      <c r="P87" s="461"/>
      <c r="Q87" s="461"/>
      <c r="R87" s="461"/>
      <c r="S87" s="461"/>
      <c r="T87" s="461"/>
      <c r="U87" s="471"/>
      <c r="V87" s="471"/>
      <c r="W87" s="471"/>
      <c r="X87" s="471"/>
      <c r="Y87" s="457"/>
      <c r="Z87" s="471"/>
      <c r="AM87" s="428"/>
      <c r="AW87" s="428"/>
    </row>
    <row r="88" spans="1:165">
      <c r="A88" s="724"/>
      <c r="B88" s="1387"/>
      <c r="C88" s="974" t="str">
        <f t="shared" si="4"/>
        <v xml:space="preserve">Naturally occuring pasture - green fodder </v>
      </c>
      <c r="D88" s="114" t="str">
        <f>IF(E73="Residue", D73, "-")</f>
        <v>-</v>
      </c>
      <c r="E88" s="705">
        <v>1</v>
      </c>
      <c r="F88" s="705"/>
      <c r="G88" s="682">
        <v>0</v>
      </c>
      <c r="I88" s="461"/>
      <c r="J88" s="460" t="str">
        <f t="shared" ref="J88:J93" si="5">AA60</f>
        <v>None</v>
      </c>
      <c r="K88" s="461"/>
      <c r="L88" s="461"/>
      <c r="M88" s="461"/>
      <c r="N88" s="461"/>
      <c r="O88" s="461"/>
      <c r="P88" s="461"/>
      <c r="Q88" s="461"/>
      <c r="R88" s="461"/>
      <c r="S88" s="461"/>
      <c r="T88" s="457"/>
      <c r="U88" s="471"/>
      <c r="V88" s="471"/>
      <c r="W88" s="471"/>
      <c r="X88" s="471"/>
      <c r="Y88" s="471"/>
      <c r="Z88" s="471"/>
      <c r="AM88" s="428"/>
      <c r="AW88" s="428"/>
    </row>
    <row r="89" spans="1:165" ht="17.25" customHeight="1">
      <c r="A89" s="724"/>
      <c r="B89" s="1387"/>
      <c r="C89" s="974" t="str">
        <f t="shared" si="4"/>
        <v>Maize (Zea mays)-stover</v>
      </c>
      <c r="D89" s="114" t="str">
        <f>IF(E74="Residue", D74, "-")</f>
        <v>Maize</v>
      </c>
      <c r="E89" s="705">
        <v>0.4</v>
      </c>
      <c r="F89" s="705">
        <v>0.6</v>
      </c>
      <c r="G89" s="682">
        <v>0</v>
      </c>
      <c r="I89" s="461"/>
      <c r="J89" s="460" t="str">
        <f t="shared" si="5"/>
        <v>None</v>
      </c>
      <c r="K89" s="461"/>
      <c r="L89" s="461"/>
      <c r="M89" s="461"/>
      <c r="N89" s="461"/>
      <c r="O89" s="461"/>
      <c r="P89" s="461"/>
      <c r="Q89" s="461"/>
      <c r="R89" s="461"/>
      <c r="S89" s="461"/>
      <c r="T89" s="471"/>
      <c r="U89" s="471"/>
      <c r="V89" s="471"/>
      <c r="W89" s="471"/>
      <c r="X89" s="471"/>
      <c r="Y89" s="471"/>
      <c r="Z89" s="471"/>
      <c r="AM89" s="428"/>
      <c r="AW89" s="428"/>
    </row>
    <row r="90" spans="1:165">
      <c r="A90" s="724"/>
      <c r="B90" s="1387"/>
      <c r="C90" s="974" t="str">
        <f t="shared" si="4"/>
        <v>Guatemala grass (Tripsacum andersonii) - forage</v>
      </c>
      <c r="D90" s="114" t="str">
        <f t="shared" ref="D90:D93" si="6">IF(E75="Residue", D75, "-")</f>
        <v>-</v>
      </c>
      <c r="E90" s="705">
        <v>1</v>
      </c>
      <c r="F90" s="705"/>
      <c r="G90" s="682">
        <v>0</v>
      </c>
      <c r="I90" s="461"/>
      <c r="J90" s="460" t="str">
        <f t="shared" si="5"/>
        <v>None</v>
      </c>
      <c r="K90" s="461"/>
      <c r="L90" s="461"/>
      <c r="M90" s="461"/>
      <c r="N90" s="461"/>
      <c r="O90" s="461"/>
      <c r="P90" s="461"/>
      <c r="Q90" s="461"/>
      <c r="R90" s="461"/>
      <c r="S90" s="461"/>
      <c r="T90" s="471"/>
      <c r="U90" s="471"/>
      <c r="V90" s="471"/>
      <c r="W90" s="471"/>
      <c r="X90" s="471"/>
      <c r="Y90" s="471"/>
      <c r="Z90" s="471"/>
      <c r="AM90" s="428"/>
      <c r="AW90" s="428"/>
    </row>
    <row r="91" spans="1:165">
      <c r="A91" s="724"/>
      <c r="B91" s="1387"/>
      <c r="C91" s="974" t="str">
        <f t="shared" si="4"/>
        <v>Rhodes grass (Chloris gayana) - forage</v>
      </c>
      <c r="D91" s="114" t="str">
        <f t="shared" si="6"/>
        <v>-</v>
      </c>
      <c r="E91" s="705">
        <v>1</v>
      </c>
      <c r="F91" s="705"/>
      <c r="G91" s="682">
        <v>0</v>
      </c>
      <c r="I91" s="461"/>
      <c r="J91" s="460" t="str">
        <f t="shared" si="5"/>
        <v>None</v>
      </c>
      <c r="K91" s="461"/>
      <c r="L91" s="461"/>
      <c r="M91" s="461"/>
      <c r="N91" s="461"/>
      <c r="O91" s="461"/>
      <c r="P91" s="461"/>
      <c r="Q91" s="461"/>
      <c r="R91" s="461"/>
      <c r="S91" s="461"/>
      <c r="T91" s="471"/>
      <c r="U91" s="471"/>
      <c r="V91" s="471"/>
      <c r="W91" s="471"/>
      <c r="X91" s="471"/>
      <c r="Y91" s="471"/>
      <c r="Z91" s="471"/>
      <c r="AM91" s="428"/>
      <c r="AW91" s="428"/>
      <c r="AY91" s="428"/>
    </row>
    <row r="92" spans="1:165">
      <c r="A92" s="724"/>
      <c r="B92" s="1387"/>
      <c r="C92" s="974" t="str">
        <f t="shared" si="4"/>
        <v>Napier grass (Pennisetum purpureum) - forage</v>
      </c>
      <c r="D92" s="114" t="str">
        <f t="shared" si="6"/>
        <v>-</v>
      </c>
      <c r="E92" s="705">
        <v>1</v>
      </c>
      <c r="F92" s="705"/>
      <c r="G92" s="682">
        <v>0</v>
      </c>
      <c r="I92" s="461"/>
      <c r="J92" s="460" t="str">
        <f t="shared" si="5"/>
        <v>None</v>
      </c>
      <c r="K92" s="461"/>
      <c r="L92" s="461"/>
      <c r="M92" s="461"/>
      <c r="N92" s="461"/>
      <c r="O92" s="461"/>
      <c r="P92" s="461"/>
      <c r="Q92" s="461"/>
      <c r="R92" s="461"/>
      <c r="S92" s="461"/>
      <c r="T92" s="471"/>
      <c r="U92" s="471"/>
      <c r="V92" s="471"/>
      <c r="W92" s="471"/>
      <c r="X92" s="471"/>
      <c r="Y92" s="471"/>
      <c r="Z92" s="471"/>
      <c r="AL92" s="428"/>
      <c r="AV92" s="428"/>
      <c r="AY92" s="428"/>
    </row>
    <row r="93" spans="1:165" ht="16.5" thickBot="1">
      <c r="A93" s="724"/>
      <c r="B93" s="1387"/>
      <c r="C93" s="706" t="str">
        <f t="shared" si="4"/>
        <v>N/A</v>
      </c>
      <c r="D93" s="649" t="str">
        <f t="shared" si="6"/>
        <v>-</v>
      </c>
      <c r="E93" s="713"/>
      <c r="F93" s="713"/>
      <c r="G93" s="714">
        <v>0</v>
      </c>
      <c r="I93" s="461"/>
      <c r="J93" s="460" t="str">
        <f t="shared" si="5"/>
        <v>None</v>
      </c>
      <c r="K93" s="461"/>
      <c r="L93" s="461"/>
      <c r="M93" s="461"/>
      <c r="N93" s="461"/>
      <c r="O93" s="461"/>
      <c r="P93" s="461"/>
      <c r="Q93" s="461"/>
      <c r="R93" s="461"/>
      <c r="S93" s="461"/>
      <c r="T93" s="471"/>
      <c r="U93" s="471"/>
      <c r="V93" s="471"/>
      <c r="W93" s="471"/>
      <c r="X93" s="471"/>
      <c r="Y93" s="471"/>
      <c r="Z93" s="471"/>
      <c r="AL93" s="428"/>
      <c r="AV93" s="428"/>
      <c r="AY93" s="428"/>
    </row>
    <row r="94" spans="1:165" ht="16.5" thickBot="1">
      <c r="A94" s="724"/>
      <c r="B94" s="735"/>
      <c r="C94" s="723"/>
      <c r="D94" s="723"/>
      <c r="E94" s="724"/>
      <c r="F94" s="724"/>
      <c r="H94" s="461"/>
      <c r="I94" s="461"/>
      <c r="J94" s="461"/>
      <c r="K94" s="461"/>
      <c r="L94" s="457"/>
      <c r="M94" s="457"/>
      <c r="N94" s="457"/>
      <c r="O94" s="457"/>
      <c r="P94" s="457"/>
      <c r="Q94" s="457"/>
      <c r="R94" s="457"/>
      <c r="S94" s="457"/>
      <c r="T94" s="471"/>
      <c r="U94" s="471"/>
      <c r="V94" s="471"/>
      <c r="W94" s="471"/>
      <c r="X94" s="471"/>
      <c r="Y94" s="471"/>
      <c r="Z94" s="471"/>
      <c r="AL94" s="428"/>
      <c r="AV94" s="428"/>
      <c r="AY94" s="428"/>
    </row>
    <row r="95" spans="1:165" ht="45">
      <c r="A95" s="724"/>
      <c r="B95" s="1388" t="s">
        <v>846</v>
      </c>
      <c r="C95" s="442" t="str">
        <f t="shared" ref="C95:C102" si="7">C86</f>
        <v>Feed item</v>
      </c>
      <c r="D95" s="719"/>
      <c r="E95" s="431" t="s">
        <v>1480</v>
      </c>
      <c r="F95" s="236" t="s">
        <v>1731</v>
      </c>
      <c r="H95" s="461"/>
      <c r="I95" s="461"/>
      <c r="J95" s="460" t="s">
        <v>1147</v>
      </c>
      <c r="K95" s="460" t="s">
        <v>1071</v>
      </c>
      <c r="L95" s="471"/>
      <c r="M95" s="471"/>
      <c r="N95" s="471"/>
      <c r="O95" s="471"/>
      <c r="P95" s="471"/>
      <c r="Q95" s="471"/>
      <c r="R95" s="471"/>
      <c r="S95" s="471"/>
      <c r="T95" s="471"/>
      <c r="U95" s="471"/>
      <c r="V95" s="471"/>
      <c r="W95" s="471"/>
      <c r="X95" s="471"/>
      <c r="Y95" s="471"/>
      <c r="Z95" s="471"/>
      <c r="AL95" s="428"/>
      <c r="AV95" s="428"/>
      <c r="AY95" s="428"/>
    </row>
    <row r="96" spans="1:165" s="466" customFormat="1" ht="15.75" customHeight="1">
      <c r="A96" s="724"/>
      <c r="B96" s="1389"/>
      <c r="C96" s="974" t="str">
        <f t="shared" si="7"/>
        <v>Concentrate (commercial)</v>
      </c>
      <c r="D96" s="114" t="str">
        <f t="shared" ref="D96:D102" si="8">D72</f>
        <v>Purchased</v>
      </c>
      <c r="E96" s="372">
        <v>0</v>
      </c>
      <c r="F96" s="370">
        <v>0</v>
      </c>
      <c r="G96" s="321"/>
      <c r="H96" s="461"/>
      <c r="I96" s="460" t="e">
        <f>#REF!</f>
        <v>#REF!</v>
      </c>
      <c r="J96" s="463"/>
      <c r="K96" s="463"/>
      <c r="L96" s="471"/>
      <c r="M96" s="471"/>
      <c r="N96" s="471"/>
      <c r="O96" s="471"/>
      <c r="P96" s="471"/>
      <c r="Q96" s="471"/>
      <c r="R96" s="471"/>
      <c r="S96" s="471"/>
      <c r="T96" s="471"/>
      <c r="U96" s="471"/>
      <c r="V96" s="471"/>
      <c r="W96" s="471"/>
      <c r="X96" s="471"/>
      <c r="Y96" s="471"/>
      <c r="Z96" s="471"/>
      <c r="AA96" s="426"/>
      <c r="AB96" s="426"/>
      <c r="AC96" s="426"/>
      <c r="AD96" s="426"/>
      <c r="AE96" s="426"/>
      <c r="AF96" s="426"/>
      <c r="AG96" s="426"/>
      <c r="AH96" s="426"/>
      <c r="AI96" s="426"/>
      <c r="AJ96" s="426"/>
      <c r="AK96" s="426"/>
      <c r="AL96" s="428"/>
      <c r="AM96" s="426"/>
      <c r="AN96" s="426"/>
      <c r="AO96" s="426"/>
      <c r="AP96" s="426"/>
      <c r="AQ96" s="426"/>
      <c r="AR96" s="426"/>
      <c r="AS96" s="426"/>
      <c r="AT96" s="426"/>
      <c r="AU96" s="426"/>
      <c r="AV96" s="428"/>
      <c r="AW96" s="426"/>
      <c r="AX96" s="426"/>
      <c r="AY96" s="428"/>
      <c r="AZ96" s="426"/>
      <c r="BA96" s="426"/>
      <c r="BB96" s="426"/>
      <c r="BC96" s="426"/>
      <c r="BD96" s="426"/>
      <c r="BE96" s="426"/>
      <c r="BF96" s="426"/>
      <c r="BG96" s="426"/>
      <c r="BH96" s="426"/>
      <c r="BI96" s="426"/>
      <c r="BJ96" s="426"/>
      <c r="BK96" s="426"/>
      <c r="BL96" s="426"/>
      <c r="BM96" s="426"/>
      <c r="BN96" s="426"/>
      <c r="BO96" s="426"/>
      <c r="BP96" s="426"/>
      <c r="BQ96" s="426"/>
      <c r="BR96" s="426"/>
      <c r="BS96" s="426"/>
      <c r="BT96" s="426"/>
      <c r="BU96" s="426"/>
      <c r="BV96" s="426"/>
      <c r="BW96" s="426"/>
      <c r="BX96" s="426"/>
      <c r="BY96" s="426"/>
      <c r="BZ96" s="426"/>
      <c r="CA96" s="426"/>
      <c r="CB96" s="426"/>
      <c r="CC96" s="426"/>
      <c r="CD96" s="426"/>
      <c r="CE96" s="426"/>
      <c r="CF96" s="426"/>
      <c r="CG96" s="426"/>
      <c r="CH96" s="426"/>
      <c r="CI96" s="426"/>
      <c r="CJ96" s="426"/>
      <c r="CK96" s="426"/>
      <c r="CL96" s="426"/>
      <c r="CM96" s="426"/>
      <c r="CN96" s="426"/>
      <c r="CO96" s="426"/>
      <c r="CP96" s="426"/>
      <c r="CQ96" s="426"/>
      <c r="CR96" s="426"/>
      <c r="CS96" s="426"/>
      <c r="CT96" s="426"/>
      <c r="CU96" s="426"/>
      <c r="CV96" s="426"/>
      <c r="CW96" s="426"/>
      <c r="CX96" s="426"/>
      <c r="CY96" s="426"/>
      <c r="CZ96" s="426"/>
      <c r="DA96" s="426"/>
      <c r="DB96" s="426"/>
      <c r="DC96" s="426"/>
      <c r="DD96" s="426"/>
      <c r="DE96" s="426"/>
      <c r="DF96" s="426"/>
      <c r="DG96" s="426"/>
      <c r="DH96" s="426"/>
      <c r="DI96" s="426"/>
      <c r="DJ96" s="426"/>
      <c r="DK96" s="426"/>
      <c r="DL96" s="426"/>
      <c r="DM96" s="426"/>
      <c r="DN96" s="426"/>
      <c r="DO96" s="426"/>
      <c r="DP96" s="426"/>
      <c r="DQ96" s="426"/>
      <c r="DR96" s="426"/>
      <c r="DS96" s="426"/>
      <c r="DT96" s="426"/>
      <c r="DU96" s="426"/>
      <c r="DV96" s="426"/>
      <c r="DW96" s="426"/>
      <c r="DX96" s="426"/>
      <c r="DY96" s="426"/>
      <c r="DZ96" s="426"/>
      <c r="EA96" s="426"/>
      <c r="EB96" s="426"/>
      <c r="EC96" s="426"/>
      <c r="ED96" s="426"/>
      <c r="EE96" s="426"/>
      <c r="EF96" s="426"/>
      <c r="EG96" s="426"/>
      <c r="EH96" s="426"/>
      <c r="EI96" s="426"/>
      <c r="EJ96" s="426"/>
      <c r="EK96" s="426"/>
      <c r="EL96" s="426"/>
      <c r="EM96" s="426"/>
      <c r="EN96" s="426"/>
      <c r="EO96" s="426"/>
      <c r="EP96" s="426"/>
      <c r="EQ96" s="426"/>
      <c r="ER96" s="426"/>
      <c r="ES96" s="426"/>
      <c r="ET96" s="426"/>
      <c r="EU96" s="426"/>
      <c r="EV96" s="426"/>
      <c r="EW96" s="426"/>
      <c r="EX96" s="426"/>
      <c r="EY96" s="426"/>
      <c r="EZ96" s="426"/>
      <c r="FA96" s="426"/>
      <c r="FB96" s="426"/>
      <c r="FC96" s="426"/>
      <c r="FD96" s="426"/>
      <c r="FE96" s="426"/>
      <c r="FF96" s="426"/>
      <c r="FG96" s="426"/>
      <c r="FH96" s="426"/>
      <c r="FI96" s="426"/>
    </row>
    <row r="97" spans="1:165" s="466" customFormat="1" ht="15.75" customHeight="1">
      <c r="A97" s="724"/>
      <c r="B97" s="1389"/>
      <c r="C97" s="974" t="str">
        <f t="shared" si="7"/>
        <v xml:space="preserve">Naturally occuring pasture - green fodder </v>
      </c>
      <c r="D97" s="114" t="str">
        <f t="shared" si="8"/>
        <v>Natural pasture</v>
      </c>
      <c r="E97" s="372">
        <v>15</v>
      </c>
      <c r="F97" s="370">
        <v>0</v>
      </c>
      <c r="G97" s="321"/>
      <c r="H97" s="461"/>
      <c r="I97" s="460" t="str">
        <f t="shared" ref="I97:I102" si="9">AA60</f>
        <v>None</v>
      </c>
      <c r="J97" s="463"/>
      <c r="K97" s="463"/>
      <c r="L97" s="471"/>
      <c r="M97" s="471"/>
      <c r="N97" s="471"/>
      <c r="O97" s="471"/>
      <c r="P97" s="471"/>
      <c r="Q97" s="471"/>
      <c r="R97" s="471"/>
      <c r="S97" s="471"/>
      <c r="T97" s="471"/>
      <c r="U97" s="471"/>
      <c r="V97" s="471"/>
      <c r="W97" s="471"/>
      <c r="X97" s="471"/>
      <c r="Y97" s="471"/>
      <c r="Z97" s="471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8"/>
      <c r="AM97" s="426"/>
      <c r="AN97" s="426"/>
      <c r="AO97" s="426"/>
      <c r="AP97" s="426"/>
      <c r="AQ97" s="426"/>
      <c r="AR97" s="426"/>
      <c r="AS97" s="426"/>
      <c r="AT97" s="426"/>
      <c r="AU97" s="426"/>
      <c r="AV97" s="428"/>
      <c r="AW97" s="426"/>
      <c r="AX97" s="426"/>
      <c r="AY97" s="428"/>
      <c r="AZ97" s="426"/>
      <c r="BA97" s="426"/>
      <c r="BB97" s="426"/>
      <c r="BC97" s="426"/>
      <c r="BD97" s="426"/>
      <c r="BE97" s="426"/>
      <c r="BF97" s="426"/>
      <c r="BG97" s="426"/>
      <c r="BH97" s="426"/>
      <c r="BI97" s="426"/>
      <c r="BJ97" s="426"/>
      <c r="BK97" s="426"/>
      <c r="BL97" s="426"/>
      <c r="BM97" s="426"/>
      <c r="BN97" s="426"/>
      <c r="BO97" s="426"/>
      <c r="BP97" s="426"/>
      <c r="BQ97" s="426"/>
      <c r="BR97" s="426"/>
      <c r="BS97" s="426"/>
      <c r="BT97" s="426"/>
      <c r="BU97" s="426"/>
      <c r="BV97" s="426"/>
      <c r="BW97" s="426"/>
      <c r="BX97" s="426"/>
      <c r="BY97" s="426"/>
      <c r="BZ97" s="426"/>
      <c r="CA97" s="426"/>
      <c r="CB97" s="426"/>
      <c r="CC97" s="426"/>
      <c r="CD97" s="426"/>
      <c r="CE97" s="426"/>
      <c r="CF97" s="426"/>
      <c r="CG97" s="426"/>
      <c r="CH97" s="426"/>
      <c r="CI97" s="426"/>
      <c r="CJ97" s="426"/>
      <c r="CK97" s="426"/>
      <c r="CL97" s="426"/>
      <c r="CM97" s="426"/>
      <c r="CN97" s="426"/>
      <c r="CO97" s="426"/>
      <c r="CP97" s="426"/>
      <c r="CQ97" s="426"/>
      <c r="CR97" s="426"/>
      <c r="CS97" s="426"/>
      <c r="CT97" s="426"/>
      <c r="CU97" s="426"/>
      <c r="CV97" s="426"/>
      <c r="CW97" s="426"/>
      <c r="CX97" s="426"/>
      <c r="CY97" s="426"/>
      <c r="CZ97" s="426"/>
      <c r="DA97" s="426"/>
      <c r="DB97" s="426"/>
      <c r="DC97" s="426"/>
      <c r="DD97" s="426"/>
      <c r="DE97" s="426"/>
      <c r="DF97" s="426"/>
      <c r="DG97" s="426"/>
      <c r="DH97" s="426"/>
      <c r="DI97" s="426"/>
      <c r="DJ97" s="426"/>
      <c r="DK97" s="426"/>
      <c r="DL97" s="426"/>
      <c r="DM97" s="426"/>
      <c r="DN97" s="426"/>
      <c r="DO97" s="426"/>
      <c r="DP97" s="426"/>
      <c r="DQ97" s="426"/>
      <c r="DR97" s="426"/>
      <c r="DS97" s="426"/>
      <c r="DT97" s="426"/>
      <c r="DU97" s="426"/>
      <c r="DV97" s="426"/>
      <c r="DW97" s="426"/>
      <c r="DX97" s="426"/>
      <c r="DY97" s="426"/>
      <c r="DZ97" s="426"/>
      <c r="EA97" s="426"/>
      <c r="EB97" s="426"/>
      <c r="EC97" s="426"/>
      <c r="ED97" s="426"/>
      <c r="EE97" s="426"/>
      <c r="EF97" s="426"/>
      <c r="EG97" s="426"/>
      <c r="EH97" s="426"/>
      <c r="EI97" s="426"/>
      <c r="EJ97" s="426"/>
      <c r="EK97" s="426"/>
      <c r="EL97" s="426"/>
      <c r="EM97" s="426"/>
      <c r="EN97" s="426"/>
      <c r="EO97" s="426"/>
      <c r="EP97" s="426"/>
      <c r="EQ97" s="426"/>
      <c r="ER97" s="426"/>
      <c r="ES97" s="426"/>
      <c r="ET97" s="426"/>
      <c r="EU97" s="426"/>
      <c r="EV97" s="426"/>
      <c r="EW97" s="426"/>
      <c r="EX97" s="426"/>
      <c r="EY97" s="426"/>
      <c r="EZ97" s="426"/>
      <c r="FA97" s="426"/>
      <c r="FB97" s="426"/>
      <c r="FC97" s="426"/>
      <c r="FD97" s="426"/>
      <c r="FE97" s="426"/>
      <c r="FF97" s="426"/>
      <c r="FG97" s="426"/>
      <c r="FH97" s="426"/>
      <c r="FI97" s="426"/>
    </row>
    <row r="98" spans="1:165" s="466" customFormat="1" ht="15.75" customHeight="1">
      <c r="A98" s="724"/>
      <c r="B98" s="1389"/>
      <c r="C98" s="974" t="str">
        <f t="shared" si="7"/>
        <v>Maize (Zea mays)-stover</v>
      </c>
      <c r="D98" s="114" t="str">
        <f t="shared" si="8"/>
        <v>Maize</v>
      </c>
      <c r="E98" s="372">
        <v>15</v>
      </c>
      <c r="F98" s="370">
        <v>0.3</v>
      </c>
      <c r="G98" s="321"/>
      <c r="H98" s="461"/>
      <c r="I98" s="460" t="str">
        <f t="shared" si="9"/>
        <v>None</v>
      </c>
      <c r="J98" s="463"/>
      <c r="K98" s="463"/>
      <c r="L98" s="471"/>
      <c r="M98" s="471"/>
      <c r="N98" s="471"/>
      <c r="O98" s="471"/>
      <c r="P98" s="471"/>
      <c r="Q98" s="471"/>
      <c r="R98" s="471"/>
      <c r="S98" s="471"/>
      <c r="T98" s="471"/>
      <c r="U98" s="471"/>
      <c r="V98" s="471"/>
      <c r="W98" s="471"/>
      <c r="X98" s="471"/>
      <c r="Y98" s="471"/>
      <c r="Z98" s="471"/>
      <c r="AA98" s="426"/>
      <c r="AB98" s="426"/>
      <c r="AC98" s="426"/>
      <c r="AD98" s="426"/>
      <c r="AE98" s="428"/>
      <c r="AF98" s="428"/>
      <c r="AG98" s="426"/>
      <c r="AH98" s="426"/>
      <c r="AI98" s="426"/>
      <c r="AJ98" s="426"/>
      <c r="AK98" s="426"/>
      <c r="AL98" s="428"/>
      <c r="AM98" s="426"/>
      <c r="AN98" s="426"/>
      <c r="AO98" s="426"/>
      <c r="AP98" s="426"/>
      <c r="AQ98" s="426"/>
      <c r="AR98" s="426"/>
      <c r="AS98" s="426"/>
      <c r="AT98" s="426"/>
      <c r="AU98" s="426"/>
      <c r="AV98" s="428"/>
      <c r="AW98" s="426"/>
      <c r="AX98" s="426"/>
      <c r="AY98" s="426"/>
      <c r="AZ98" s="426"/>
      <c r="BA98" s="426"/>
      <c r="BB98" s="426"/>
      <c r="BC98" s="426"/>
      <c r="BD98" s="426"/>
      <c r="BE98" s="426"/>
      <c r="BF98" s="426"/>
      <c r="BG98" s="426"/>
      <c r="BH98" s="426"/>
      <c r="BI98" s="426"/>
      <c r="BJ98" s="426"/>
      <c r="BK98" s="426"/>
      <c r="BL98" s="426"/>
      <c r="BM98" s="426"/>
      <c r="BN98" s="426"/>
      <c r="BO98" s="426"/>
      <c r="BP98" s="426"/>
      <c r="BQ98" s="426"/>
      <c r="BR98" s="426"/>
      <c r="BS98" s="426"/>
      <c r="BT98" s="426"/>
      <c r="BU98" s="426"/>
      <c r="BV98" s="426"/>
      <c r="BW98" s="426"/>
      <c r="BX98" s="426"/>
      <c r="BY98" s="426"/>
      <c r="BZ98" s="426"/>
      <c r="CA98" s="426"/>
      <c r="CB98" s="426"/>
      <c r="CC98" s="426"/>
      <c r="CD98" s="426"/>
      <c r="CE98" s="426"/>
      <c r="CF98" s="426"/>
      <c r="CG98" s="426"/>
      <c r="CH98" s="426"/>
      <c r="CI98" s="426"/>
      <c r="CJ98" s="426"/>
      <c r="CK98" s="426"/>
      <c r="CL98" s="426"/>
      <c r="CM98" s="426"/>
      <c r="CN98" s="426"/>
      <c r="CO98" s="426"/>
      <c r="CP98" s="426"/>
      <c r="CQ98" s="426"/>
      <c r="CR98" s="426"/>
      <c r="CS98" s="426"/>
      <c r="CT98" s="426"/>
      <c r="CU98" s="426"/>
      <c r="CV98" s="426"/>
      <c r="CW98" s="426"/>
      <c r="CX98" s="426"/>
      <c r="CY98" s="426"/>
      <c r="CZ98" s="426"/>
      <c r="DA98" s="426"/>
      <c r="DB98" s="426"/>
      <c r="DC98" s="426"/>
      <c r="DD98" s="426"/>
      <c r="DE98" s="426"/>
      <c r="DF98" s="426"/>
      <c r="DG98" s="426"/>
      <c r="DH98" s="426"/>
      <c r="DI98" s="426"/>
      <c r="DJ98" s="426"/>
      <c r="DK98" s="426"/>
      <c r="DL98" s="426"/>
      <c r="DM98" s="426"/>
      <c r="DN98" s="426"/>
      <c r="DO98" s="426"/>
      <c r="DP98" s="426"/>
      <c r="DQ98" s="426"/>
      <c r="DR98" s="426"/>
      <c r="DS98" s="426"/>
      <c r="DT98" s="426"/>
      <c r="DU98" s="426"/>
      <c r="DV98" s="426"/>
      <c r="DW98" s="426"/>
      <c r="DX98" s="426"/>
      <c r="DY98" s="426"/>
      <c r="DZ98" s="426"/>
      <c r="EA98" s="426"/>
      <c r="EB98" s="426"/>
      <c r="EC98" s="426"/>
      <c r="ED98" s="426"/>
      <c r="EE98" s="426"/>
      <c r="EF98" s="426"/>
      <c r="EG98" s="426"/>
      <c r="EH98" s="426"/>
      <c r="EI98" s="426"/>
      <c r="EJ98" s="426"/>
      <c r="EK98" s="426"/>
      <c r="EL98" s="426"/>
      <c r="EM98" s="426"/>
      <c r="EN98" s="426"/>
      <c r="EO98" s="426"/>
      <c r="EP98" s="426"/>
      <c r="EQ98" s="426"/>
      <c r="ER98" s="426"/>
      <c r="ES98" s="426"/>
      <c r="ET98" s="426"/>
      <c r="EU98" s="426"/>
      <c r="EV98" s="426"/>
      <c r="EW98" s="426"/>
      <c r="EX98" s="426"/>
      <c r="EY98" s="426"/>
      <c r="EZ98" s="426"/>
      <c r="FA98" s="426"/>
      <c r="FB98" s="426"/>
      <c r="FC98" s="426"/>
      <c r="FD98" s="426"/>
      <c r="FE98" s="426"/>
      <c r="FF98" s="426"/>
      <c r="FG98" s="426"/>
      <c r="FH98" s="426"/>
      <c r="FI98" s="426"/>
    </row>
    <row r="99" spans="1:165" s="466" customFormat="1" ht="15.75" customHeight="1">
      <c r="A99" s="724"/>
      <c r="B99" s="1389"/>
      <c r="C99" s="974" t="str">
        <f t="shared" si="7"/>
        <v>Guatemala grass (Tripsacum andersonii) - forage</v>
      </c>
      <c r="D99" s="114" t="str">
        <f t="shared" si="8"/>
        <v>Guatemala</v>
      </c>
      <c r="E99" s="372">
        <v>15</v>
      </c>
      <c r="F99" s="370">
        <v>0.2</v>
      </c>
      <c r="G99" s="321"/>
      <c r="H99" s="461"/>
      <c r="I99" s="460" t="str">
        <f t="shared" si="9"/>
        <v>None</v>
      </c>
      <c r="J99" s="463"/>
      <c r="K99" s="463"/>
      <c r="L99" s="471"/>
      <c r="M99" s="471"/>
      <c r="N99" s="471"/>
      <c r="O99" s="471"/>
      <c r="P99" s="471"/>
      <c r="Q99" s="471"/>
      <c r="R99" s="471"/>
      <c r="S99" s="471"/>
      <c r="T99" s="471"/>
      <c r="U99" s="471"/>
      <c r="V99" s="457"/>
      <c r="W99" s="471"/>
      <c r="X99" s="471"/>
      <c r="Y99" s="471"/>
      <c r="Z99" s="457"/>
      <c r="AA99" s="426"/>
      <c r="AB99" s="426"/>
      <c r="AC99" s="426"/>
      <c r="AD99" s="426"/>
      <c r="AE99" s="426"/>
      <c r="AF99" s="426"/>
      <c r="AG99" s="426"/>
      <c r="AH99" s="426"/>
      <c r="AI99" s="426"/>
      <c r="AJ99" s="426"/>
      <c r="AK99" s="426"/>
      <c r="AL99" s="426"/>
      <c r="AM99" s="426"/>
      <c r="AN99" s="426"/>
      <c r="AO99" s="426"/>
      <c r="AP99" s="426"/>
      <c r="AQ99" s="426"/>
      <c r="AR99" s="426"/>
      <c r="AS99" s="426"/>
      <c r="AT99" s="426"/>
      <c r="AU99" s="428"/>
      <c r="AV99" s="426"/>
      <c r="AW99" s="426"/>
      <c r="AX99" s="428"/>
      <c r="AY99" s="426"/>
      <c r="AZ99" s="426"/>
      <c r="BA99" s="426"/>
      <c r="BB99" s="426"/>
      <c r="BC99" s="426"/>
      <c r="BD99" s="426"/>
      <c r="BE99" s="426"/>
      <c r="BF99" s="426"/>
      <c r="BG99" s="426"/>
      <c r="BH99" s="426"/>
      <c r="BI99" s="426"/>
      <c r="BJ99" s="426"/>
      <c r="BK99" s="426"/>
      <c r="BL99" s="426"/>
      <c r="BM99" s="426"/>
      <c r="BN99" s="426"/>
      <c r="BO99" s="426"/>
      <c r="BP99" s="426"/>
      <c r="BQ99" s="426"/>
      <c r="BR99" s="426"/>
      <c r="BS99" s="426"/>
      <c r="BT99" s="426"/>
      <c r="BU99" s="426"/>
      <c r="BV99" s="426"/>
      <c r="BW99" s="426"/>
      <c r="BX99" s="426"/>
      <c r="BY99" s="426"/>
      <c r="BZ99" s="426"/>
      <c r="CA99" s="426"/>
      <c r="CB99" s="426"/>
      <c r="CC99" s="426"/>
      <c r="CD99" s="426"/>
      <c r="CE99" s="426"/>
      <c r="CF99" s="426"/>
      <c r="CG99" s="426"/>
      <c r="CH99" s="426"/>
      <c r="CI99" s="426"/>
      <c r="CJ99" s="426"/>
      <c r="CK99" s="426"/>
      <c r="CL99" s="426"/>
      <c r="CM99" s="426"/>
      <c r="CN99" s="426"/>
      <c r="CO99" s="426"/>
      <c r="CP99" s="426"/>
      <c r="CQ99" s="426"/>
      <c r="CR99" s="426"/>
      <c r="CS99" s="426"/>
      <c r="CT99" s="426"/>
      <c r="CU99" s="426"/>
      <c r="CV99" s="426"/>
      <c r="CW99" s="426"/>
      <c r="CX99" s="426"/>
      <c r="CY99" s="426"/>
      <c r="CZ99" s="426"/>
      <c r="DA99" s="426"/>
      <c r="DB99" s="426"/>
      <c r="DC99" s="426"/>
      <c r="DD99" s="426"/>
      <c r="DE99" s="426"/>
      <c r="DF99" s="426"/>
      <c r="DG99" s="426"/>
      <c r="DH99" s="426"/>
      <c r="DI99" s="426"/>
      <c r="DJ99" s="426"/>
      <c r="DK99" s="426"/>
      <c r="DL99" s="426"/>
      <c r="DM99" s="426"/>
      <c r="DN99" s="426"/>
      <c r="DO99" s="426"/>
      <c r="DP99" s="426"/>
      <c r="DQ99" s="426"/>
      <c r="DR99" s="426"/>
      <c r="DS99" s="426"/>
      <c r="DT99" s="426"/>
      <c r="DU99" s="426"/>
      <c r="DV99" s="426"/>
      <c r="DW99" s="426"/>
      <c r="DX99" s="426"/>
      <c r="DY99" s="426"/>
      <c r="DZ99" s="426"/>
      <c r="EA99" s="426"/>
      <c r="EB99" s="426"/>
      <c r="EC99" s="426"/>
      <c r="ED99" s="426"/>
      <c r="EE99" s="426"/>
      <c r="EF99" s="426"/>
      <c r="EG99" s="426"/>
      <c r="EH99" s="426"/>
      <c r="EI99" s="426"/>
      <c r="EJ99" s="426"/>
      <c r="EK99" s="426"/>
      <c r="EL99" s="426"/>
      <c r="EM99" s="426"/>
      <c r="EN99" s="426"/>
      <c r="EO99" s="426"/>
      <c r="EP99" s="426"/>
      <c r="EQ99" s="426"/>
      <c r="ER99" s="426"/>
      <c r="ES99" s="426"/>
      <c r="ET99" s="426"/>
      <c r="EU99" s="426"/>
      <c r="EV99" s="426"/>
      <c r="EW99" s="426"/>
      <c r="EX99" s="426"/>
      <c r="EY99" s="426"/>
      <c r="EZ99" s="426"/>
      <c r="FA99" s="426"/>
      <c r="FB99" s="426"/>
      <c r="FC99" s="426"/>
      <c r="FD99" s="426"/>
      <c r="FE99" s="426"/>
      <c r="FF99" s="426"/>
      <c r="FG99" s="426"/>
      <c r="FH99" s="426"/>
      <c r="FI99" s="426"/>
    </row>
    <row r="100" spans="1:165" s="466" customFormat="1" ht="15.75" customHeight="1">
      <c r="A100" s="724"/>
      <c r="B100" s="1389"/>
      <c r="C100" s="974" t="str">
        <f t="shared" si="7"/>
        <v>Rhodes grass (Chloris gayana) - forage</v>
      </c>
      <c r="D100" s="114" t="str">
        <f t="shared" si="8"/>
        <v>Rhodes</v>
      </c>
      <c r="E100" s="372">
        <v>15</v>
      </c>
      <c r="F100" s="370">
        <v>0.2</v>
      </c>
      <c r="G100" s="321"/>
      <c r="H100" s="461"/>
      <c r="I100" s="460" t="str">
        <f t="shared" si="9"/>
        <v>None</v>
      </c>
      <c r="J100" s="463"/>
      <c r="K100" s="463"/>
      <c r="L100" s="471"/>
      <c r="M100" s="471"/>
      <c r="N100" s="471"/>
      <c r="O100" s="471"/>
      <c r="P100" s="471"/>
      <c r="Q100" s="471"/>
      <c r="R100" s="471"/>
      <c r="S100" s="471"/>
      <c r="T100" s="471"/>
      <c r="U100" s="471"/>
      <c r="V100" s="426"/>
      <c r="W100" s="457"/>
      <c r="X100" s="471"/>
      <c r="Y100" s="471"/>
      <c r="Z100" s="426"/>
      <c r="AA100" s="426"/>
      <c r="AB100" s="426"/>
      <c r="AC100" s="426"/>
      <c r="AD100" s="426"/>
      <c r="AE100" s="426"/>
      <c r="AF100" s="426"/>
      <c r="AG100" s="426"/>
      <c r="AH100" s="426"/>
      <c r="AI100" s="426"/>
      <c r="AJ100" s="426"/>
      <c r="AK100" s="426"/>
      <c r="AL100" s="426"/>
      <c r="AM100" s="426"/>
      <c r="AN100" s="426"/>
      <c r="AO100" s="426"/>
      <c r="AP100" s="426"/>
      <c r="AQ100" s="426"/>
      <c r="AR100" s="426"/>
      <c r="AS100" s="426"/>
      <c r="AT100" s="426"/>
      <c r="AU100" s="428"/>
      <c r="AV100" s="426"/>
      <c r="AW100" s="426"/>
      <c r="AX100" s="428"/>
      <c r="AY100" s="426"/>
      <c r="AZ100" s="426"/>
      <c r="BA100" s="426"/>
      <c r="BB100" s="426"/>
      <c r="BC100" s="426"/>
      <c r="BD100" s="426"/>
      <c r="BE100" s="426"/>
      <c r="BF100" s="426"/>
      <c r="BG100" s="426"/>
      <c r="BH100" s="426"/>
      <c r="BI100" s="426"/>
      <c r="BJ100" s="426"/>
      <c r="BK100" s="426"/>
      <c r="BL100" s="426"/>
      <c r="BM100" s="426"/>
      <c r="BN100" s="426"/>
      <c r="BO100" s="426"/>
      <c r="BP100" s="426"/>
      <c r="BQ100" s="426"/>
      <c r="BR100" s="426"/>
      <c r="BS100" s="426"/>
      <c r="BT100" s="426"/>
      <c r="BU100" s="426"/>
      <c r="BV100" s="426"/>
      <c r="BW100" s="426"/>
      <c r="BX100" s="426"/>
      <c r="BY100" s="426"/>
      <c r="BZ100" s="426"/>
      <c r="CA100" s="426"/>
      <c r="CB100" s="426"/>
      <c r="CC100" s="426"/>
      <c r="CD100" s="426"/>
      <c r="CE100" s="426"/>
      <c r="CF100" s="426"/>
      <c r="CG100" s="426"/>
      <c r="CH100" s="426"/>
      <c r="CI100" s="426"/>
      <c r="CJ100" s="426"/>
      <c r="CK100" s="426"/>
      <c r="CL100" s="426"/>
      <c r="CM100" s="426"/>
      <c r="CN100" s="426"/>
      <c r="CO100" s="426"/>
      <c r="CP100" s="426"/>
      <c r="CQ100" s="426"/>
      <c r="CR100" s="426"/>
      <c r="CS100" s="426"/>
      <c r="CT100" s="426"/>
      <c r="CU100" s="426"/>
      <c r="CV100" s="426"/>
      <c r="CW100" s="426"/>
      <c r="CX100" s="426"/>
      <c r="CY100" s="426"/>
      <c r="CZ100" s="426"/>
      <c r="DA100" s="426"/>
      <c r="DB100" s="426"/>
      <c r="DC100" s="426"/>
      <c r="DD100" s="426"/>
      <c r="DE100" s="426"/>
      <c r="DF100" s="426"/>
      <c r="DG100" s="426"/>
      <c r="DH100" s="426"/>
      <c r="DI100" s="426"/>
      <c r="DJ100" s="426"/>
      <c r="DK100" s="426"/>
      <c r="DL100" s="426"/>
      <c r="DM100" s="426"/>
      <c r="DN100" s="426"/>
      <c r="DO100" s="426"/>
      <c r="DP100" s="426"/>
      <c r="DQ100" s="426"/>
      <c r="DR100" s="426"/>
      <c r="DS100" s="426"/>
      <c r="DT100" s="426"/>
      <c r="DU100" s="426"/>
      <c r="DV100" s="426"/>
      <c r="DW100" s="426"/>
      <c r="DX100" s="426"/>
      <c r="DY100" s="426"/>
      <c r="DZ100" s="426"/>
      <c r="EA100" s="426"/>
      <c r="EB100" s="426"/>
      <c r="EC100" s="426"/>
      <c r="ED100" s="426"/>
      <c r="EE100" s="426"/>
      <c r="EF100" s="426"/>
      <c r="EG100" s="426"/>
      <c r="EH100" s="426"/>
      <c r="EI100" s="426"/>
      <c r="EJ100" s="426"/>
      <c r="EK100" s="426"/>
      <c r="EL100" s="426"/>
      <c r="EM100" s="426"/>
      <c r="EN100" s="426"/>
      <c r="EO100" s="426"/>
      <c r="EP100" s="426"/>
      <c r="EQ100" s="426"/>
      <c r="ER100" s="426"/>
      <c r="ES100" s="426"/>
      <c r="ET100" s="426"/>
      <c r="EU100" s="426"/>
      <c r="EV100" s="426"/>
      <c r="EW100" s="426"/>
      <c r="EX100" s="426"/>
      <c r="EY100" s="426"/>
      <c r="EZ100" s="426"/>
      <c r="FA100" s="426"/>
      <c r="FB100" s="426"/>
      <c r="FC100" s="426"/>
      <c r="FD100" s="426"/>
      <c r="FE100" s="426"/>
      <c r="FF100" s="426"/>
      <c r="FG100" s="426"/>
      <c r="FH100" s="426"/>
      <c r="FI100" s="426"/>
    </row>
    <row r="101" spans="1:165" s="466" customFormat="1" ht="16.5" customHeight="1">
      <c r="A101" s="724"/>
      <c r="B101" s="1389"/>
      <c r="C101" s="974" t="str">
        <f t="shared" si="7"/>
        <v>Napier grass (Pennisetum purpureum) - forage</v>
      </c>
      <c r="D101" s="114" t="str">
        <f t="shared" si="8"/>
        <v>Napier</v>
      </c>
      <c r="E101" s="372">
        <v>15</v>
      </c>
      <c r="F101" s="370">
        <v>0.2</v>
      </c>
      <c r="G101" s="321"/>
      <c r="H101" s="461"/>
      <c r="I101" s="460" t="str">
        <f t="shared" si="9"/>
        <v>None</v>
      </c>
      <c r="J101" s="463"/>
      <c r="K101" s="463"/>
      <c r="L101" s="471"/>
      <c r="M101" s="471"/>
      <c r="N101" s="471"/>
      <c r="O101" s="471"/>
      <c r="P101" s="471"/>
      <c r="Q101" s="471"/>
      <c r="R101" s="471"/>
      <c r="S101" s="471"/>
      <c r="T101" s="471"/>
      <c r="U101" s="457"/>
      <c r="V101" s="426"/>
      <c r="W101" s="426"/>
      <c r="X101" s="457"/>
      <c r="Y101" s="471"/>
      <c r="Z101" s="426"/>
      <c r="AA101" s="426"/>
      <c r="AB101" s="426"/>
      <c r="AC101" s="426"/>
      <c r="AD101" s="428"/>
      <c r="AE101" s="426"/>
      <c r="AF101" s="426"/>
      <c r="AG101" s="426"/>
      <c r="AH101" s="426"/>
      <c r="AI101" s="426"/>
      <c r="AJ101" s="426"/>
      <c r="AK101" s="426"/>
      <c r="AL101" s="426"/>
      <c r="AM101" s="426"/>
      <c r="AN101" s="426"/>
      <c r="AO101" s="426"/>
      <c r="AP101" s="426"/>
      <c r="AQ101" s="426"/>
      <c r="AR101" s="428"/>
      <c r="AS101" s="428"/>
      <c r="AT101" s="426"/>
      <c r="AU101" s="428"/>
      <c r="AV101" s="426"/>
      <c r="AW101" s="426"/>
      <c r="AX101" s="428"/>
      <c r="AY101" s="426"/>
      <c r="AZ101" s="426"/>
      <c r="BA101" s="426"/>
      <c r="BB101" s="426"/>
      <c r="BC101" s="426"/>
      <c r="BD101" s="426"/>
      <c r="BE101" s="426"/>
      <c r="BF101" s="426"/>
      <c r="BG101" s="426"/>
      <c r="BH101" s="426"/>
      <c r="BI101" s="426"/>
      <c r="BJ101" s="426"/>
      <c r="BK101" s="426"/>
      <c r="BL101" s="426"/>
      <c r="BM101" s="426"/>
      <c r="BN101" s="426"/>
      <c r="BO101" s="426"/>
      <c r="BP101" s="426"/>
      <c r="BQ101" s="426"/>
      <c r="BR101" s="426"/>
      <c r="BS101" s="426"/>
      <c r="BT101" s="426"/>
      <c r="BU101" s="426"/>
      <c r="BV101" s="426"/>
      <c r="BW101" s="426"/>
      <c r="BX101" s="426"/>
      <c r="BY101" s="426"/>
      <c r="BZ101" s="426"/>
      <c r="CA101" s="426"/>
      <c r="CB101" s="426"/>
      <c r="CC101" s="426"/>
      <c r="CD101" s="426"/>
      <c r="CE101" s="426"/>
      <c r="CF101" s="426"/>
      <c r="CG101" s="426"/>
      <c r="CH101" s="426"/>
      <c r="CI101" s="426"/>
      <c r="CJ101" s="426"/>
      <c r="CK101" s="426"/>
      <c r="CL101" s="426"/>
      <c r="CM101" s="426"/>
      <c r="CN101" s="426"/>
      <c r="CO101" s="426"/>
      <c r="CP101" s="426"/>
      <c r="CQ101" s="426"/>
      <c r="CR101" s="426"/>
      <c r="CS101" s="426"/>
      <c r="CT101" s="426"/>
      <c r="CU101" s="426"/>
      <c r="CV101" s="426"/>
      <c r="CW101" s="426"/>
      <c r="CX101" s="426"/>
      <c r="CY101" s="426"/>
      <c r="CZ101" s="426"/>
      <c r="DA101" s="426"/>
      <c r="DB101" s="426"/>
      <c r="DC101" s="426"/>
      <c r="DD101" s="426"/>
      <c r="DE101" s="426"/>
      <c r="DF101" s="426"/>
      <c r="DG101" s="426"/>
      <c r="DH101" s="426"/>
      <c r="DI101" s="426"/>
      <c r="DJ101" s="426"/>
      <c r="DK101" s="426"/>
      <c r="DL101" s="426"/>
      <c r="DM101" s="426"/>
      <c r="DN101" s="426"/>
      <c r="DO101" s="426"/>
      <c r="DP101" s="426"/>
      <c r="DQ101" s="426"/>
      <c r="DR101" s="426"/>
      <c r="DS101" s="426"/>
      <c r="DT101" s="426"/>
      <c r="DU101" s="426"/>
      <c r="DV101" s="426"/>
      <c r="DW101" s="426"/>
      <c r="DX101" s="426"/>
      <c r="DY101" s="426"/>
      <c r="DZ101" s="426"/>
      <c r="EA101" s="426"/>
      <c r="EB101" s="426"/>
      <c r="EC101" s="426"/>
      <c r="ED101" s="426"/>
      <c r="EE101" s="426"/>
      <c r="EF101" s="426"/>
      <c r="EG101" s="426"/>
      <c r="EH101" s="426"/>
      <c r="EI101" s="426"/>
      <c r="EJ101" s="426"/>
      <c r="EK101" s="426"/>
      <c r="EL101" s="426"/>
      <c r="EM101" s="426"/>
      <c r="EN101" s="426"/>
      <c r="EO101" s="426"/>
      <c r="EP101" s="426"/>
      <c r="EQ101" s="426"/>
      <c r="ER101" s="426"/>
      <c r="ES101" s="426"/>
      <c r="ET101" s="426"/>
      <c r="EU101" s="426"/>
      <c r="EV101" s="426"/>
      <c r="EW101" s="426"/>
      <c r="EX101" s="426"/>
      <c r="EY101" s="426"/>
      <c r="EZ101" s="426"/>
      <c r="FA101" s="426"/>
      <c r="FB101" s="426"/>
      <c r="FC101" s="426"/>
      <c r="FD101" s="426"/>
      <c r="FE101" s="426"/>
      <c r="FF101" s="426"/>
      <c r="FG101" s="426"/>
      <c r="FH101" s="426"/>
      <c r="FI101" s="426"/>
    </row>
    <row r="102" spans="1:165" ht="16.5" thickBot="1">
      <c r="A102" s="724"/>
      <c r="B102" s="1389"/>
      <c r="C102" s="706" t="str">
        <f t="shared" si="7"/>
        <v>N/A</v>
      </c>
      <c r="D102" s="649" t="str">
        <f t="shared" si="8"/>
        <v>N/A</v>
      </c>
      <c r="E102" s="970">
        <v>15</v>
      </c>
      <c r="F102" s="975">
        <v>0</v>
      </c>
      <c r="G102" s="321"/>
      <c r="H102" s="461"/>
      <c r="I102" s="851" t="str">
        <f t="shared" si="9"/>
        <v>None</v>
      </c>
      <c r="J102" s="463"/>
      <c r="K102" s="463"/>
      <c r="L102" s="471"/>
      <c r="M102" s="471"/>
      <c r="N102" s="471"/>
      <c r="O102" s="471"/>
      <c r="P102" s="471"/>
      <c r="Q102" s="471"/>
      <c r="R102" s="471"/>
      <c r="S102" s="471"/>
      <c r="T102" s="471"/>
      <c r="Y102" s="457"/>
      <c r="AR102" s="428"/>
      <c r="AS102" s="428"/>
      <c r="AU102" s="428"/>
      <c r="AX102" s="428"/>
    </row>
    <row r="103" spans="1:165" ht="16.5" thickBot="1">
      <c r="A103" s="724"/>
      <c r="B103" s="472"/>
      <c r="C103" s="426"/>
      <c r="H103" s="457"/>
      <c r="I103" s="457"/>
      <c r="J103" s="457"/>
      <c r="K103" s="457"/>
      <c r="L103" s="457"/>
      <c r="M103" s="457"/>
      <c r="N103" s="457"/>
      <c r="O103" s="457"/>
      <c r="P103" s="457"/>
      <c r="Q103" s="457"/>
      <c r="R103" s="457"/>
      <c r="S103" s="457"/>
      <c r="AK103" s="428"/>
      <c r="AQ103" s="428"/>
      <c r="AT103" s="428"/>
    </row>
    <row r="104" spans="1:165">
      <c r="A104" s="724"/>
      <c r="B104" s="472"/>
      <c r="C104" s="442" t="s">
        <v>1062</v>
      </c>
      <c r="D104" s="431" t="s">
        <v>1656</v>
      </c>
      <c r="E104" s="443" t="s">
        <v>1186</v>
      </c>
      <c r="AA104" s="428"/>
      <c r="AK104" s="428"/>
      <c r="AQ104" s="428"/>
      <c r="AT104" s="428"/>
    </row>
    <row r="105" spans="1:165">
      <c r="A105" s="724"/>
      <c r="B105" s="472"/>
      <c r="C105" s="976" t="s">
        <v>1057</v>
      </c>
      <c r="D105" s="1310">
        <v>4.66</v>
      </c>
      <c r="E105" s="370">
        <v>1</v>
      </c>
      <c r="AJ105" s="428"/>
      <c r="AQ105" s="428"/>
      <c r="AT105" s="428"/>
    </row>
    <row r="106" spans="1:165">
      <c r="A106" s="724"/>
      <c r="B106" s="472"/>
      <c r="C106" s="976" t="s">
        <v>1058</v>
      </c>
      <c r="D106" s="988">
        <f>SUM(E$96:E$102)*E106</f>
        <v>0</v>
      </c>
      <c r="E106" s="370"/>
      <c r="AJ106" s="428"/>
      <c r="AQ106" s="428"/>
      <c r="AT106" s="428"/>
    </row>
    <row r="107" spans="1:165">
      <c r="A107" s="724"/>
      <c r="B107" s="472"/>
      <c r="C107" s="976" t="s">
        <v>1059</v>
      </c>
      <c r="D107" s="988">
        <v>0</v>
      </c>
      <c r="E107" s="370"/>
      <c r="V107" s="428"/>
      <c r="Z107" s="428"/>
      <c r="AJ107" s="428"/>
      <c r="AQ107" s="428"/>
    </row>
    <row r="108" spans="1:165">
      <c r="A108" s="724"/>
      <c r="B108" s="472"/>
      <c r="C108" s="976" t="s">
        <v>1060</v>
      </c>
      <c r="D108" s="988">
        <v>0</v>
      </c>
      <c r="E108" s="370">
        <v>0</v>
      </c>
      <c r="W108" s="428"/>
      <c r="AJ108" s="428"/>
      <c r="AQ108" s="428"/>
    </row>
    <row r="109" spans="1:165" ht="16.5" thickBot="1">
      <c r="A109" s="724"/>
      <c r="B109" s="610"/>
      <c r="C109" s="977" t="s">
        <v>1061</v>
      </c>
      <c r="D109" s="989">
        <f>SUM(E$96:E$102)*E109</f>
        <v>0</v>
      </c>
      <c r="E109" s="975"/>
      <c r="U109" s="428"/>
      <c r="X109" s="428"/>
      <c r="AG109" s="428"/>
      <c r="AJ109" s="428"/>
    </row>
    <row r="110" spans="1:165" ht="16.5" thickBot="1">
      <c r="A110" s="724"/>
      <c r="B110" s="445"/>
      <c r="C110" s="426"/>
      <c r="E110" s="620">
        <f>1-SUM(E105:E109)</f>
        <v>0</v>
      </c>
      <c r="Y110" s="428"/>
      <c r="AJ110" s="428"/>
    </row>
    <row r="111" spans="1:165">
      <c r="A111" s="724"/>
      <c r="B111" s="1383" t="s">
        <v>660</v>
      </c>
      <c r="C111" s="442"/>
      <c r="D111" s="604"/>
      <c r="E111" s="606" t="s">
        <v>1183</v>
      </c>
      <c r="F111" s="457" t="s">
        <v>663</v>
      </c>
      <c r="G111" s="457" t="s">
        <v>664</v>
      </c>
      <c r="H111" s="457" t="s">
        <v>686</v>
      </c>
      <c r="I111" s="457" t="s">
        <v>687</v>
      </c>
      <c r="T111" s="428"/>
      <c r="AJ111" s="428"/>
    </row>
    <row r="112" spans="1:165">
      <c r="A112" s="724"/>
      <c r="B112" s="1384"/>
      <c r="C112" s="936" t="s">
        <v>682</v>
      </c>
      <c r="D112" s="85" t="s">
        <v>134</v>
      </c>
      <c r="E112" s="607">
        <f>0 + IF(D72 = "Rice",F72,0) + IF(D73 = "Rice",F73,0)+ IF(D74 = "Rice",F74,0)+ IF(D75 = "Rice",F75,0)+ IF(D76 = "Rice",F76,0)+ IF(D77 = "Rice",F77,0)+ IF(D78= "Rice",F78,0)</f>
        <v>0</v>
      </c>
      <c r="F112" s="457"/>
      <c r="G112" s="457"/>
      <c r="H112" s="457"/>
      <c r="I112" s="457"/>
    </row>
    <row r="113" spans="1:57" ht="13.5" customHeight="1">
      <c r="A113" s="724"/>
      <c r="B113" s="1384"/>
      <c r="C113" s="936" t="s">
        <v>1097</v>
      </c>
      <c r="D113" s="85" t="s">
        <v>391</v>
      </c>
      <c r="E113" s="608"/>
      <c r="F113" s="457">
        <v>0</v>
      </c>
      <c r="G113" s="457">
        <v>0</v>
      </c>
      <c r="H113" s="457">
        <v>0</v>
      </c>
      <c r="I113" s="457">
        <v>0</v>
      </c>
    </row>
    <row r="114" spans="1:57">
      <c r="A114" s="724"/>
      <c r="B114" s="1384"/>
      <c r="C114" s="936" t="s">
        <v>683</v>
      </c>
      <c r="D114" s="85" t="s">
        <v>612</v>
      </c>
      <c r="E114" s="608" t="s">
        <v>808</v>
      </c>
      <c r="F114" s="457" t="s">
        <v>808</v>
      </c>
      <c r="G114" s="457" t="s">
        <v>808</v>
      </c>
      <c r="H114" s="457" t="s">
        <v>808</v>
      </c>
      <c r="I114" s="457" t="s">
        <v>808</v>
      </c>
    </row>
    <row r="115" spans="1:57" ht="47.25">
      <c r="A115" s="724"/>
      <c r="B115" s="1384"/>
      <c r="C115" s="936" t="s">
        <v>1096</v>
      </c>
      <c r="D115" s="85" t="s">
        <v>685</v>
      </c>
      <c r="E115" s="608" t="s">
        <v>198</v>
      </c>
      <c r="F115" s="457"/>
      <c r="G115" s="457"/>
      <c r="H115" s="457"/>
      <c r="I115" s="457"/>
    </row>
    <row r="116" spans="1:57">
      <c r="A116" s="724"/>
      <c r="B116" s="1384"/>
      <c r="C116" s="978" t="s">
        <v>762</v>
      </c>
      <c r="D116" s="85" t="s">
        <v>612</v>
      </c>
      <c r="E116" s="608" t="s">
        <v>207</v>
      </c>
      <c r="F116" s="457"/>
      <c r="G116" s="457"/>
      <c r="H116" s="457"/>
      <c r="I116" s="457"/>
    </row>
    <row r="117" spans="1:57" ht="16.5" thickBot="1">
      <c r="A117" s="724"/>
      <c r="B117" s="1385"/>
      <c r="C117" s="979" t="s">
        <v>763</v>
      </c>
      <c r="D117" s="605" t="s">
        <v>1082</v>
      </c>
      <c r="E117" s="609">
        <f>IF(SUM(F117:L117)=0, 0, AVERAGEIF(F117:L117, "&lt;&gt;0"))</f>
        <v>0</v>
      </c>
      <c r="F117" s="493">
        <f>IF(D96="Rice", E96, 0)</f>
        <v>0</v>
      </c>
      <c r="G117" s="493">
        <f>IF(D97="Rice", E97, 0)</f>
        <v>0</v>
      </c>
      <c r="H117" s="493">
        <f>IF(D98="Rice", E98, 0)</f>
        <v>0</v>
      </c>
      <c r="I117" s="493">
        <f>IF(D99="Rice", E99, 0)</f>
        <v>0</v>
      </c>
      <c r="J117" s="493">
        <f>IF(D100="Rice", E100, 0)</f>
        <v>0</v>
      </c>
      <c r="K117" s="493">
        <f>IF(D101="Rice", E101, 0)</f>
        <v>0</v>
      </c>
      <c r="L117" s="493">
        <f>IF(D102="Rice", E102, 0)</f>
        <v>0</v>
      </c>
      <c r="BD117" s="428"/>
    </row>
    <row r="118" spans="1:57">
      <c r="A118" s="724"/>
      <c r="C118" s="474"/>
      <c r="D118" s="428"/>
      <c r="E118" s="498"/>
      <c r="F118" s="493"/>
      <c r="G118" s="493"/>
      <c r="H118" s="493"/>
      <c r="I118" s="493"/>
      <c r="J118" s="493"/>
      <c r="K118" s="493"/>
      <c r="L118" s="493"/>
      <c r="BD118" s="428"/>
    </row>
    <row r="119" spans="1:57">
      <c r="A119" s="724"/>
      <c r="C119" s="474"/>
      <c r="D119" s="428"/>
      <c r="E119" s="498"/>
      <c r="F119" s="493"/>
      <c r="G119" s="493"/>
      <c r="H119" s="493"/>
      <c r="I119" s="493"/>
      <c r="J119" s="493"/>
      <c r="K119" s="493"/>
      <c r="L119" s="493"/>
      <c r="BD119" s="428"/>
    </row>
    <row r="120" spans="1:57">
      <c r="A120" s="448"/>
      <c r="C120" s="474"/>
      <c r="D120" s="428"/>
      <c r="E120" s="498"/>
      <c r="F120" s="493"/>
      <c r="G120" s="493"/>
      <c r="H120" s="493"/>
      <c r="I120" s="493"/>
      <c r="J120" s="493"/>
      <c r="K120" s="493"/>
      <c r="L120" s="493"/>
      <c r="BD120" s="428"/>
    </row>
    <row r="121" spans="1:57" ht="31.5">
      <c r="B121" s="429" t="s">
        <v>1243</v>
      </c>
      <c r="C121" s="425"/>
      <c r="D121" s="425"/>
      <c r="E121" s="430"/>
      <c r="F121" s="425"/>
      <c r="G121" s="425"/>
      <c r="H121" s="425"/>
      <c r="I121" s="425"/>
      <c r="J121" s="425"/>
      <c r="K121" s="425"/>
      <c r="L121" s="425"/>
      <c r="M121" s="425"/>
      <c r="N121" s="425"/>
      <c r="O121" s="425"/>
      <c r="BD121" s="428"/>
      <c r="BE121" s="428"/>
    </row>
    <row r="122" spans="1:57" ht="16.5" thickBot="1">
      <c r="A122" s="448"/>
      <c r="C122" s="474"/>
      <c r="D122" s="428"/>
      <c r="E122" s="473"/>
      <c r="F122" s="473"/>
      <c r="G122" s="469"/>
      <c r="H122" s="469"/>
      <c r="I122" s="469"/>
      <c r="BD122" s="428"/>
      <c r="BE122" s="428"/>
    </row>
    <row r="123" spans="1:57" ht="16.5" thickBot="1">
      <c r="B123" s="1101" t="s">
        <v>1555</v>
      </c>
      <c r="C123" s="346"/>
      <c r="D123" s="346"/>
      <c r="E123" s="346"/>
      <c r="F123" s="347"/>
      <c r="J123" s="699"/>
      <c r="K123" s="699"/>
      <c r="L123" s="699"/>
      <c r="BD123" s="428"/>
      <c r="BE123" s="428"/>
    </row>
    <row r="124" spans="1:57" ht="31.5">
      <c r="B124" s="616"/>
      <c r="C124" s="764" t="s">
        <v>1225</v>
      </c>
      <c r="D124" s="711" t="s">
        <v>1558</v>
      </c>
      <c r="E124" s="712" t="s">
        <v>1241</v>
      </c>
      <c r="F124" s="712" t="s">
        <v>1228</v>
      </c>
      <c r="I124" s="683"/>
      <c r="J124" s="702"/>
      <c r="K124" s="703"/>
      <c r="L124" s="703"/>
      <c r="M124" s="704"/>
      <c r="BE124" s="428"/>
    </row>
    <row r="125" spans="1:57">
      <c r="B125" s="446" t="str">
        <f>C18</f>
        <v>Cows - local</v>
      </c>
      <c r="C125" s="764" t="e">
        <f ca="1">IF(INDIRECT(CONCATENATE("[", "Baseline.xlsm","]INPUTS","!D18"))&lt;=D18,INDIRECT(CONCATENATE("[", "Baseline.xlsm","]INPUTS","!D18")),D18)</f>
        <v>#REF!</v>
      </c>
      <c r="D125" s="705"/>
      <c r="E125" s="682"/>
      <c r="F125" s="682"/>
      <c r="J125" s="702"/>
      <c r="K125" s="763"/>
      <c r="L125" s="703"/>
      <c r="M125" s="704"/>
      <c r="BE125" s="428"/>
    </row>
    <row r="126" spans="1:57">
      <c r="B126" s="446" t="str">
        <f>C19</f>
        <v>Cows - improved</v>
      </c>
      <c r="C126" s="764" t="e">
        <f ca="1">IF(INDIRECT(CONCATENATE("[", "Baseline.xlsm","]INPUTS","!D19"))&lt;=D19,INDIRECT(CONCATENATE("[", "Baseline.xlsm","]INPUTS","!D19")),D19)</f>
        <v>#REF!</v>
      </c>
      <c r="D126" s="705"/>
      <c r="E126" s="682"/>
      <c r="F126" s="682"/>
      <c r="J126" s="702"/>
      <c r="K126" s="703"/>
      <c r="L126" s="703"/>
      <c r="M126" s="704"/>
      <c r="BE126" s="428"/>
    </row>
    <row r="127" spans="1:57">
      <c r="B127" s="446" t="str">
        <f>C20</f>
        <v>Adult cattle - male</v>
      </c>
      <c r="C127" s="764" t="e">
        <f ca="1">IF(INDIRECT(CONCATENATE("[", "Baseline.xlsm","]INPUTS","!D20"))&lt;=D20,INDIRECT(CONCATENATE("[", "Baseline.xlsm","]INPUTS","!D20")),D20)</f>
        <v>#REF!</v>
      </c>
      <c r="D127" s="705">
        <v>0</v>
      </c>
      <c r="E127" s="682">
        <v>0</v>
      </c>
      <c r="F127" s="682"/>
      <c r="J127" s="702"/>
      <c r="K127" s="703"/>
      <c r="L127" s="703"/>
      <c r="M127" s="704"/>
      <c r="BE127" s="428"/>
    </row>
    <row r="128" spans="1:57">
      <c r="B128" s="446" t="str">
        <f>C21</f>
        <v>Steers/heifers</v>
      </c>
      <c r="C128" s="764" t="e">
        <f ca="1">IF(INDIRECT(CONCATENATE("[", "Baseline.xlsm","]INPUTS","!D21"))&lt;=D21,INDIRECT(CONCATENATE("[", "Baseline.xlsm","]INPUTS","!D21")),D21)</f>
        <v>#REF!</v>
      </c>
      <c r="D128" s="705">
        <v>0</v>
      </c>
      <c r="E128" s="682">
        <v>0</v>
      </c>
      <c r="F128" s="682"/>
      <c r="J128" s="700"/>
      <c r="K128" s="700"/>
      <c r="L128" s="700"/>
      <c r="M128" s="445"/>
    </row>
    <row r="129" spans="2:55">
      <c r="B129" s="446" t="str">
        <f>C22</f>
        <v>Calves</v>
      </c>
      <c r="C129" s="764" t="e">
        <f ca="1">IF(INDIRECT(CONCATENATE("[", "Baseline.xlsm","]INPUTS","!D22"))&lt;=D22,INDIRECT(CONCATENATE("[", "Baseline.xlsm","]INPUTS","!D22")),D22)</f>
        <v>#REF!</v>
      </c>
      <c r="D129" s="705">
        <v>0</v>
      </c>
      <c r="E129" s="682">
        <v>0</v>
      </c>
      <c r="F129" s="682"/>
      <c r="J129" s="961"/>
    </row>
    <row r="130" spans="2:55">
      <c r="B130" s="446" t="s">
        <v>1354</v>
      </c>
      <c r="C130" s="764" t="e">
        <f ca="1">IF(INDIRECT(CONCATENATE("[", "Baseline.xlsm","]INPUTS","!D23"))&lt;=D23,INDIRECT(CONCATENATE("[", "Baseline.xlsm","]INPUTS","!D23")),D23)</f>
        <v>#REF!</v>
      </c>
      <c r="D130" s="705"/>
      <c r="E130" s="682"/>
      <c r="F130" s="682"/>
      <c r="J130" s="961"/>
    </row>
    <row r="131" spans="2:55">
      <c r="B131" s="446" t="s">
        <v>1355</v>
      </c>
      <c r="C131" s="764" t="e">
        <f ca="1">IF(INDIRECT(CONCATENATE("[", "Baseline.xlsm","]INPUTS","!D24"))&lt;=D24,INDIRECT(CONCATENATE("[", "Baseline.xlsm","]INPUTS","!D24")),D24)</f>
        <v>#REF!</v>
      </c>
      <c r="D131" s="705"/>
      <c r="E131" s="682"/>
      <c r="F131" s="682"/>
      <c r="J131" s="961"/>
    </row>
    <row r="132" spans="2:55">
      <c r="B132" s="446" t="str">
        <f>C25</f>
        <v>Sheep</v>
      </c>
      <c r="C132" s="764" t="e">
        <f ca="1">IF(INDIRECT(CONCATENATE("[", "Baseline.xlsm","]INPUTS","!D25"))&lt;=D25,INDIRECT(CONCATENATE("[", "Baseline.xlsm","]INPUTS","!D25")),D25)</f>
        <v>#REF!</v>
      </c>
      <c r="D132" s="705"/>
      <c r="E132" s="682"/>
      <c r="F132" s="682"/>
    </row>
    <row r="133" spans="2:55">
      <c r="B133" s="446" t="str">
        <f>C26</f>
        <v>Goats</v>
      </c>
      <c r="C133" s="764" t="e">
        <f ca="1">IF(INDIRECT(CONCATENATE("[", "Baseline.xlsm","]INPUTS","!D26"))&lt;=D26,INDIRECT(CONCATENATE("[", "Baseline.xlsm","]INPUTS","!D26")),D26)</f>
        <v>#REF!</v>
      </c>
      <c r="D133" s="705"/>
      <c r="E133" s="682"/>
      <c r="F133" s="682"/>
    </row>
    <row r="134" spans="2:55">
      <c r="B134" s="936"/>
      <c r="C134" s="1114"/>
      <c r="D134" s="705"/>
      <c r="E134" s="682"/>
      <c r="F134" s="682"/>
    </row>
    <row r="135" spans="2:55">
      <c r="B135" s="936"/>
      <c r="C135" s="1114"/>
      <c r="D135" s="705"/>
      <c r="E135" s="682"/>
      <c r="F135" s="682"/>
    </row>
    <row r="136" spans="2:55" ht="16.5" thickBot="1">
      <c r="B136" s="648"/>
      <c r="C136" s="1115"/>
      <c r="D136" s="713"/>
      <c r="E136" s="714"/>
      <c r="F136" s="714"/>
    </row>
    <row r="137" spans="2:55">
      <c r="B137" s="444"/>
      <c r="C137" s="626"/>
      <c r="D137" s="346"/>
      <c r="E137" s="346"/>
      <c r="F137" s="346"/>
      <c r="BC137" s="428"/>
    </row>
    <row r="138" spans="2:55" ht="16.5" thickBot="1">
      <c r="B138" s="615"/>
      <c r="C138" s="323"/>
      <c r="D138" s="323"/>
      <c r="E138" s="323"/>
      <c r="F138" s="323"/>
      <c r="G138" s="323"/>
      <c r="BC138" s="428"/>
    </row>
    <row r="139" spans="2:55" ht="26.25" customHeight="1" thickBot="1">
      <c r="B139" s="669" t="s">
        <v>1556</v>
      </c>
      <c r="C139" s="346"/>
      <c r="D139" s="346"/>
      <c r="E139" s="346"/>
      <c r="F139" s="346"/>
      <c r="G139" s="627"/>
      <c r="H139" s="438"/>
      <c r="BC139" s="428"/>
    </row>
    <row r="140" spans="2:55" ht="31.5">
      <c r="B140" s="599"/>
      <c r="C140" s="611" t="s">
        <v>1225</v>
      </c>
      <c r="D140" s="711" t="s">
        <v>1557</v>
      </c>
      <c r="E140" s="711" t="s">
        <v>1558</v>
      </c>
      <c r="F140" s="888" t="s">
        <v>1242</v>
      </c>
      <c r="G140" s="612" t="s">
        <v>1241</v>
      </c>
      <c r="H140" s="612" t="s">
        <v>1228</v>
      </c>
      <c r="I140" s="602"/>
      <c r="BC140" s="428"/>
    </row>
    <row r="141" spans="2:55">
      <c r="B141" s="446" t="s">
        <v>1100</v>
      </c>
      <c r="C141" s="764" t="e">
        <f ca="1">D18-INDIRECT(CONCATENATE("[", "Baseline.xlsm","]INPUTS","!D18"))</f>
        <v>#REF!</v>
      </c>
      <c r="D141" s="705"/>
      <c r="E141" s="705">
        <v>8</v>
      </c>
      <c r="F141" s="705"/>
      <c r="G141" s="682"/>
      <c r="H141" s="682"/>
      <c r="BC141" s="428"/>
    </row>
    <row r="142" spans="2:55">
      <c r="B142" s="446" t="s">
        <v>1101</v>
      </c>
      <c r="C142" s="764" t="e">
        <f ca="1">D19-INDIRECT(CONCATENATE("[", "Baseline.xlsm","]INPUTS","!D19"))</f>
        <v>#REF!</v>
      </c>
      <c r="D142" s="705">
        <v>0</v>
      </c>
      <c r="E142" s="705">
        <v>20</v>
      </c>
      <c r="F142" s="705"/>
      <c r="G142" s="682"/>
      <c r="H142" s="682" t="s">
        <v>1734</v>
      </c>
      <c r="BC142" s="428"/>
    </row>
    <row r="143" spans="2:55">
      <c r="B143" s="446" t="s">
        <v>1102</v>
      </c>
      <c r="C143" s="764" t="e">
        <f ca="1">D20-INDIRECT(CONCATENATE("[", "Baseline.xlsm","]INPUTS","!D20"))</f>
        <v>#REF!</v>
      </c>
      <c r="D143" s="705"/>
      <c r="E143" s="705"/>
      <c r="F143" s="705"/>
      <c r="G143" s="682"/>
      <c r="H143" s="682"/>
      <c r="BC143" s="428"/>
    </row>
    <row r="144" spans="2:55">
      <c r="B144" s="446" t="s">
        <v>1043</v>
      </c>
      <c r="C144" s="764" t="e">
        <f ca="1">D21-INDIRECT(CONCATENATE("[", "Baseline.xlsm","]INPUTS","!D21"))</f>
        <v>#REF!</v>
      </c>
      <c r="D144" s="705"/>
      <c r="E144" s="705">
        <v>5</v>
      </c>
      <c r="F144" s="705"/>
      <c r="G144" s="682"/>
      <c r="H144" s="682"/>
      <c r="AI144" s="428"/>
    </row>
    <row r="145" spans="1:57">
      <c r="B145" s="446" t="s">
        <v>645</v>
      </c>
      <c r="C145" s="764" t="e">
        <f ca="1">D22-INDIRECT(CONCATENATE("[", "Baseline.xlsm","]INPUTS","!D22"))</f>
        <v>#REF!</v>
      </c>
      <c r="D145" s="705"/>
      <c r="E145" s="705">
        <v>5</v>
      </c>
      <c r="F145" s="705"/>
      <c r="G145" s="682"/>
      <c r="H145" s="682"/>
      <c r="AI145" s="428"/>
    </row>
    <row r="146" spans="1:57">
      <c r="B146" s="446" t="s">
        <v>1354</v>
      </c>
      <c r="C146" s="764" t="e">
        <f ca="1">D23-INDIRECT(CONCATENATE("[", "Baseline.xlsm","]INPUTS","!D23"))</f>
        <v>#REF!</v>
      </c>
      <c r="D146" s="705">
        <v>0</v>
      </c>
      <c r="E146" s="705">
        <v>10</v>
      </c>
      <c r="F146" s="705"/>
      <c r="G146" s="682"/>
      <c r="H146" s="682" t="s">
        <v>1735</v>
      </c>
      <c r="AI146" s="428"/>
    </row>
    <row r="147" spans="1:57">
      <c r="B147" s="446" t="s">
        <v>1355</v>
      </c>
      <c r="C147" s="764" t="e">
        <f ca="1">D24-INDIRECT(CONCATENATE("[", "Baseline.xlsm","]INPUTS","!D24"))</f>
        <v>#REF!</v>
      </c>
      <c r="D147" s="705">
        <v>0</v>
      </c>
      <c r="E147" s="705">
        <v>10</v>
      </c>
      <c r="F147" s="705"/>
      <c r="G147" s="682"/>
      <c r="H147" s="682" t="s">
        <v>1735</v>
      </c>
      <c r="AI147" s="428"/>
    </row>
    <row r="148" spans="1:57">
      <c r="B148" s="446" t="s">
        <v>53</v>
      </c>
      <c r="C148" s="764" t="e">
        <f ca="1">D25-INDIRECT(CONCATENATE("[", "Baseline.xlsm","]INPUTS","!D25"))</f>
        <v>#REF!</v>
      </c>
      <c r="D148" s="705"/>
      <c r="E148" s="705"/>
      <c r="F148" s="705"/>
      <c r="G148" s="682"/>
      <c r="H148" s="682"/>
      <c r="AI148" s="428"/>
    </row>
    <row r="149" spans="1:57" s="428" customFormat="1">
      <c r="A149" s="426"/>
      <c r="B149" s="446" t="s">
        <v>52</v>
      </c>
      <c r="C149" s="764" t="e">
        <f ca="1">D26-INDIRECT(CONCATENATE("[", "Baseline.xlsm","]INPUTS","!D26"))</f>
        <v>#REF!</v>
      </c>
      <c r="D149" s="705"/>
      <c r="E149" s="705"/>
      <c r="F149" s="705"/>
      <c r="G149" s="682"/>
      <c r="H149" s="682"/>
      <c r="I149" s="426"/>
      <c r="J149" s="426"/>
      <c r="K149" s="426"/>
      <c r="L149" s="426"/>
      <c r="M149" s="426"/>
      <c r="N149" s="426"/>
      <c r="O149" s="426"/>
      <c r="P149" s="426"/>
      <c r="Q149" s="426"/>
      <c r="R149" s="426"/>
      <c r="S149" s="426"/>
      <c r="T149" s="426"/>
      <c r="U149" s="426"/>
      <c r="V149" s="426"/>
      <c r="W149" s="426"/>
      <c r="X149" s="426"/>
      <c r="Y149" s="426"/>
      <c r="Z149" s="426"/>
      <c r="AA149" s="426"/>
      <c r="AB149" s="426"/>
      <c r="AC149" s="426"/>
      <c r="AD149" s="426"/>
      <c r="AE149" s="426"/>
      <c r="AF149" s="426"/>
      <c r="AG149" s="426"/>
      <c r="AH149" s="426"/>
      <c r="AJ149" s="426"/>
      <c r="AK149" s="426"/>
      <c r="AL149" s="426"/>
      <c r="AM149" s="426"/>
      <c r="AN149" s="426"/>
      <c r="AO149" s="426"/>
      <c r="AP149" s="426"/>
      <c r="AQ149" s="426"/>
      <c r="AR149" s="426"/>
      <c r="AS149" s="426"/>
      <c r="AT149" s="426"/>
      <c r="AU149" s="426"/>
      <c r="AV149" s="426"/>
      <c r="AW149" s="426"/>
      <c r="AX149" s="426"/>
      <c r="AY149" s="426"/>
      <c r="BC149" s="426"/>
      <c r="BD149" s="426"/>
      <c r="BE149" s="426"/>
    </row>
    <row r="150" spans="1:57" s="428" customFormat="1">
      <c r="A150" s="426"/>
      <c r="B150" s="936"/>
      <c r="C150" s="1114"/>
      <c r="D150" s="705"/>
      <c r="E150" s="705"/>
      <c r="F150" s="705"/>
      <c r="G150" s="682"/>
      <c r="H150" s="682"/>
      <c r="I150" s="426"/>
      <c r="J150" s="426"/>
      <c r="K150" s="426"/>
      <c r="L150" s="426"/>
      <c r="M150" s="426"/>
      <c r="N150" s="426"/>
      <c r="O150" s="426"/>
      <c r="P150" s="426"/>
      <c r="Q150" s="426"/>
      <c r="R150" s="426"/>
      <c r="S150" s="426"/>
      <c r="T150" s="426"/>
      <c r="U150" s="426"/>
      <c r="V150" s="426"/>
      <c r="W150" s="426"/>
      <c r="X150" s="426"/>
      <c r="Y150" s="426"/>
      <c r="Z150" s="426"/>
      <c r="AA150" s="426"/>
      <c r="AB150" s="426"/>
      <c r="AC150" s="426"/>
      <c r="AD150" s="426"/>
      <c r="AE150" s="426"/>
      <c r="AF150" s="426"/>
      <c r="AG150" s="426"/>
      <c r="AH150" s="426"/>
      <c r="AJ150" s="426"/>
      <c r="AK150" s="426"/>
      <c r="AL150" s="426"/>
      <c r="AM150" s="426"/>
      <c r="AN150" s="426"/>
      <c r="AO150" s="426"/>
      <c r="AP150" s="426"/>
      <c r="AQ150" s="426"/>
      <c r="AR150" s="426"/>
      <c r="AS150" s="426"/>
      <c r="AT150" s="426"/>
      <c r="AU150" s="426"/>
      <c r="AV150" s="426"/>
      <c r="AW150" s="426"/>
      <c r="AX150" s="426"/>
      <c r="AY150" s="426"/>
      <c r="BC150" s="426"/>
      <c r="BD150" s="426"/>
      <c r="BE150" s="426"/>
    </row>
    <row r="151" spans="1:57" s="428" customFormat="1">
      <c r="A151" s="426"/>
      <c r="B151" s="936"/>
      <c r="C151" s="1114"/>
      <c r="D151" s="705"/>
      <c r="E151" s="705"/>
      <c r="F151" s="705"/>
      <c r="G151" s="682"/>
      <c r="H151" s="682"/>
      <c r="I151" s="426"/>
      <c r="J151" s="426"/>
      <c r="K151" s="426"/>
      <c r="L151" s="426"/>
      <c r="M151" s="426"/>
      <c r="N151" s="426"/>
      <c r="O151" s="426"/>
      <c r="P151" s="426"/>
      <c r="Q151" s="426"/>
      <c r="R151" s="426"/>
      <c r="S151" s="426"/>
      <c r="T151" s="426"/>
      <c r="U151" s="426"/>
      <c r="V151" s="426"/>
      <c r="W151" s="426"/>
      <c r="X151" s="426"/>
      <c r="Y151" s="426"/>
      <c r="Z151" s="426"/>
      <c r="AA151" s="426"/>
      <c r="AB151" s="426"/>
      <c r="AC151" s="426"/>
      <c r="AD151" s="426"/>
      <c r="AE151" s="426"/>
      <c r="AF151" s="426"/>
      <c r="AG151" s="426"/>
      <c r="AI151" s="426"/>
      <c r="AJ151" s="426"/>
      <c r="AK151" s="426"/>
      <c r="AL151" s="426"/>
      <c r="AM151" s="426"/>
      <c r="AN151" s="426"/>
      <c r="AO151" s="426"/>
      <c r="AP151" s="426"/>
      <c r="AQ151" s="426"/>
      <c r="AR151" s="426"/>
      <c r="AS151" s="426"/>
      <c r="AT151" s="426"/>
      <c r="AU151" s="426"/>
      <c r="AV151" s="426"/>
      <c r="AW151" s="426"/>
      <c r="AX151" s="426"/>
      <c r="AY151" s="426"/>
      <c r="BC151" s="426"/>
      <c r="BD151" s="426"/>
      <c r="BE151" s="426"/>
    </row>
    <row r="152" spans="1:57" s="428" customFormat="1" ht="16.5" thickBot="1">
      <c r="A152" s="426"/>
      <c r="B152" s="648"/>
      <c r="C152" s="1115"/>
      <c r="D152" s="713"/>
      <c r="E152" s="713"/>
      <c r="F152" s="713"/>
      <c r="G152" s="714"/>
      <c r="H152" s="714"/>
      <c r="I152" s="426"/>
      <c r="J152" s="426"/>
      <c r="K152" s="426"/>
      <c r="L152" s="426"/>
      <c r="M152" s="426"/>
      <c r="N152" s="426"/>
      <c r="O152" s="426"/>
      <c r="P152" s="426"/>
      <c r="Q152" s="426"/>
      <c r="R152" s="426"/>
      <c r="S152" s="426"/>
      <c r="T152" s="426"/>
      <c r="U152" s="426"/>
      <c r="V152" s="426"/>
      <c r="W152" s="426"/>
      <c r="X152" s="426"/>
      <c r="Y152" s="426"/>
      <c r="Z152" s="426"/>
      <c r="AA152" s="426"/>
      <c r="AB152" s="426"/>
      <c r="AC152" s="426"/>
      <c r="AD152" s="426"/>
      <c r="AE152" s="426"/>
      <c r="AF152" s="426"/>
      <c r="AG152" s="426"/>
      <c r="AI152" s="426"/>
      <c r="AJ152" s="426"/>
      <c r="AK152" s="426"/>
      <c r="AL152" s="426"/>
      <c r="AM152" s="426"/>
      <c r="AN152" s="426"/>
      <c r="AO152" s="426"/>
      <c r="AP152" s="426"/>
      <c r="AQ152" s="426"/>
      <c r="AR152" s="426"/>
      <c r="AS152" s="426"/>
      <c r="AT152" s="426"/>
      <c r="AU152" s="426"/>
      <c r="AV152" s="426"/>
      <c r="AW152" s="426"/>
      <c r="AX152" s="426"/>
      <c r="AY152" s="426"/>
      <c r="BC152" s="426"/>
      <c r="BD152" s="426"/>
      <c r="BE152" s="426"/>
    </row>
    <row r="153" spans="1:57" s="428" customFormat="1" ht="16.5" thickBot="1">
      <c r="A153" s="426"/>
      <c r="C153" s="426"/>
      <c r="D153" s="426"/>
      <c r="E153" s="426"/>
      <c r="F153" s="426"/>
      <c r="G153" s="426"/>
      <c r="H153" s="426"/>
      <c r="I153" s="426"/>
      <c r="J153" s="426"/>
      <c r="K153" s="426"/>
      <c r="L153" s="426"/>
      <c r="M153" s="426"/>
      <c r="N153" s="426"/>
      <c r="O153" s="426"/>
      <c r="P153" s="426"/>
      <c r="Q153" s="426"/>
      <c r="R153" s="426"/>
      <c r="S153" s="426"/>
      <c r="T153" s="426"/>
      <c r="U153" s="426"/>
      <c r="V153" s="426"/>
      <c r="W153" s="426"/>
      <c r="X153" s="426"/>
      <c r="Y153" s="426"/>
      <c r="Z153" s="426"/>
      <c r="AA153" s="426"/>
      <c r="AB153" s="426"/>
      <c r="AC153" s="426"/>
      <c r="AD153" s="426"/>
      <c r="AE153" s="426"/>
      <c r="AF153" s="426"/>
      <c r="AG153" s="426"/>
      <c r="AI153" s="426"/>
      <c r="AJ153" s="426"/>
      <c r="AK153" s="426"/>
      <c r="AL153" s="426"/>
      <c r="AM153" s="426"/>
      <c r="AN153" s="426"/>
      <c r="AO153" s="426"/>
      <c r="AP153" s="426"/>
      <c r="AQ153" s="426"/>
      <c r="AR153" s="426"/>
      <c r="AS153" s="426"/>
      <c r="AT153" s="426"/>
      <c r="AU153" s="426"/>
      <c r="AV153" s="426"/>
      <c r="AW153" s="426"/>
      <c r="AX153" s="426"/>
      <c r="AY153" s="426"/>
      <c r="BC153" s="426"/>
      <c r="BD153" s="426"/>
      <c r="BE153" s="426"/>
    </row>
    <row r="154" spans="1:57" s="428" customFormat="1" ht="16.5" thickBot="1">
      <c r="A154" s="426"/>
      <c r="C154" s="454"/>
      <c r="D154" s="627"/>
      <c r="E154" s="627"/>
      <c r="F154" s="627" t="s">
        <v>44</v>
      </c>
      <c r="G154" s="438"/>
      <c r="H154" s="426"/>
      <c r="I154" s="426"/>
      <c r="J154" s="426"/>
      <c r="K154" s="426"/>
      <c r="L154" s="426"/>
      <c r="M154" s="426"/>
      <c r="N154" s="426"/>
      <c r="O154" s="426"/>
      <c r="P154" s="426"/>
      <c r="Q154" s="426"/>
      <c r="R154" s="426"/>
      <c r="S154" s="426"/>
      <c r="T154" s="426"/>
      <c r="U154" s="426"/>
      <c r="V154" s="426"/>
      <c r="W154" s="426"/>
      <c r="X154" s="426"/>
      <c r="Y154" s="426"/>
      <c r="Z154" s="426"/>
      <c r="AA154" s="426"/>
      <c r="AB154" s="426"/>
      <c r="AC154" s="426"/>
      <c r="AD154" s="426"/>
      <c r="AE154" s="426"/>
      <c r="AF154" s="426"/>
      <c r="AG154" s="426"/>
      <c r="AI154" s="426"/>
      <c r="AJ154" s="426"/>
      <c r="AK154" s="426"/>
      <c r="AL154" s="426"/>
      <c r="AM154" s="426"/>
      <c r="AN154" s="426"/>
      <c r="AO154" s="426"/>
      <c r="AP154" s="426"/>
      <c r="AQ154" s="426"/>
      <c r="AR154" s="426"/>
      <c r="AS154" s="426"/>
      <c r="AT154" s="426"/>
      <c r="AU154" s="426"/>
      <c r="AV154" s="426"/>
      <c r="AW154" s="426"/>
      <c r="AX154" s="426"/>
      <c r="AY154" s="426"/>
      <c r="BC154" s="426"/>
      <c r="BD154" s="426"/>
      <c r="BE154" s="426"/>
    </row>
    <row r="155" spans="1:57" s="428" customFormat="1" ht="32.25" thickBot="1">
      <c r="A155" s="426"/>
      <c r="B155" s="529" t="s">
        <v>1736</v>
      </c>
      <c r="C155" s="892" t="s">
        <v>1404</v>
      </c>
      <c r="D155" s="892" t="s">
        <v>1405</v>
      </c>
      <c r="E155" s="1113" t="s">
        <v>1737</v>
      </c>
      <c r="F155" s="888" t="s">
        <v>1305</v>
      </c>
      <c r="G155" s="895" t="s">
        <v>1228</v>
      </c>
      <c r="J155" s="426"/>
      <c r="K155" s="426"/>
      <c r="L155" s="426"/>
      <c r="M155" s="426"/>
      <c r="N155" s="426"/>
      <c r="O155" s="426"/>
      <c r="P155" s="426"/>
      <c r="Q155" s="426"/>
      <c r="R155" s="426"/>
      <c r="S155" s="426"/>
      <c r="T155" s="426"/>
      <c r="U155" s="426"/>
      <c r="V155" s="426"/>
      <c r="W155" s="426"/>
      <c r="X155" s="426"/>
      <c r="Y155" s="426"/>
      <c r="Z155" s="426"/>
      <c r="AA155" s="426"/>
      <c r="AB155" s="426"/>
      <c r="AC155" s="426"/>
      <c r="AD155" s="426"/>
      <c r="AE155" s="426"/>
      <c r="AF155" s="426"/>
      <c r="AG155" s="426"/>
      <c r="AI155" s="426"/>
      <c r="AJ155" s="426"/>
      <c r="AK155" s="426"/>
      <c r="AL155" s="426"/>
      <c r="AM155" s="426"/>
      <c r="AN155" s="426"/>
      <c r="AO155" s="426"/>
      <c r="AP155" s="426"/>
      <c r="AQ155" s="426"/>
      <c r="AR155" s="426"/>
      <c r="AS155" s="426"/>
      <c r="AT155" s="426"/>
      <c r="AU155" s="426"/>
      <c r="AV155" s="426"/>
      <c r="AW155" s="426"/>
      <c r="AX155" s="426"/>
      <c r="AY155" s="426"/>
      <c r="BC155" s="426"/>
      <c r="BD155" s="426"/>
      <c r="BE155" s="426"/>
    </row>
    <row r="156" spans="1:57">
      <c r="A156" s="428"/>
      <c r="B156" s="936" t="e">
        <f ca="1">IF(B$52=INDIRECT(CONCATENATE("[", "Baseline.xlsm","]INPUTS","!B$52")),B$52,"")</f>
        <v>#REF!</v>
      </c>
      <c r="C156" s="890" t="e">
        <f ca="1">IF(B156&lt;&gt; "", 'Land requirements'!E4-INDIRECT(CONCATENATE("'[", "Baseline.xlsm","]Land requirements'","!E4")), 0)</f>
        <v>#REF!</v>
      </c>
      <c r="D156" s="890" t="e">
        <f ca="1">IF(C156&lt;&gt; 0, 'Land requirements'!E17-INDIRECT(CONCATENATE("'[", "Baseline.xlsm","]Land requirements'","!E17")), 0)</f>
        <v>#REF!</v>
      </c>
      <c r="E156" s="705">
        <v>1100</v>
      </c>
      <c r="F156" s="886">
        <v>30</v>
      </c>
      <c r="G156" s="682"/>
      <c r="H156" s="889"/>
      <c r="I156" s="889"/>
      <c r="J156" s="428"/>
      <c r="K156" s="428"/>
      <c r="L156" s="428"/>
      <c r="M156" s="428"/>
      <c r="N156" s="428"/>
      <c r="O156" s="428"/>
      <c r="P156" s="428"/>
      <c r="Q156" s="428"/>
      <c r="R156" s="428"/>
      <c r="S156" s="428"/>
      <c r="AH156" s="428"/>
    </row>
    <row r="157" spans="1:57">
      <c r="A157" s="428"/>
      <c r="B157" s="936" t="e">
        <f ca="1">IF(B$53=INDIRECT(CONCATENATE("[", "Baseline.xlsm","]INPUTS","!b$53")),B$53,"")</f>
        <v>#REF!</v>
      </c>
      <c r="C157" s="890" t="e">
        <f ca="1">IF(B157&lt;&gt; "", 'Land requirements'!E5-INDIRECT(CONCATENATE("'[", "Baseline.xlsm","]Land requirements'","!E5")), 0)</f>
        <v>#REF!</v>
      </c>
      <c r="D157" s="890" t="e">
        <f ca="1">IF(C157&lt;&gt;0, 'Land requirements'!E18-INDIRECT(CONCATENATE("'[", "Baseline.xlsm","]Land requirements'","!E18")), 0)</f>
        <v>#REF!</v>
      </c>
      <c r="E157" s="705">
        <v>200</v>
      </c>
      <c r="F157" s="886">
        <v>2</v>
      </c>
      <c r="G157" s="682"/>
      <c r="H157" s="889"/>
      <c r="I157" s="889"/>
      <c r="J157" s="428"/>
      <c r="K157" s="428"/>
      <c r="L157" s="428"/>
      <c r="M157" s="428"/>
      <c r="N157" s="428"/>
      <c r="O157" s="428"/>
      <c r="P157" s="428"/>
      <c r="Q157" s="428"/>
      <c r="R157" s="428"/>
      <c r="S157" s="428"/>
      <c r="AH157" s="428"/>
    </row>
    <row r="158" spans="1:57">
      <c r="A158" s="428"/>
      <c r="B158" s="936" t="e">
        <f ca="1">IF(B$54=INDIRECT(CONCATENATE("[", "Baseline.xlsm","]INPUTS","!b$54")),B$54,"")</f>
        <v>#REF!</v>
      </c>
      <c r="C158" s="890" t="e">
        <f ca="1">IF(B158&lt;&gt; "", 'Land requirements'!E6-INDIRECT(CONCATENATE("'[", "Baseline.xlsm","]Land requirements'","!E6")), 0)</f>
        <v>#REF!</v>
      </c>
      <c r="D158" s="890" t="e">
        <f ca="1">IF(C158&lt;&gt;0, 'Land requirements'!E19-INDIRECT(CONCATENATE("'[", "Baseline.xlsm","]Land requirements'","!E19")), 0)</f>
        <v>#REF!</v>
      </c>
      <c r="E158" s="705">
        <v>10</v>
      </c>
      <c r="F158" s="886">
        <v>2</v>
      </c>
      <c r="G158" s="682"/>
      <c r="H158" s="889"/>
      <c r="I158" s="889"/>
      <c r="J158" s="428"/>
      <c r="K158" s="428"/>
      <c r="L158" s="428"/>
      <c r="M158" s="428"/>
      <c r="N158" s="428"/>
      <c r="O158" s="428"/>
      <c r="P158" s="428"/>
      <c r="Q158" s="428"/>
      <c r="R158" s="428"/>
      <c r="S158" s="428"/>
    </row>
    <row r="159" spans="1:57">
      <c r="A159" s="428"/>
      <c r="B159" s="936" t="e">
        <f ca="1">IF(B$55=INDIRECT(CONCATENATE("[", "Baseline.xlsm","]INPUTS","!b$55")),B$55,"")</f>
        <v>#REF!</v>
      </c>
      <c r="C159" s="890" t="e">
        <f ca="1">IF(B159&lt;&gt; "", 'Land requirements'!E7-INDIRECT(CONCATENATE("'[", "Baseline.xlsm","]Land requirements'","!E7")), 0)</f>
        <v>#REF!</v>
      </c>
      <c r="D159" s="890" t="e">
        <f ca="1">IF(C159&lt;&gt;0, 'Land requirements'!E20-INDIRECT(CONCATENATE("'[", "Baseline.xlsm","]Land requirements'","!E20")), 0)</f>
        <v>#REF!</v>
      </c>
      <c r="E159" s="705">
        <v>10</v>
      </c>
      <c r="F159" s="886">
        <v>2</v>
      </c>
      <c r="G159" s="682"/>
      <c r="H159" s="889"/>
      <c r="I159" s="889"/>
      <c r="J159" s="428"/>
      <c r="K159" s="428"/>
      <c r="L159" s="428"/>
      <c r="M159" s="428"/>
      <c r="N159" s="428"/>
      <c r="O159" s="428"/>
      <c r="P159" s="428"/>
      <c r="Q159" s="428"/>
      <c r="R159" s="428"/>
      <c r="S159" s="428"/>
    </row>
    <row r="160" spans="1:57">
      <c r="A160" s="428"/>
      <c r="B160" s="936" t="e">
        <f ca="1">IF(B$56=INDIRECT(CONCATENATE("[", "Baseline.xlsm","]INPUTS","!b$56")),B$56,"")</f>
        <v>#REF!</v>
      </c>
      <c r="C160" s="890" t="e">
        <f ca="1">IF(B160&lt;&gt; "", 'Land requirements'!E8-INDIRECT(CONCATENATE("'[", "Baseline.xlsm","]Land requirements'","!E8")), 0)</f>
        <v>#REF!</v>
      </c>
      <c r="D160" s="890" t="e">
        <f ca="1">IF(C160&lt;&gt;0, 'Land requirements'!E21-INDIRECT(CONCATENATE("'[", "Baseline.xlsm","]Land requirements'","!E21")), 0)</f>
        <v>#REF!</v>
      </c>
      <c r="E160" s="705">
        <v>10</v>
      </c>
      <c r="F160" s="886">
        <v>2</v>
      </c>
      <c r="G160" s="682"/>
      <c r="H160" s="889"/>
      <c r="I160" s="889"/>
      <c r="J160" s="428"/>
      <c r="K160" s="428"/>
      <c r="L160" s="428"/>
      <c r="M160" s="428"/>
      <c r="N160" s="428"/>
      <c r="O160" s="428"/>
      <c r="P160" s="428"/>
      <c r="Q160" s="428"/>
      <c r="R160" s="428"/>
      <c r="S160" s="428"/>
    </row>
    <row r="161" spans="1:32" ht="31.5" customHeight="1">
      <c r="A161" s="428"/>
      <c r="B161" s="936" t="e">
        <f ca="1">IF(B$57=INDIRECT(CONCATENATE("[", "Baseline.xlsm","]INPUTS","!b$57")),B$57,"")</f>
        <v>#REF!</v>
      </c>
      <c r="C161" s="890" t="e">
        <f ca="1">IF(B161&lt;&gt; "", 'Land requirements'!E9-INDIRECT(CONCATENATE("'[", "Baseline.xlsm","]Land requirements'","!E9")), 0)</f>
        <v>#REF!</v>
      </c>
      <c r="D161" s="890" t="e">
        <f ca="1">IF(C161&lt;&gt;0, 'Land requirements'!E22-INDIRECT(CONCATENATE("'[", "Baseline.xlsm","]Land requirements'","!E22")), 0)</f>
        <v>#REF!</v>
      </c>
      <c r="E161" s="705"/>
      <c r="F161" s="886"/>
      <c r="G161" s="682"/>
      <c r="H161" s="889"/>
      <c r="I161" s="889"/>
      <c r="J161" s="428"/>
      <c r="K161" s="428"/>
      <c r="L161" s="428"/>
      <c r="M161" s="428"/>
      <c r="N161" s="428"/>
      <c r="O161" s="428"/>
      <c r="P161" s="428"/>
      <c r="Q161" s="428"/>
      <c r="R161" s="428"/>
      <c r="S161" s="428"/>
    </row>
    <row r="162" spans="1:32" ht="16.5" thickBot="1">
      <c r="A162" s="428"/>
      <c r="B162" s="648" t="e">
        <f ca="1">IF(B$58=INDIRECT(CONCATENATE("[", "Baseline.xlsm","]INPUTS","!b$58")),B$58,"")</f>
        <v>#REF!</v>
      </c>
      <c r="C162" s="891" t="e">
        <f ca="1">IF(B162&lt;&gt; "", 'Land requirements'!E10-INDIRECT(CONCATENATE("'[", "Baseline.xlsm","]Land requirements'","!E10")), 0)</f>
        <v>#REF!</v>
      </c>
      <c r="D162" s="891" t="e">
        <f ca="1">IF(C162&lt;&gt;0, 'Land requirements'!E23-INDIRECT(CONCATENATE("'[", "Baseline.xlsm","]Land requirements'","!E23")), 0)</f>
        <v>#REF!</v>
      </c>
      <c r="E162" s="713"/>
      <c r="F162" s="887"/>
      <c r="G162" s="714"/>
      <c r="H162" s="889"/>
      <c r="I162" s="889"/>
      <c r="J162" s="428"/>
      <c r="K162" s="428"/>
      <c r="L162" s="428"/>
      <c r="M162" s="428"/>
      <c r="N162" s="428"/>
      <c r="O162" s="428"/>
      <c r="P162" s="428"/>
      <c r="Q162" s="428"/>
      <c r="R162" s="428"/>
      <c r="S162" s="428"/>
    </row>
    <row r="163" spans="1:32">
      <c r="C163" s="677"/>
    </row>
    <row r="164" spans="1:32" ht="16.5" thickBot="1">
      <c r="C164" s="676"/>
    </row>
    <row r="165" spans="1:32" ht="31.5">
      <c r="B165" s="669" t="s">
        <v>1249</v>
      </c>
      <c r="C165" s="898" t="s">
        <v>1277</v>
      </c>
      <c r="D165" s="894" t="s">
        <v>1405</v>
      </c>
      <c r="E165" s="711" t="s">
        <v>1562</v>
      </c>
      <c r="F165" s="711" t="s">
        <v>1244</v>
      </c>
      <c r="G165" s="612" t="s">
        <v>1304</v>
      </c>
      <c r="H165" s="612" t="s">
        <v>1305</v>
      </c>
      <c r="I165" s="612" t="s">
        <v>1228</v>
      </c>
    </row>
    <row r="166" spans="1:32">
      <c r="B166" s="446" t="e">
        <f t="shared" ref="B166:B172" ca="1" si="10">IF(B156="", B52, "")</f>
        <v>#REF!</v>
      </c>
      <c r="C166" s="668" t="e">
        <f ca="1">IF(B166&lt;&gt; "", 'Land requirements'!E4, 0)</f>
        <v>#REF!</v>
      </c>
      <c r="D166" s="668" t="e">
        <f ca="1">IF(B166&lt;&gt; "", 'Land requirements'!E17, 0)</f>
        <v>#REF!</v>
      </c>
      <c r="E166" s="705"/>
      <c r="F166" s="705"/>
      <c r="G166" s="705"/>
      <c r="H166" s="682"/>
      <c r="I166" s="682"/>
    </row>
    <row r="167" spans="1:32">
      <c r="B167" s="446" t="e">
        <f t="shared" ca="1" si="10"/>
        <v>#REF!</v>
      </c>
      <c r="C167" s="668" t="e">
        <f ca="1">IF(B167&lt;&gt; "", 'Land requirements'!E5, 0)</f>
        <v>#REF!</v>
      </c>
      <c r="D167" s="668" t="e">
        <f ca="1">IF(B167&lt;&gt; "", 'Land requirements'!E18, 0)</f>
        <v>#REF!</v>
      </c>
      <c r="E167" s="705"/>
      <c r="F167" s="705"/>
      <c r="G167" s="705"/>
      <c r="H167" s="682"/>
      <c r="I167" s="682"/>
    </row>
    <row r="168" spans="1:32">
      <c r="B168" s="446" t="e">
        <f t="shared" ca="1" si="10"/>
        <v>#REF!</v>
      </c>
      <c r="C168" s="668" t="e">
        <f ca="1">IF(B168&lt;&gt; "", 'Land requirements'!E6, 0)</f>
        <v>#REF!</v>
      </c>
      <c r="D168" s="668" t="e">
        <f ca="1">IF(B168&lt;&gt; "", 'Land requirements'!E19, 0)</f>
        <v>#REF!</v>
      </c>
      <c r="E168" s="705"/>
      <c r="F168" s="705"/>
      <c r="G168" s="705"/>
      <c r="H168" s="682"/>
      <c r="I168" s="682"/>
      <c r="AE168" s="428"/>
      <c r="AF168" s="428"/>
    </row>
    <row r="169" spans="1:32">
      <c r="B169" s="446" t="e">
        <f t="shared" ca="1" si="10"/>
        <v>#REF!</v>
      </c>
      <c r="C169" s="668" t="e">
        <f ca="1">IF(B169&lt;&gt; "", 'Land requirements'!E7, 0)</f>
        <v>#REF!</v>
      </c>
      <c r="D169" s="668" t="e">
        <f ca="1">IF(B169&lt;&gt; "", 'Land requirements'!E20, 0)</f>
        <v>#REF!</v>
      </c>
      <c r="E169" s="705"/>
      <c r="F169" s="705"/>
      <c r="G169" s="705"/>
      <c r="H169" s="682"/>
      <c r="I169" s="682"/>
      <c r="AE169" s="428"/>
      <c r="AF169" s="428"/>
    </row>
    <row r="170" spans="1:32">
      <c r="B170" s="446" t="e">
        <f t="shared" ca="1" si="10"/>
        <v>#REF!</v>
      </c>
      <c r="C170" s="668" t="e">
        <f ca="1">IF(B170&lt;&gt; "", 'Land requirements'!E8, 0)</f>
        <v>#REF!</v>
      </c>
      <c r="D170" s="668" t="e">
        <f ca="1">IF(B170&lt;&gt; "", 'Land requirements'!E21, 0)</f>
        <v>#REF!</v>
      </c>
      <c r="E170" s="705"/>
      <c r="F170" s="705"/>
      <c r="G170" s="705"/>
      <c r="H170" s="682"/>
      <c r="I170" s="682"/>
      <c r="AE170" s="428"/>
      <c r="AF170" s="428"/>
    </row>
    <row r="171" spans="1:32">
      <c r="B171" s="446" t="e">
        <f t="shared" ca="1" si="10"/>
        <v>#REF!</v>
      </c>
      <c r="C171" s="668" t="e">
        <f ca="1">IF(B171&lt;&gt; "", 'Land requirements'!E9, 0)</f>
        <v>#REF!</v>
      </c>
      <c r="D171" s="668" t="e">
        <f ca="1">IF(B171&lt;&gt; "", 'Land requirements'!E22, 0)</f>
        <v>#REF!</v>
      </c>
      <c r="E171" s="705"/>
      <c r="F171" s="705"/>
      <c r="G171" s="705"/>
      <c r="H171" s="682"/>
      <c r="I171" s="682"/>
      <c r="AD171" s="428"/>
      <c r="AE171" s="428"/>
      <c r="AF171" s="428"/>
    </row>
    <row r="172" spans="1:32" ht="16.5" thickBot="1">
      <c r="B172" s="884" t="e">
        <f t="shared" ca="1" si="10"/>
        <v>#REF!</v>
      </c>
      <c r="C172" s="885" t="e">
        <f ca="1">IF(B172&lt;&gt; "", 'Land requirements'!E10, 0)</f>
        <v>#REF!</v>
      </c>
      <c r="D172" s="885" t="e">
        <f ca="1">IF(B172&lt;&gt; "", 'Land requirements'!E23, 0)</f>
        <v>#REF!</v>
      </c>
      <c r="E172" s="713">
        <v>0</v>
      </c>
      <c r="F172" s="713">
        <v>0</v>
      </c>
      <c r="G172" s="713">
        <v>0</v>
      </c>
      <c r="H172" s="714">
        <v>0</v>
      </c>
      <c r="I172" s="714"/>
      <c r="AD172" s="428"/>
      <c r="AE172" s="428"/>
      <c r="AF172" s="428"/>
    </row>
    <row r="173" spans="1:32" ht="16.5" thickBot="1">
      <c r="B173" s="883"/>
      <c r="C173" s="426"/>
      <c r="AD173" s="428"/>
      <c r="AE173" s="428"/>
      <c r="AF173" s="428"/>
    </row>
    <row r="174" spans="1:32" ht="16.5" thickBot="1">
      <c r="B174" s="669" t="s">
        <v>1245</v>
      </c>
      <c r="C174" s="346"/>
      <c r="D174" s="346"/>
      <c r="E174" s="346"/>
      <c r="F174" s="346"/>
      <c r="G174" s="627"/>
      <c r="H174" s="614"/>
      <c r="AC174" s="428"/>
      <c r="AD174" s="428"/>
      <c r="AE174" s="428"/>
      <c r="AF174" s="428"/>
    </row>
    <row r="175" spans="1:32" ht="31.5">
      <c r="B175" s="599" t="s">
        <v>1226</v>
      </c>
      <c r="C175" s="656" t="s">
        <v>1278</v>
      </c>
      <c r="D175" s="611" t="s">
        <v>1244</v>
      </c>
      <c r="E175" s="612" t="s">
        <v>1279</v>
      </c>
      <c r="F175" s="888" t="s">
        <v>1280</v>
      </c>
      <c r="G175" s="895" t="s">
        <v>1228</v>
      </c>
      <c r="AC175" s="428"/>
      <c r="AD175" s="428"/>
    </row>
    <row r="176" spans="1:32">
      <c r="B176" s="715" t="s">
        <v>1306</v>
      </c>
      <c r="C176" s="705">
        <v>250</v>
      </c>
      <c r="D176" s="705">
        <v>0</v>
      </c>
      <c r="E176" s="705">
        <v>5</v>
      </c>
      <c r="F176" s="886">
        <v>1</v>
      </c>
      <c r="G176" s="896"/>
      <c r="AC176" s="428"/>
      <c r="AD176" s="428"/>
    </row>
    <row r="177" spans="2:33">
      <c r="B177" s="715"/>
      <c r="C177" s="705"/>
      <c r="D177" s="705"/>
      <c r="E177" s="705"/>
      <c r="F177" s="886"/>
      <c r="G177" s="896"/>
      <c r="AB177" s="428"/>
      <c r="AC177" s="428"/>
      <c r="AD177" s="428"/>
    </row>
    <row r="178" spans="2:33" ht="16.5" thickBot="1">
      <c r="B178" s="716"/>
      <c r="C178" s="713"/>
      <c r="D178" s="713"/>
      <c r="E178" s="713"/>
      <c r="F178" s="887"/>
      <c r="G178" s="897"/>
      <c r="AB178" s="428"/>
      <c r="AC178" s="428"/>
    </row>
    <row r="179" spans="2:33">
      <c r="B179" s="444"/>
      <c r="AB179" s="428"/>
      <c r="AC179" s="428"/>
    </row>
    <row r="180" spans="2:33" ht="16.5" thickBot="1">
      <c r="B180" s="889"/>
      <c r="C180" s="889"/>
      <c r="H180" s="72"/>
      <c r="I180" s="72"/>
      <c r="J180" s="72"/>
      <c r="AA180" s="428"/>
      <c r="AB180" s="428"/>
      <c r="AC180" s="428"/>
    </row>
    <row r="181" spans="2:33">
      <c r="B181" s="1288" t="s">
        <v>1525</v>
      </c>
      <c r="C181" s="1289">
        <f>SUMMARY!$D$16</f>
        <v>-24.559752632500931</v>
      </c>
      <c r="H181" s="72"/>
      <c r="I181" s="72"/>
      <c r="J181" s="72"/>
      <c r="AA181" s="428"/>
      <c r="AB181" s="428"/>
    </row>
    <row r="182" spans="2:33">
      <c r="B182" s="1290" t="s">
        <v>1526</v>
      </c>
      <c r="C182" s="1291">
        <f>SUMMARY!$G$16</f>
        <v>-39.445962449992564</v>
      </c>
      <c r="AA182" s="428"/>
      <c r="AB182" s="428"/>
    </row>
    <row r="183" spans="2:33">
      <c r="B183" s="1290" t="s">
        <v>1415</v>
      </c>
      <c r="C183" s="1291">
        <f>'Soil impacts'!$C$2</f>
        <v>100</v>
      </c>
      <c r="V183" s="428"/>
      <c r="Z183" s="428"/>
      <c r="AA183" s="428"/>
      <c r="AB183" s="428"/>
    </row>
    <row r="184" spans="2:33">
      <c r="B184" s="1290" t="s">
        <v>1416</v>
      </c>
      <c r="C184" s="1291">
        <f>'Soil impacts'!$D$2</f>
        <v>0</v>
      </c>
      <c r="V184" s="428"/>
      <c r="W184" s="428"/>
      <c r="Z184" s="428"/>
      <c r="AA184" s="428"/>
    </row>
    <row r="185" spans="2:33">
      <c r="B185" s="1290" t="s">
        <v>1550</v>
      </c>
      <c r="C185" s="1291">
        <f>SUMMARY!$D$21</f>
        <v>5.0703490119414401</v>
      </c>
      <c r="U185" s="428"/>
      <c r="V185" s="428"/>
      <c r="W185" s="428"/>
      <c r="X185" s="428"/>
      <c r="Z185" s="428"/>
      <c r="AA185" s="428"/>
      <c r="AG185" s="428"/>
    </row>
    <row r="186" spans="2:33">
      <c r="B186" s="1290" t="s">
        <v>1533</v>
      </c>
      <c r="C186" s="1291">
        <f>SUMMARY!$D$6</f>
        <v>0.62261765481413833</v>
      </c>
      <c r="U186" s="428"/>
      <c r="V186" s="428"/>
      <c r="W186" s="428"/>
      <c r="X186" s="428"/>
      <c r="Y186" s="428"/>
      <c r="Z186" s="428"/>
      <c r="AA186" s="428"/>
      <c r="AG186" s="428"/>
    </row>
    <row r="187" spans="2:33">
      <c r="B187" s="1290" t="s">
        <v>1534</v>
      </c>
      <c r="C187" s="1291">
        <f>SUMMARY!$D$9</f>
        <v>3123.81</v>
      </c>
      <c r="T187" s="428"/>
      <c r="U187" s="428"/>
      <c r="V187" s="428"/>
      <c r="W187" s="428"/>
      <c r="X187" s="428"/>
      <c r="Y187" s="428"/>
      <c r="Z187" s="428"/>
      <c r="AG187" s="428"/>
    </row>
    <row r="188" spans="2:33">
      <c r="B188" s="1290" t="s">
        <v>1535</v>
      </c>
      <c r="C188" s="1291">
        <f>SUMMARY!$D$11</f>
        <v>271.44</v>
      </c>
      <c r="T188" s="428"/>
      <c r="U188" s="428"/>
      <c r="V188" s="428"/>
      <c r="W188" s="428"/>
      <c r="X188" s="428"/>
      <c r="Y188" s="428"/>
      <c r="Z188" s="428"/>
      <c r="AG188" s="428"/>
    </row>
    <row r="189" spans="2:33">
      <c r="B189" s="1290" t="s">
        <v>1536</v>
      </c>
      <c r="C189" s="1291">
        <f>SUMMARY!$D$13</f>
        <v>186.15537</v>
      </c>
      <c r="T189" s="428"/>
      <c r="U189" s="428"/>
      <c r="V189" s="428"/>
      <c r="W189" s="428"/>
      <c r="X189" s="428"/>
      <c r="Y189" s="428"/>
      <c r="Z189" s="428"/>
      <c r="AG189" s="428"/>
    </row>
    <row r="190" spans="2:33">
      <c r="B190" s="1290" t="s">
        <v>1527</v>
      </c>
      <c r="C190" s="1291">
        <f>SUMMARY!$D$24</f>
        <v>5.6845057721623053</v>
      </c>
      <c r="T190" s="428"/>
      <c r="U190" s="428"/>
      <c r="W190" s="428"/>
      <c r="X190" s="428"/>
      <c r="Y190" s="428"/>
      <c r="AG190" s="428"/>
    </row>
    <row r="191" spans="2:33">
      <c r="B191" s="1290" t="s">
        <v>1528</v>
      </c>
      <c r="C191" s="1291">
        <f>SUMMARY!J24</f>
        <v>1.8197348021045792</v>
      </c>
      <c r="T191" s="428"/>
      <c r="U191" s="428"/>
      <c r="X191" s="428"/>
      <c r="Y191" s="428"/>
      <c r="AG191" s="428"/>
    </row>
    <row r="192" spans="2:33">
      <c r="B192" s="1290" t="s">
        <v>1529</v>
      </c>
      <c r="C192" s="1291">
        <f>SUMMARY!J25</f>
        <v>20.942034232840793</v>
      </c>
      <c r="T192" s="428"/>
      <c r="Y192" s="428"/>
    </row>
    <row r="193" spans="2:20">
      <c r="B193" s="1290" t="s">
        <v>1530</v>
      </c>
      <c r="C193" s="1291">
        <f>SUMMARY!J26</f>
        <v>30.53635128635991</v>
      </c>
      <c r="T193" s="428"/>
    </row>
    <row r="194" spans="2:20">
      <c r="B194" s="1290" t="s">
        <v>1540</v>
      </c>
      <c r="C194" s="1291">
        <f>SUMMARY!G24</f>
        <v>9.1300105742411439</v>
      </c>
    </row>
    <row r="195" spans="2:20">
      <c r="B195" s="1290" t="s">
        <v>1551</v>
      </c>
      <c r="C195" s="1291" t="e">
        <f>SUMMARY!$D$31</f>
        <v>#REF!</v>
      </c>
    </row>
    <row r="196" spans="2:20">
      <c r="B196" s="1290" t="s">
        <v>1537</v>
      </c>
      <c r="C196" s="1291">
        <f>SUMMARY!$J$29</f>
        <v>0.2036469222422132</v>
      </c>
    </row>
    <row r="197" spans="2:20">
      <c r="B197" s="1290" t="s">
        <v>1538</v>
      </c>
      <c r="C197" s="1291">
        <f>'Water Impacts'!B6</f>
        <v>2.3436276605122606</v>
      </c>
    </row>
    <row r="198" spans="2:20">
      <c r="B198" s="1290" t="s">
        <v>1563</v>
      </c>
      <c r="C198" s="1291">
        <f>'Water Impacts'!B7</f>
        <v>3.4173297937601692</v>
      </c>
    </row>
    <row r="199" spans="2:20">
      <c r="B199" s="1290" t="s">
        <v>1541</v>
      </c>
      <c r="C199" s="1291">
        <f>SUMMARY!$G$27</f>
        <v>1021.7414929542122</v>
      </c>
    </row>
    <row r="200" spans="2:20">
      <c r="B200" s="1290" t="s">
        <v>1539</v>
      </c>
      <c r="C200" s="1291">
        <f>Productivity!B10/SUMMARY!D6</f>
        <v>10.484765328327731</v>
      </c>
    </row>
    <row r="201" spans="2:20">
      <c r="B201" s="1290" t="str">
        <f>'Land requirements'!A4</f>
        <v>Concentrate (commercial)</v>
      </c>
      <c r="C201" s="1291">
        <f>'Land requirements'!E4</f>
        <v>0</v>
      </c>
    </row>
    <row r="202" spans="2:20">
      <c r="B202" s="1290" t="str">
        <f>'Land requirements'!A5</f>
        <v xml:space="preserve">Naturally occuring pasture - green fodder </v>
      </c>
      <c r="C202" s="1291">
        <f>'Land requirements'!E5</f>
        <v>0.11605117411355399</v>
      </c>
    </row>
    <row r="203" spans="2:20">
      <c r="B203" s="1290" t="str">
        <f>'Land requirements'!A6</f>
        <v>Maize (Zea mays)-stover</v>
      </c>
      <c r="C203" s="1291">
        <f>'Land requirements'!E6</f>
        <v>0.36847947694770705</v>
      </c>
    </row>
    <row r="204" spans="2:20">
      <c r="B204" s="1290" t="str">
        <f>'Land requirements'!A7</f>
        <v>Guatemala grass (Tripsacum andersonii) - forage</v>
      </c>
      <c r="C204" s="1291">
        <f>'Land requirements'!E7</f>
        <v>2.6356567550878132E-2</v>
      </c>
    </row>
    <row r="205" spans="2:20">
      <c r="B205" s="1290" t="str">
        <f>'Land requirements'!A8</f>
        <v>Rhodes grass (Chloris gayana) - forage</v>
      </c>
      <c r="C205" s="1291">
        <f>'Land requirements'!E8</f>
        <v>9.7090745826499264E-2</v>
      </c>
    </row>
    <row r="206" spans="2:20">
      <c r="B206" s="1290" t="str">
        <f>'Land requirements'!A9</f>
        <v>Napier grass (Pennisetum purpureum) - forage</v>
      </c>
      <c r="C206" s="1291">
        <f>'Land requirements'!E9</f>
        <v>1.4639690375499932E-2</v>
      </c>
    </row>
    <row r="207" spans="2:20">
      <c r="B207" s="1290" t="str">
        <f>'Land requirements'!A10</f>
        <v>N/A</v>
      </c>
      <c r="C207" s="1291">
        <f>'Land requirements'!E10</f>
        <v>0</v>
      </c>
    </row>
    <row r="208" spans="2:20">
      <c r="B208" s="1290" t="str">
        <f>INPUTS!C18</f>
        <v>Cows - local</v>
      </c>
      <c r="C208" s="1291">
        <f>INPUTS!D18</f>
        <v>0</v>
      </c>
    </row>
    <row r="209" spans="2:3">
      <c r="B209" s="1290" t="str">
        <f>INPUTS!C19</f>
        <v>Cows - improved</v>
      </c>
      <c r="C209" s="1291">
        <f>INPUTS!D19</f>
        <v>2</v>
      </c>
    </row>
    <row r="210" spans="2:3">
      <c r="B210" s="1292"/>
      <c r="C210" s="1293"/>
    </row>
    <row r="211" spans="2:3">
      <c r="B211" s="1292"/>
      <c r="C211" s="1293"/>
    </row>
    <row r="212" spans="2:3">
      <c r="B212" s="1292"/>
      <c r="C212" s="1293"/>
    </row>
    <row r="213" spans="2:3">
      <c r="B213" s="1292"/>
      <c r="C213" s="1293"/>
    </row>
    <row r="214" spans="2:3">
      <c r="B214" s="1292"/>
      <c r="C214" s="1293"/>
    </row>
    <row r="215" spans="2:3">
      <c r="B215" s="1292"/>
      <c r="C215" s="1293"/>
    </row>
    <row r="216" spans="2:3">
      <c r="B216" s="1292"/>
      <c r="C216" s="1293"/>
    </row>
    <row r="217" spans="2:3">
      <c r="B217" s="1292"/>
      <c r="C217" s="1293"/>
    </row>
    <row r="218" spans="2:3">
      <c r="B218" s="1292"/>
      <c r="C218" s="1293"/>
    </row>
    <row r="219" spans="2:3">
      <c r="B219" s="1292"/>
      <c r="C219" s="1293"/>
    </row>
    <row r="220" spans="2:3">
      <c r="B220" s="1292"/>
      <c r="C220" s="1293"/>
    </row>
    <row r="221" spans="2:3">
      <c r="B221" s="1292"/>
      <c r="C221" s="1293"/>
    </row>
    <row r="222" spans="2:3">
      <c r="B222" s="1292"/>
      <c r="C222" s="1293"/>
    </row>
    <row r="223" spans="2:3">
      <c r="B223" s="1292"/>
      <c r="C223" s="1293"/>
    </row>
    <row r="224" spans="2:3">
      <c r="B224" s="1292"/>
      <c r="C224" s="1293"/>
    </row>
    <row r="225" spans="2:3">
      <c r="B225" s="1292"/>
      <c r="C225" s="1293"/>
    </row>
    <row r="226" spans="2:3">
      <c r="B226" s="1292"/>
      <c r="C226" s="1293"/>
    </row>
    <row r="227" spans="2:3">
      <c r="B227" s="1292"/>
      <c r="C227" s="1293"/>
    </row>
    <row r="228" spans="2:3">
      <c r="B228" s="1292"/>
      <c r="C228" s="1293"/>
    </row>
    <row r="229" spans="2:3">
      <c r="B229" s="1292"/>
      <c r="C229" s="1293"/>
    </row>
    <row r="230" spans="2:3">
      <c r="B230" s="1292"/>
      <c r="C230" s="1293"/>
    </row>
    <row r="231" spans="2:3">
      <c r="B231" s="1292"/>
      <c r="C231" s="1293"/>
    </row>
    <row r="232" spans="2:3">
      <c r="B232" s="1292"/>
      <c r="C232" s="1293"/>
    </row>
    <row r="233" spans="2:3">
      <c r="B233" s="1292"/>
      <c r="C233" s="1293"/>
    </row>
    <row r="234" spans="2:3">
      <c r="B234" s="1292"/>
      <c r="C234" s="1293"/>
    </row>
    <row r="235" spans="2:3">
      <c r="B235" s="1292"/>
      <c r="C235" s="1293"/>
    </row>
    <row r="236" spans="2:3">
      <c r="B236" s="1292"/>
      <c r="C236" s="1293"/>
    </row>
    <row r="237" spans="2:3">
      <c r="B237" s="1292"/>
      <c r="C237" s="1293"/>
    </row>
    <row r="238" spans="2:3">
      <c r="B238" s="1292"/>
      <c r="C238" s="1293"/>
    </row>
    <row r="239" spans="2:3">
      <c r="B239" s="1292"/>
      <c r="C239" s="1293"/>
    </row>
    <row r="240" spans="2:3">
      <c r="B240" s="1292"/>
      <c r="C240" s="1293"/>
    </row>
    <row r="241" spans="2:3" ht="16.5" thickBot="1">
      <c r="B241" s="1294"/>
      <c r="C241" s="1295"/>
    </row>
    <row r="242" spans="2:3">
      <c r="B242" s="889"/>
      <c r="C242" s="889"/>
    </row>
    <row r="243" spans="2:3">
      <c r="B243" s="889"/>
      <c r="C243" s="889"/>
    </row>
    <row r="244" spans="2:3">
      <c r="B244" s="889"/>
      <c r="C244" s="889"/>
    </row>
    <row r="245" spans="2:3">
      <c r="B245" s="889"/>
      <c r="C245" s="889"/>
    </row>
    <row r="246" spans="2:3">
      <c r="B246" s="889"/>
      <c r="C246" s="889"/>
    </row>
    <row r="247" spans="2:3">
      <c r="B247" s="889"/>
      <c r="C247" s="889"/>
    </row>
    <row r="248" spans="2:3">
      <c r="B248" s="889"/>
      <c r="C248" s="889"/>
    </row>
    <row r="249" spans="2:3">
      <c r="B249" s="889"/>
      <c r="C249" s="889"/>
    </row>
    <row r="250" spans="2:3">
      <c r="B250" s="889"/>
      <c r="C250" s="889"/>
    </row>
    <row r="251" spans="2:3">
      <c r="B251" s="889"/>
      <c r="C251" s="889"/>
    </row>
    <row r="252" spans="2:3">
      <c r="B252" s="889"/>
      <c r="C252" s="889"/>
    </row>
    <row r="253" spans="2:3">
      <c r="B253" s="889"/>
      <c r="C253" s="889"/>
    </row>
    <row r="254" spans="2:3">
      <c r="B254" s="889"/>
      <c r="C254" s="889"/>
    </row>
    <row r="255" spans="2:3">
      <c r="B255" s="889"/>
      <c r="C255" s="889"/>
    </row>
    <row r="256" spans="2:3">
      <c r="B256" s="889"/>
      <c r="C256" s="889"/>
    </row>
    <row r="257" spans="2:3">
      <c r="B257" s="889"/>
      <c r="C257" s="889"/>
    </row>
  </sheetData>
  <sheetProtection selectLockedCells="1"/>
  <mergeCells count="9">
    <mergeCell ref="B17:B26"/>
    <mergeCell ref="C4:C5"/>
    <mergeCell ref="B9:B12"/>
    <mergeCell ref="B28:B31"/>
    <mergeCell ref="B111:B117"/>
    <mergeCell ref="B71:B93"/>
    <mergeCell ref="B95:B102"/>
    <mergeCell ref="B41:B45"/>
    <mergeCell ref="B33:B38"/>
  </mergeCells>
  <phoneticPr fontId="43" type="noConversion"/>
  <dataValidations count="11">
    <dataValidation allowBlank="1" showInputMessage="1" showErrorMessage="1" promptTitle="Crop" sqref="D72:D78"/>
    <dataValidation type="list" allowBlank="1" showInputMessage="1" showErrorMessage="1" sqref="AA66:AA71 I72:I78 M79:M84 G79:G84">
      <formula1>Land_cover_erosion</formula1>
    </dataValidation>
    <dataValidation type="list" allowBlank="1" showInputMessage="1" showErrorMessage="1" sqref="AB63:AB68 J72:J78 N79:N84 H79:H84">
      <formula1>Slope</formula1>
    </dataValidation>
    <dataValidation type="list" allowBlank="1" showInputMessage="1" showErrorMessage="1" sqref="AC60:AC65 K72:K78 O79:O84 I79:I84">
      <formula1>Slope_length</formula1>
    </dataValidation>
    <dataValidation type="whole" allowBlank="1" showInputMessage="1" showErrorMessage="1" sqref="F72:F78">
      <formula1>0</formula1>
      <formula2>1</formula2>
    </dataValidation>
    <dataValidation type="decimal" allowBlank="1" showInputMessage="1" showErrorMessage="1" sqref="G72:H78">
      <formula1>0</formula1>
      <formula2>1</formula2>
    </dataValidation>
    <dataValidation type="list" allowBlank="1" showInputMessage="1" showErrorMessage="1" sqref="E114">
      <formula1>RiceEcosystem</formula1>
    </dataValidation>
    <dataValidation type="list" allowBlank="1" showInputMessage="1" showErrorMessage="1" sqref="E115">
      <formula1>wateregime</formula1>
    </dataValidation>
    <dataValidation type="list" allowBlank="1" showInputMessage="1" showErrorMessage="1" sqref="E116">
      <formula1>OrganicAmendment</formula1>
    </dataValidation>
    <dataValidation type="list" allowBlank="1" showInputMessage="1" showErrorMessage="1" promptTitle="Crop" sqref="AA60:AA65">
      <formula1>$A$3:$A$20</formula1>
    </dataValidation>
    <dataValidation type="list" allowBlank="1" showInputMessage="1" showErrorMessage="1" promptTitle="Crop" sqref="D79:D84">
      <formula1>$A$1:$A$61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106</xdr:row>
                <xdr:rowOff>95250</xdr:rowOff>
              </from>
              <to>
                <xdr:col>6</xdr:col>
                <xdr:colOff>800100</xdr:colOff>
                <xdr:row>110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I72:I78 G79:G84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F114:I116</xm:sqref>
        </x14:dataValidation>
        <x14:dataValidation type="list" allowBlank="1" showInputMessage="1" showErrorMessage="1">
          <x14:formula1>
            <xm:f>'Crop parameters'!$A$37:$A$39</xm:f>
          </x14:formula1>
          <xm:sqref>E72:E78</xm:sqref>
        </x14:dataValidation>
        <x14:dataValidation type="list" allowBlank="1" showInputMessage="1" showErrorMessage="1">
          <x14:formula1>
            <xm:f>'Feed parameters'!$A$3:$A$126</xm:f>
          </x14:formula1>
          <xm:sqref>B52:B58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K79:K84</xm:sqref>
        </x14:dataValidation>
        <x14:dataValidation type="list" allowBlank="1" showInputMessage="1" showErrorMessage="1">
          <x14:formula1>
            <xm:f>'GHG Parameters'!$A$101:$A$103</xm:f>
          </x14:formula1>
          <xm:sqref>D29:D31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G52"/>
  <sheetViews>
    <sheetView workbookViewId="0">
      <selection activeCell="E11" sqref="E11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9.5" customWidth="1"/>
  </cols>
  <sheetData>
    <row r="1" spans="1:7" s="581" customFormat="1" ht="16.5" thickBot="1"/>
    <row r="2" spans="1:7">
      <c r="A2" s="1396" t="s">
        <v>1165</v>
      </c>
      <c r="B2" s="1397"/>
      <c r="C2" s="1397"/>
      <c r="D2" s="1397"/>
      <c r="E2" s="1398"/>
      <c r="G2" s="984"/>
    </row>
    <row r="3" spans="1:7">
      <c r="A3" s="410" t="s">
        <v>1123</v>
      </c>
      <c r="B3" s="411" t="s">
        <v>1141</v>
      </c>
      <c r="C3" s="411" t="s">
        <v>1177</v>
      </c>
      <c r="D3" s="412" t="s">
        <v>1178</v>
      </c>
      <c r="E3" s="415" t="s">
        <v>135</v>
      </c>
      <c r="G3" s="147"/>
    </row>
    <row r="4" spans="1:7">
      <c r="A4" s="1338" t="str">
        <f>INPUTS!C72</f>
        <v>Concentrate (commercial)</v>
      </c>
      <c r="B4" s="1339" t="str">
        <f>INPUTS!D72</f>
        <v>Purchased</v>
      </c>
      <c r="C4" s="1332">
        <f>'Land Requirement '!L16</f>
        <v>0</v>
      </c>
      <c r="D4" s="1332">
        <f>'Land Requirement '!M16</f>
        <v>0</v>
      </c>
      <c r="E4" s="1333">
        <f>C4+D4</f>
        <v>0</v>
      </c>
      <c r="G4" s="147"/>
    </row>
    <row r="5" spans="1:7">
      <c r="A5" s="1338" t="str">
        <f>INPUTS!C73</f>
        <v xml:space="preserve">Naturally occuring pasture - green fodder </v>
      </c>
      <c r="B5" s="1339" t="str">
        <f>INPUTS!D73</f>
        <v>Natural pasture</v>
      </c>
      <c r="C5" s="1332">
        <f>'Land Requirement '!X16</f>
        <v>8.9098340585790886E-2</v>
      </c>
      <c r="D5" s="1332">
        <f>'Land Requirement '!Y16</f>
        <v>2.695283352776311E-2</v>
      </c>
      <c r="E5" s="1333">
        <f t="shared" ref="E5:E10" si="0">C5+D5</f>
        <v>0.11605117411355399</v>
      </c>
      <c r="G5" s="147"/>
    </row>
    <row r="6" spans="1:7">
      <c r="A6" s="1338" t="str">
        <f>INPUTS!C74</f>
        <v>Maize (Zea mays)-stover</v>
      </c>
      <c r="B6" s="1339" t="str">
        <f>INPUTS!D74</f>
        <v>Maize</v>
      </c>
      <c r="C6" s="1332">
        <f>'Land Requirement '!AJ16</f>
        <v>7.2480560003454875E-2</v>
      </c>
      <c r="D6" s="1332">
        <f>'Land Requirement '!AK16</f>
        <v>0.29599891694425218</v>
      </c>
      <c r="E6" s="1333">
        <f t="shared" si="0"/>
        <v>0.36847947694770705</v>
      </c>
      <c r="G6" s="147"/>
    </row>
    <row r="7" spans="1:7">
      <c r="A7" s="1338" t="str">
        <f>INPUTS!C75</f>
        <v>Guatemala grass (Tripsacum andersonii) - forage</v>
      </c>
      <c r="B7" s="1339" t="str">
        <f>INPUTS!D75</f>
        <v>Guatemala</v>
      </c>
      <c r="C7" s="1332">
        <f>'Land Requirement '!AV16</f>
        <v>6.1767352194203855E-3</v>
      </c>
      <c r="D7" s="1332">
        <f>'Land Requirement '!AW16</f>
        <v>2.0179832331457745E-2</v>
      </c>
      <c r="E7" s="1333">
        <f t="shared" si="0"/>
        <v>2.6356567550878132E-2</v>
      </c>
      <c r="G7" s="147"/>
    </row>
    <row r="8" spans="1:7">
      <c r="A8" s="1338" t="str">
        <f>INPUTS!C76</f>
        <v>Rhodes grass (Chloris gayana) - forage</v>
      </c>
      <c r="B8" s="1339" t="str">
        <f>INPUTS!D76</f>
        <v>Rhodes</v>
      </c>
      <c r="C8" s="1332">
        <f>'Land Requirement '!BH16</f>
        <v>7.5875015435360016E-2</v>
      </c>
      <c r="D8" s="1332">
        <f>'Land Requirement '!BI16</f>
        <v>2.1215730391139241E-2</v>
      </c>
      <c r="E8" s="1333">
        <f t="shared" si="0"/>
        <v>9.7090745826499264E-2</v>
      </c>
      <c r="G8" s="147"/>
    </row>
    <row r="9" spans="1:7">
      <c r="A9" s="1338" t="str">
        <f>INPUTS!C77</f>
        <v>Napier grass (Pennisetum purpureum) - forage</v>
      </c>
      <c r="B9" s="1339" t="str">
        <f>INPUTS!D77</f>
        <v>Napier</v>
      </c>
      <c r="C9" s="1332">
        <f>'Land Requirement '!BT16</f>
        <v>1.134502387240479E-2</v>
      </c>
      <c r="D9" s="1332">
        <f>'Land Requirement '!BU16</f>
        <v>3.2946665030951418E-3</v>
      </c>
      <c r="E9" s="1333">
        <f t="shared" si="0"/>
        <v>1.4639690375499932E-2</v>
      </c>
      <c r="G9" s="147"/>
    </row>
    <row r="10" spans="1:7">
      <c r="A10" s="1338" t="str">
        <f>INPUTS!C78</f>
        <v>N/A</v>
      </c>
      <c r="B10" s="1339" t="str">
        <f>INPUTS!D78</f>
        <v>N/A</v>
      </c>
      <c r="C10" s="1332">
        <f>'Land Requirement '!CF16</f>
        <v>0</v>
      </c>
      <c r="D10" s="1332">
        <f>'Land Requirement '!CG16</f>
        <v>0</v>
      </c>
      <c r="E10" s="1333">
        <f t="shared" si="0"/>
        <v>0</v>
      </c>
      <c r="G10" s="147"/>
    </row>
    <row r="11" spans="1:7">
      <c r="A11" s="1338"/>
      <c r="B11" s="1340" t="s">
        <v>1132</v>
      </c>
      <c r="C11" s="1334">
        <f>SUM(C4:C10)</f>
        <v>0.25497567511643093</v>
      </c>
      <c r="D11" s="1334">
        <f>SUM(D4:D10)</f>
        <v>0.3676419796977074</v>
      </c>
      <c r="E11" s="1335">
        <f>SUM(E4:E10)</f>
        <v>0.62261765481413833</v>
      </c>
      <c r="G11" s="147"/>
    </row>
    <row r="12" spans="1:7" ht="16.5" thickBot="1">
      <c r="A12" s="1341"/>
      <c r="B12" s="1342" t="s">
        <v>1670</v>
      </c>
      <c r="C12" s="1336"/>
      <c r="D12" s="1336"/>
      <c r="E12" s="1337">
        <f>E11/Productivity!B14*1000</f>
        <v>0.19931354813965585</v>
      </c>
    </row>
    <row r="13" spans="1:7">
      <c r="A13" s="1343"/>
      <c r="B13" s="1343"/>
      <c r="C13" s="1343"/>
      <c r="D13" s="1343"/>
      <c r="E13" s="1343"/>
    </row>
    <row r="14" spans="1:7" ht="16.5" thickBot="1">
      <c r="A14" s="1343"/>
      <c r="B14" s="1343"/>
      <c r="C14" s="1343"/>
      <c r="D14" s="1343"/>
      <c r="E14" s="1343"/>
    </row>
    <row r="15" spans="1:7">
      <c r="A15" s="1399" t="s">
        <v>1164</v>
      </c>
      <c r="B15" s="1400"/>
      <c r="C15" s="1400"/>
      <c r="D15" s="1400"/>
      <c r="E15" s="1401"/>
    </row>
    <row r="16" spans="1:7">
      <c r="A16" s="1344" t="s">
        <v>1123</v>
      </c>
      <c r="B16" s="1345" t="s">
        <v>1141</v>
      </c>
      <c r="C16" s="1346" t="s">
        <v>1177</v>
      </c>
      <c r="D16" s="1346" t="s">
        <v>1178</v>
      </c>
      <c r="E16" s="1347" t="s">
        <v>135</v>
      </c>
    </row>
    <row r="17" spans="1:5">
      <c r="A17" s="1338" t="str">
        <f>INPUTS!C72</f>
        <v>Concentrate (commercial)</v>
      </c>
      <c r="B17" s="1339" t="str">
        <f>INPUTS!D72</f>
        <v>Purchased</v>
      </c>
      <c r="C17" s="1348">
        <f xml:space="preserve"> 'Land Requirement '!B15</f>
        <v>500.31555277305131</v>
      </c>
      <c r="D17" s="1348">
        <f xml:space="preserve"> 'Land Requirement '!C15</f>
        <v>435.8843783594873</v>
      </c>
      <c r="E17" s="1349">
        <f>SUM(C17:D17)</f>
        <v>936.19993113253861</v>
      </c>
    </row>
    <row r="18" spans="1:5">
      <c r="A18" s="1338" t="str">
        <f>INPUTS!C73</f>
        <v xml:space="preserve">Naturally occuring pasture - green fodder </v>
      </c>
      <c r="B18" s="1339" t="str">
        <f>INPUTS!D73</f>
        <v>Natural pasture</v>
      </c>
      <c r="C18" s="1348">
        <f>'Land Requirement '!N15</f>
        <v>1162.7333446445709</v>
      </c>
      <c r="D18" s="1348">
        <f>'Land Requirement '!O15</f>
        <v>351.73447753730852</v>
      </c>
      <c r="E18" s="1349">
        <f t="shared" ref="E18:E23" si="1">SUM(C18:D18)</f>
        <v>1514.4678221818795</v>
      </c>
    </row>
    <row r="19" spans="1:5">
      <c r="A19" s="1338" t="str">
        <f>INPUTS!C74</f>
        <v>Maize (Zea mays)-stover</v>
      </c>
      <c r="B19" s="1339" t="str">
        <f>INPUTS!D74</f>
        <v>Maize</v>
      </c>
      <c r="C19" s="1348">
        <f>'Land Requirement '!Z15</f>
        <v>193.45534707224647</v>
      </c>
      <c r="D19" s="1348">
        <f>'Land Requirement '!AA15</f>
        <v>790.04043577657058</v>
      </c>
      <c r="E19" s="1349">
        <f t="shared" si="1"/>
        <v>983.49578284881704</v>
      </c>
    </row>
    <row r="20" spans="1:5">
      <c r="A20" s="1338" t="str">
        <f>INPUTS!C75</f>
        <v>Guatemala grass (Tripsacum andersonii) - forage</v>
      </c>
      <c r="B20" s="1339" t="str">
        <f>INPUTS!D75</f>
        <v>Guatemala</v>
      </c>
      <c r="C20" s="1348">
        <f>'Land Requirement '!AL15</f>
        <v>122.29935734452366</v>
      </c>
      <c r="D20" s="1348">
        <f>'Land Requirement '!AM15</f>
        <v>399.56068016286338</v>
      </c>
      <c r="E20" s="1349">
        <f t="shared" si="1"/>
        <v>521.86003750738701</v>
      </c>
    </row>
    <row r="21" spans="1:5">
      <c r="A21" s="1338" t="str">
        <f>INPUTS!C76</f>
        <v>Rhodes grass (Chloris gayana) - forage</v>
      </c>
      <c r="B21" s="1339" t="str">
        <f>INPUTS!D76</f>
        <v>Rhodes</v>
      </c>
      <c r="C21" s="1348">
        <f>'Land Requirement '!AX15</f>
        <v>1024.3127083773602</v>
      </c>
      <c r="D21" s="1348">
        <f>'Land Requirement '!AY15</f>
        <v>286.41236028037974</v>
      </c>
      <c r="E21" s="1349">
        <f t="shared" si="1"/>
        <v>1310.7250686577399</v>
      </c>
    </row>
    <row r="22" spans="1:5">
      <c r="A22" s="1338" t="str">
        <f>INPUTS!C77</f>
        <v>Napier grass (Pennisetum purpureum) - forage</v>
      </c>
      <c r="B22" s="1339" t="str">
        <f>INPUTS!D77</f>
        <v>Napier</v>
      </c>
      <c r="C22" s="1348">
        <f>'Land Requirement '!BJ15</f>
        <v>250.15777638652565</v>
      </c>
      <c r="D22" s="1348">
        <f>'Land Requirement '!BK15</f>
        <v>72.647396393247874</v>
      </c>
      <c r="E22" s="1349">
        <f t="shared" si="1"/>
        <v>322.80517277977356</v>
      </c>
    </row>
    <row r="23" spans="1:5">
      <c r="A23" s="1338" t="str">
        <f>INPUTS!C78</f>
        <v>N/A</v>
      </c>
      <c r="B23" s="1339" t="str">
        <f>INPUTS!D78</f>
        <v>N/A</v>
      </c>
      <c r="C23" s="1348">
        <f>'Land Requirement '!BV15</f>
        <v>0</v>
      </c>
      <c r="D23" s="1348">
        <f>'Land Requirement '!BW15</f>
        <v>0</v>
      </c>
      <c r="E23" s="1349">
        <f t="shared" si="1"/>
        <v>0</v>
      </c>
    </row>
    <row r="24" spans="1:5">
      <c r="A24" s="1338"/>
      <c r="B24" s="1340" t="s">
        <v>1166</v>
      </c>
      <c r="C24" s="1350">
        <f>SUM(C17:C23)</f>
        <v>3253.2740865982782</v>
      </c>
      <c r="D24" s="1350">
        <f>SUM(D17:D23)</f>
        <v>2336.2797285098577</v>
      </c>
      <c r="E24" s="1351">
        <f>SUM(E17:E23)</f>
        <v>5589.5538151081364</v>
      </c>
    </row>
    <row r="25" spans="1:5" ht="16.5" thickBot="1">
      <c r="A25" s="1341"/>
      <c r="B25" s="1342" t="s">
        <v>1669</v>
      </c>
      <c r="C25" s="1352"/>
      <c r="D25" s="1352"/>
      <c r="E25" s="1353">
        <f>E24/Productivity!B14</f>
        <v>1.7893386009738546</v>
      </c>
    </row>
    <row r="29" spans="1:5">
      <c r="A29" s="1402"/>
      <c r="B29" s="1402"/>
      <c r="C29" s="1402"/>
      <c r="D29" s="1402"/>
      <c r="E29" s="1402"/>
    </row>
    <row r="30" spans="1:5">
      <c r="A30" s="549"/>
      <c r="B30" s="549"/>
      <c r="C30" s="549"/>
      <c r="D30" s="414"/>
      <c r="E30" s="552"/>
    </row>
    <row r="31" spans="1:5">
      <c r="A31" s="413"/>
      <c r="B31" s="413"/>
      <c r="C31" s="550"/>
      <c r="D31" s="550"/>
      <c r="E31" s="550"/>
    </row>
    <row r="32" spans="1:5">
      <c r="A32" s="413"/>
      <c r="B32" s="413"/>
      <c r="C32" s="550"/>
      <c r="D32" s="550"/>
      <c r="E32" s="550"/>
    </row>
    <row r="33" spans="1:5">
      <c r="A33" s="413"/>
      <c r="B33" s="413"/>
      <c r="C33" s="550"/>
      <c r="D33" s="550"/>
      <c r="E33" s="550"/>
    </row>
    <row r="34" spans="1:5">
      <c r="A34" s="413"/>
      <c r="B34" s="413"/>
      <c r="C34" s="550"/>
      <c r="D34" s="550"/>
      <c r="E34" s="550"/>
    </row>
    <row r="35" spans="1:5">
      <c r="A35" s="413"/>
      <c r="B35" s="413"/>
      <c r="C35" s="550"/>
      <c r="D35" s="550"/>
      <c r="E35" s="550"/>
    </row>
    <row r="36" spans="1:5">
      <c r="A36" s="413"/>
      <c r="B36" s="413"/>
      <c r="C36" s="550"/>
      <c r="D36" s="550"/>
      <c r="E36" s="550"/>
    </row>
    <row r="37" spans="1:5">
      <c r="A37" s="413"/>
      <c r="B37" s="413"/>
      <c r="C37" s="550"/>
      <c r="D37" s="550"/>
      <c r="E37" s="550"/>
    </row>
    <row r="38" spans="1:5">
      <c r="A38" s="413"/>
      <c r="B38" s="414"/>
      <c r="C38" s="551"/>
      <c r="D38" s="551"/>
      <c r="E38" s="551"/>
    </row>
    <row r="39" spans="1:5">
      <c r="A39" s="413"/>
      <c r="B39" s="413"/>
      <c r="C39" s="413"/>
      <c r="D39" s="413"/>
      <c r="E39" s="553"/>
    </row>
    <row r="42" spans="1:5">
      <c r="A42" s="1402"/>
      <c r="B42" s="1402"/>
      <c r="C42" s="1402"/>
      <c r="D42" s="1402"/>
      <c r="E42" s="1402"/>
    </row>
    <row r="43" spans="1:5">
      <c r="A43" s="549"/>
      <c r="B43" s="549"/>
      <c r="C43" s="414"/>
      <c r="D43" s="414"/>
      <c r="E43" s="414"/>
    </row>
    <row r="44" spans="1:5">
      <c r="A44" s="413"/>
      <c r="B44" s="413"/>
      <c r="C44" s="420"/>
      <c r="D44" s="420"/>
      <c r="E44" s="554"/>
    </row>
    <row r="45" spans="1:5">
      <c r="A45" s="413"/>
      <c r="B45" s="413"/>
      <c r="C45" s="420"/>
      <c r="D45" s="420"/>
      <c r="E45" s="554"/>
    </row>
    <row r="46" spans="1:5">
      <c r="A46" s="413"/>
      <c r="B46" s="413"/>
      <c r="C46" s="420"/>
      <c r="D46" s="420"/>
      <c r="E46" s="554"/>
    </row>
    <row r="47" spans="1:5">
      <c r="A47" s="413"/>
      <c r="B47" s="413"/>
      <c r="C47" s="420"/>
      <c r="D47" s="420"/>
      <c r="E47" s="554"/>
    </row>
    <row r="48" spans="1:5">
      <c r="A48" s="413"/>
      <c r="B48" s="413"/>
      <c r="C48" s="420"/>
      <c r="D48" s="420"/>
      <c r="E48" s="554"/>
    </row>
    <row r="49" spans="1:5">
      <c r="A49" s="413"/>
      <c r="B49" s="413"/>
      <c r="C49" s="420"/>
      <c r="D49" s="420"/>
      <c r="E49" s="554"/>
    </row>
    <row r="50" spans="1:5">
      <c r="A50" s="413"/>
      <c r="B50" s="413"/>
      <c r="C50" s="420"/>
      <c r="D50" s="420"/>
      <c r="E50" s="554"/>
    </row>
    <row r="51" spans="1:5">
      <c r="A51" s="413"/>
      <c r="B51" s="414"/>
      <c r="C51" s="421"/>
      <c r="D51" s="421"/>
      <c r="E51" s="421"/>
    </row>
    <row r="52" spans="1:5">
      <c r="A52" s="413"/>
      <c r="B52" s="413"/>
      <c r="C52" s="555"/>
      <c r="D52" s="555"/>
      <c r="E52" s="556"/>
    </row>
  </sheetData>
  <mergeCells count="4">
    <mergeCell ref="A2:E2"/>
    <mergeCell ref="A15:E15"/>
    <mergeCell ref="A29:E29"/>
    <mergeCell ref="A42:E42"/>
  </mergeCells>
  <pageMargins left="0.75" right="0.75" top="1" bottom="1" header="0.5" footer="0.5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topLeftCell="A14" workbookViewId="0">
      <selection activeCell="B20" sqref="B20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38"/>
      <c r="B2" s="339" t="s">
        <v>1108</v>
      </c>
      <c r="C2" s="340" t="s">
        <v>1107</v>
      </c>
      <c r="D2" s="325"/>
    </row>
    <row r="3" spans="1:19">
      <c r="A3" s="335" t="s">
        <v>1138</v>
      </c>
      <c r="B3" s="1245">
        <f>C17</f>
        <v>3627263.6999999997</v>
      </c>
      <c r="C3" s="1246">
        <f>B3/2500</f>
        <v>1450.9054799999999</v>
      </c>
      <c r="D3" s="324"/>
    </row>
    <row r="4" spans="1:19">
      <c r="A4" s="335"/>
      <c r="B4" s="416"/>
      <c r="C4" s="417"/>
      <c r="D4" s="324"/>
    </row>
    <row r="5" spans="1:19" ht="16.5" thickBot="1">
      <c r="A5" s="337"/>
      <c r="B5" s="418"/>
      <c r="C5" s="419"/>
      <c r="D5" s="325"/>
    </row>
    <row r="6" spans="1:19">
      <c r="A6" s="325" t="s">
        <v>1105</v>
      </c>
      <c r="B6" s="325"/>
      <c r="C6" s="325"/>
      <c r="D6" s="325"/>
    </row>
    <row r="7" spans="1:19">
      <c r="A7" s="325"/>
      <c r="B7" s="325"/>
      <c r="C7" s="325"/>
      <c r="D7" s="325"/>
    </row>
    <row r="8" spans="1:19" ht="16.5" thickBot="1">
      <c r="A8" s="325"/>
      <c r="B8" s="325"/>
      <c r="C8" s="325"/>
      <c r="D8" s="325"/>
    </row>
    <row r="9" spans="1:19">
      <c r="A9" s="326" t="s">
        <v>847</v>
      </c>
      <c r="B9" s="327"/>
      <c r="C9" s="327"/>
      <c r="D9" s="327"/>
      <c r="E9" s="327"/>
      <c r="F9" s="328"/>
    </row>
    <row r="10" spans="1:19">
      <c r="A10" s="794" t="s">
        <v>1410</v>
      </c>
      <c r="B10" s="795">
        <f>SUM('Meat &amp; Milk '!D3:D9)</f>
        <v>6.5280000000000005</v>
      </c>
      <c r="C10" s="795"/>
      <c r="D10" s="795"/>
      <c r="E10" s="795"/>
      <c r="F10" s="796"/>
    </row>
    <row r="11" spans="1:19">
      <c r="A11" s="329" t="s">
        <v>1104</v>
      </c>
      <c r="B11" s="330"/>
      <c r="C11" s="330"/>
      <c r="D11" s="330"/>
      <c r="E11" s="330"/>
      <c r="F11" s="336"/>
    </row>
    <row r="12" spans="1:19" ht="31.5">
      <c r="A12" s="333"/>
      <c r="B12" s="334" t="s">
        <v>1044</v>
      </c>
      <c r="C12" s="334" t="s">
        <v>1046</v>
      </c>
      <c r="D12" s="334" t="s">
        <v>1379</v>
      </c>
      <c r="E12" s="334"/>
      <c r="F12" s="332" t="s">
        <v>1106</v>
      </c>
      <c r="S12" s="221"/>
    </row>
    <row r="13" spans="1:19">
      <c r="A13" s="331"/>
      <c r="B13" s="325"/>
      <c r="C13" s="325"/>
      <c r="D13" s="325"/>
      <c r="E13" s="325"/>
      <c r="F13" s="332"/>
    </row>
    <row r="14" spans="1:19">
      <c r="A14" s="331" t="s">
        <v>1045</v>
      </c>
      <c r="B14" s="1239">
        <f>'Meat &amp; Milk '!B28</f>
        <v>3123.81</v>
      </c>
      <c r="C14" s="1239">
        <f>'Meat &amp; Milk '!B30</f>
        <v>3030095.6999999997</v>
      </c>
      <c r="D14" s="1239">
        <f>'Meat &amp; Milk '!B31</f>
        <v>115.58096999999999</v>
      </c>
      <c r="E14" s="1239"/>
      <c r="F14" s="1240">
        <f>C14/2500</f>
        <v>1212.03828</v>
      </c>
      <c r="G14" s="985"/>
    </row>
    <row r="15" spans="1:19">
      <c r="A15" s="331" t="s">
        <v>1505</v>
      </c>
      <c r="B15" s="1239">
        <f>'Meat &amp; Milk '!B24</f>
        <v>271.44</v>
      </c>
      <c r="C15" s="1239">
        <f>'Meat &amp; Milk '!B23</f>
        <v>597168</v>
      </c>
      <c r="D15" s="1239">
        <f>'Meat &amp; Milk '!B25</f>
        <v>70.574399999999997</v>
      </c>
      <c r="E15" s="1239"/>
      <c r="F15" s="1240">
        <f>C15/2500</f>
        <v>238.8672</v>
      </c>
      <c r="G15" s="985"/>
    </row>
    <row r="16" spans="1:19">
      <c r="A16" s="331"/>
      <c r="B16" s="1241"/>
      <c r="C16" s="1241"/>
      <c r="D16" s="1241"/>
      <c r="E16" s="1241"/>
      <c r="F16" s="1242"/>
    </row>
    <row r="17" spans="1:6" ht="16.5" thickBot="1">
      <c r="A17" s="1044" t="s">
        <v>217</v>
      </c>
      <c r="B17" s="1243"/>
      <c r="C17" s="1243">
        <f>SUM(C14:C15)</f>
        <v>3627263.6999999997</v>
      </c>
      <c r="D17" s="1243">
        <f>SUM(D14:D15)</f>
        <v>186.15537</v>
      </c>
      <c r="E17" s="1243">
        <f>SUM(E14:E15)</f>
        <v>0</v>
      </c>
      <c r="F17" s="1244">
        <f>SUM(F14:F15)</f>
        <v>1450.9054799999999</v>
      </c>
    </row>
    <row r="18" spans="1:6" ht="16.5" thickBot="1">
      <c r="A18" s="481"/>
      <c r="C18" s="325"/>
      <c r="D18" s="325"/>
    </row>
    <row r="19" spans="1:6" ht="31.5">
      <c r="A19" s="1031"/>
      <c r="B19" s="1032" t="s">
        <v>1044</v>
      </c>
      <c r="C19" s="325"/>
      <c r="D19" s="325"/>
    </row>
    <row r="20" spans="1:6" ht="16.5" thickBot="1">
      <c r="A20" s="1033" t="s">
        <v>768</v>
      </c>
      <c r="B20" s="1247">
        <f>Feed!E122</f>
        <v>2040.18714251447</v>
      </c>
      <c r="C20" s="325"/>
      <c r="D20" s="325"/>
    </row>
    <row r="21" spans="1:6">
      <c r="A21" s="481"/>
      <c r="B21" s="325"/>
      <c r="C21" s="325"/>
      <c r="D21" s="325"/>
    </row>
    <row r="22" spans="1:6">
      <c r="A22" s="481"/>
      <c r="B22" s="325"/>
      <c r="C22" s="325"/>
      <c r="D22" s="325"/>
    </row>
    <row r="23" spans="1:6">
      <c r="A23" s="481"/>
      <c r="B23" s="325"/>
      <c r="C23" s="325"/>
      <c r="D23" s="325"/>
    </row>
    <row r="24" spans="1:6">
      <c r="A24" s="481"/>
      <c r="B24" s="325"/>
      <c r="C24" s="325"/>
      <c r="D24" s="325"/>
    </row>
    <row r="25" spans="1:6">
      <c r="A25" s="481"/>
      <c r="B25" s="325"/>
      <c r="C25" s="325"/>
      <c r="D25" s="325"/>
    </row>
    <row r="26" spans="1:6">
      <c r="A26" s="481"/>
      <c r="B26" s="325"/>
      <c r="C26" s="325"/>
      <c r="D26" s="325"/>
    </row>
    <row r="27" spans="1:6">
      <c r="A27" s="481"/>
      <c r="B27" s="325"/>
      <c r="C27" s="325"/>
      <c r="D27" s="325"/>
    </row>
    <row r="28" spans="1:6">
      <c r="A28" s="481"/>
      <c r="B28" s="325"/>
      <c r="C28" s="325"/>
      <c r="D28" s="325"/>
    </row>
    <row r="29" spans="1:6">
      <c r="A29" s="481"/>
      <c r="B29" s="325"/>
      <c r="C29" s="325"/>
      <c r="D29" s="325"/>
    </row>
    <row r="30" spans="1:6">
      <c r="A30" s="481"/>
      <c r="B30" s="325"/>
      <c r="C30" s="325"/>
      <c r="D30" s="325"/>
    </row>
    <row r="31" spans="1:6">
      <c r="A31" s="481"/>
      <c r="B31" s="325"/>
      <c r="C31" s="325"/>
      <c r="D31" s="325"/>
      <c r="F31" s="39"/>
    </row>
    <row r="32" spans="1:6">
      <c r="A32" s="481"/>
      <c r="B32" s="325"/>
      <c r="C32" s="325"/>
      <c r="D32" s="325"/>
    </row>
    <row r="33" spans="1:4">
      <c r="A33" s="481"/>
      <c r="B33" s="325"/>
      <c r="C33" s="325"/>
      <c r="D33" s="325"/>
    </row>
    <row r="34" spans="1:4">
      <c r="A34" s="481"/>
      <c r="B34" s="325"/>
      <c r="C34" s="325"/>
      <c r="D34" s="325"/>
    </row>
    <row r="35" spans="1:4">
      <c r="A35" s="481"/>
      <c r="B35" s="325"/>
      <c r="C35" s="325"/>
      <c r="D35" s="325"/>
    </row>
    <row r="36" spans="1:4">
      <c r="A36" s="481"/>
      <c r="B36" s="325"/>
      <c r="C36" s="325"/>
      <c r="D36" s="325"/>
    </row>
    <row r="37" spans="1:4">
      <c r="A37" s="481"/>
      <c r="B37" s="325"/>
      <c r="C37" s="325"/>
      <c r="D37" s="325"/>
    </row>
    <row r="38" spans="1:4">
      <c r="A38" s="481"/>
      <c r="B38" s="325"/>
      <c r="C38" s="325"/>
      <c r="D38" s="325"/>
    </row>
    <row r="39" spans="1:4">
      <c r="A39" s="481"/>
      <c r="B39" s="325"/>
      <c r="C39" s="325"/>
      <c r="D39" s="325"/>
    </row>
    <row r="40" spans="1:4">
      <c r="A40" s="481"/>
      <c r="B40" s="325"/>
      <c r="C40" s="325"/>
      <c r="D40" s="325"/>
    </row>
    <row r="41" spans="1:4">
      <c r="A41" s="481"/>
      <c r="B41" s="325"/>
      <c r="C41" s="325"/>
      <c r="D41" s="325"/>
    </row>
    <row r="42" spans="1:4">
      <c r="A42" s="481"/>
      <c r="B42" s="325"/>
      <c r="C42" s="325"/>
      <c r="D42" s="325"/>
    </row>
    <row r="43" spans="1:4">
      <c r="A43" s="481"/>
      <c r="B43" s="325"/>
      <c r="C43" s="325"/>
      <c r="D43" s="325"/>
    </row>
    <row r="44" spans="1:4">
      <c r="A44" s="481"/>
      <c r="B44" s="325"/>
      <c r="C44" s="325"/>
      <c r="D44" s="325"/>
    </row>
    <row r="45" spans="1:4">
      <c r="A45" s="481"/>
      <c r="B45" s="325"/>
      <c r="C45" s="325"/>
      <c r="D45" s="325"/>
    </row>
    <row r="46" spans="1:4">
      <c r="A46" s="481"/>
      <c r="B46" s="325"/>
      <c r="C46" s="325"/>
      <c r="D46" s="325"/>
    </row>
    <row r="47" spans="1:4">
      <c r="A47" s="481"/>
      <c r="B47" s="325"/>
      <c r="C47" s="325"/>
      <c r="D47" s="325"/>
    </row>
    <row r="48" spans="1:4">
      <c r="A48" s="481"/>
      <c r="B48" s="325"/>
      <c r="C48" s="325"/>
      <c r="D48" s="325"/>
    </row>
    <row r="49" spans="1:9">
      <c r="A49" s="481"/>
      <c r="B49" s="325"/>
      <c r="C49" s="325"/>
      <c r="D49" s="325"/>
    </row>
    <row r="50" spans="1:9">
      <c r="A50" s="481"/>
      <c r="B50" s="325"/>
      <c r="C50" s="325"/>
      <c r="D50" s="325"/>
    </row>
    <row r="51" spans="1:9">
      <c r="A51" s="481"/>
      <c r="B51" s="325"/>
      <c r="C51" s="325"/>
      <c r="D51" s="325"/>
    </row>
    <row r="52" spans="1:9">
      <c r="A52" s="481"/>
      <c r="B52" s="325"/>
      <c r="C52" s="325"/>
      <c r="D52" s="325"/>
    </row>
    <row r="53" spans="1:9">
      <c r="A53" s="481"/>
      <c r="B53" s="325"/>
      <c r="C53" s="325"/>
      <c r="D53" s="325"/>
    </row>
    <row r="54" spans="1:9">
      <c r="A54" s="481"/>
      <c r="B54" s="325"/>
      <c r="C54" s="325"/>
      <c r="D54" s="325"/>
    </row>
    <row r="55" spans="1:9">
      <c r="A55" s="325"/>
      <c r="B55" s="325"/>
      <c r="C55" s="325"/>
      <c r="D55" s="325"/>
    </row>
    <row r="56" spans="1:9">
      <c r="A56" s="325"/>
      <c r="B56" s="325"/>
      <c r="C56" s="325"/>
      <c r="D56" s="325"/>
    </row>
    <row r="57" spans="1:9">
      <c r="F57" s="325"/>
      <c r="G57" s="325"/>
      <c r="H57" s="325"/>
      <c r="I57" s="325"/>
    </row>
    <row r="58" spans="1:9">
      <c r="F58" s="325"/>
      <c r="G58" s="325"/>
      <c r="H58" s="325"/>
      <c r="I58" s="325"/>
    </row>
    <row r="59" spans="1:9">
      <c r="F59" s="325"/>
      <c r="G59" s="325"/>
      <c r="H59" s="325"/>
      <c r="I59" s="325"/>
    </row>
    <row r="60" spans="1:9">
      <c r="F60" s="325"/>
      <c r="G60" s="325"/>
      <c r="H60" s="325"/>
      <c r="I60" s="325"/>
    </row>
    <row r="61" spans="1:9">
      <c r="F61" s="325"/>
      <c r="G61" s="325"/>
      <c r="H61" s="325"/>
      <c r="I61" s="325"/>
    </row>
  </sheetData>
  <sheetProtection sheet="1" objects="1" scenarios="1"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8"/>
  <sheetViews>
    <sheetView workbookViewId="0">
      <selection activeCell="C4" sqref="C4"/>
    </sheetView>
  </sheetViews>
  <sheetFormatPr defaultRowHeight="15.75"/>
  <cols>
    <col min="2" max="2" width="33" bestFit="1" customWidth="1"/>
    <col min="3" max="3" width="26.5" bestFit="1" customWidth="1"/>
    <col min="4" max="4" width="18.875" bestFit="1" customWidth="1"/>
    <col min="5" max="5" width="37.875" bestFit="1" customWidth="1"/>
  </cols>
  <sheetData>
    <row r="1" spans="2:5">
      <c r="B1" s="37" t="s">
        <v>1680</v>
      </c>
    </row>
    <row r="2" spans="2:5">
      <c r="B2" s="37"/>
    </row>
    <row r="3" spans="2:5">
      <c r="B3" s="13" t="s">
        <v>1253</v>
      </c>
      <c r="C3" s="1256">
        <f>'Economics_Payback '!E18</f>
        <v>1919.4865854265838</v>
      </c>
    </row>
    <row r="4" spans="2:5">
      <c r="B4" s="13" t="s">
        <v>1332</v>
      </c>
      <c r="C4" s="1256">
        <f>'Economics_Payback '!E18/'Land requirements'!E11</f>
        <v>3082.9299018184479</v>
      </c>
    </row>
    <row r="5" spans="2:5">
      <c r="C5" s="673"/>
    </row>
    <row r="7" spans="2:5">
      <c r="B7" s="37" t="s">
        <v>1748</v>
      </c>
      <c r="C7" s="1175" t="s">
        <v>1749</v>
      </c>
    </row>
    <row r="9" spans="2:5">
      <c r="B9" s="13" t="s">
        <v>1104</v>
      </c>
      <c r="C9" s="13" t="s">
        <v>1262</v>
      </c>
      <c r="D9" s="13" t="s">
        <v>1331</v>
      </c>
      <c r="E9" s="13" t="s">
        <v>1747</v>
      </c>
    </row>
    <row r="10" spans="2:5">
      <c r="B10" s="1248" t="s">
        <v>1744</v>
      </c>
      <c r="C10" s="1249" t="str">
        <f ca="1">IFERROR('Economics_Payback '!B$61, "")</f>
        <v/>
      </c>
      <c r="D10" s="1250" t="str">
        <f ca="1">IFERROR('Economics_Payback '!B86,"")</f>
        <v/>
      </c>
      <c r="E10" s="1251" t="str">
        <f ca="1">IFERROR(C10/'Land Requirement '!CI$16+'Land Requirement '!$CH$16,"")</f>
        <v/>
      </c>
    </row>
    <row r="11" spans="2:5">
      <c r="B11" s="1248">
        <f>'Economics_Payback '!A69</f>
        <v>1</v>
      </c>
      <c r="C11" s="1249" t="str">
        <f ca="1">IFERROR('Economics_Payback '!C$61, "")</f>
        <v/>
      </c>
      <c r="D11" s="1250" t="str">
        <f ca="1">IFERROR('Economics_Payback '!B87,"")</f>
        <v/>
      </c>
      <c r="E11" s="1251" t="str">
        <f ca="1">IFERROR(C11/'Land Requirement '!CI$16+'Land Requirement '!$CH$16,"")</f>
        <v/>
      </c>
    </row>
    <row r="12" spans="2:5">
      <c r="B12" s="1248">
        <f>'Economics_Payback '!A70</f>
        <v>2</v>
      </c>
      <c r="C12" s="1249" t="str">
        <f ca="1">IFERROR('Economics_Payback '!D$61, "")</f>
        <v/>
      </c>
      <c r="D12" s="1250" t="str">
        <f ca="1">IFERROR('Economics_Payback '!B88,"")</f>
        <v/>
      </c>
      <c r="E12" s="1251" t="str">
        <f ca="1">IFERROR(C12/'Land Requirement '!CI$16+'Land Requirement '!$CH$16,"")</f>
        <v/>
      </c>
    </row>
    <row r="13" spans="2:5">
      <c r="B13" s="1248">
        <f>'Economics_Payback '!A71</f>
        <v>3</v>
      </c>
      <c r="C13" s="1249" t="str">
        <f ca="1">IFERROR('Economics_Payback '!E$61, "")</f>
        <v/>
      </c>
      <c r="D13" s="1250" t="str">
        <f ca="1">IFERROR('Economics_Payback '!B89,"")</f>
        <v/>
      </c>
      <c r="E13" s="1251" t="str">
        <f ca="1">IFERROR(C13/'Land Requirement '!CI$16+'Land Requirement '!$CH$16,"")</f>
        <v/>
      </c>
    </row>
    <row r="14" spans="2:5">
      <c r="B14" s="1248">
        <f>'Economics_Payback '!A72</f>
        <v>4</v>
      </c>
      <c r="C14" s="1249" t="str">
        <f ca="1">IFERROR('Economics_Payback '!F$61, "")</f>
        <v/>
      </c>
      <c r="D14" s="1250" t="str">
        <f ca="1">IFERROR('Economics_Payback '!B90,"")</f>
        <v/>
      </c>
      <c r="E14" s="1251" t="str">
        <f ca="1">IFERROR(C14/'Land Requirement '!CI$16+'Land Requirement '!$CH$16,"")</f>
        <v/>
      </c>
    </row>
    <row r="15" spans="2:5">
      <c r="B15" s="1248">
        <f>'Economics_Payback '!A73</f>
        <v>5</v>
      </c>
      <c r="C15" s="1249" t="str">
        <f ca="1">IFERROR('Economics_Payback '!G$61, "")</f>
        <v/>
      </c>
      <c r="D15" s="1250" t="str">
        <f ca="1">IFERROR('Economics_Payback '!B91,"")</f>
        <v/>
      </c>
      <c r="E15" s="1251" t="str">
        <f ca="1">IFERROR(C15/'Land Requirement '!CI$16+'Land Requirement '!$CH$16,"")</f>
        <v/>
      </c>
    </row>
    <row r="16" spans="2:5">
      <c r="B16" s="1248">
        <f>'Economics_Payback '!A74</f>
        <v>6</v>
      </c>
      <c r="C16" s="1249" t="str">
        <f ca="1">IFERROR('Economics_Payback '!H$61, "")</f>
        <v/>
      </c>
      <c r="D16" s="1250" t="str">
        <f ca="1">IFERROR('Economics_Payback '!B92,"")</f>
        <v/>
      </c>
      <c r="E16" s="1251" t="str">
        <f ca="1">IFERROR(C16/'Land Requirement '!CI$16+'Land Requirement '!$CH$16,"")</f>
        <v/>
      </c>
    </row>
    <row r="17" spans="2:5">
      <c r="B17" s="1248">
        <f>'Economics_Payback '!A75</f>
        <v>7</v>
      </c>
      <c r="C17" s="1249" t="str">
        <f ca="1">IFERROR('Economics_Payback '!I$61, "")</f>
        <v/>
      </c>
      <c r="D17" s="1250" t="str">
        <f ca="1">IFERROR('Economics_Payback '!B93,"")</f>
        <v/>
      </c>
      <c r="E17" s="1251" t="str">
        <f ca="1">IFERROR(C17/'Land Requirement '!CI$16+'Land Requirement '!$CH$16,"")</f>
        <v/>
      </c>
    </row>
    <row r="18" spans="2:5">
      <c r="B18" s="1248">
        <f>'Economics_Payback '!A76</f>
        <v>8</v>
      </c>
      <c r="C18" s="1249" t="str">
        <f ca="1">IFERROR('Economics_Payback '!J$61, "")</f>
        <v/>
      </c>
      <c r="D18" s="1250" t="str">
        <f ca="1">IFERROR('Economics_Payback '!B94,"")</f>
        <v/>
      </c>
      <c r="E18" s="1251" t="str">
        <f ca="1">IFERROR(C18/'Land Requirement '!CI$16+'Land Requirement '!$CH$16,"")</f>
        <v/>
      </c>
    </row>
    <row r="19" spans="2:5">
      <c r="B19" s="1248">
        <f>'Economics_Payback '!A77</f>
        <v>9</v>
      </c>
      <c r="C19" s="1249" t="str">
        <f ca="1">IFERROR('Economics_Payback '!K$61, "")</f>
        <v/>
      </c>
      <c r="D19" s="1250" t="str">
        <f ca="1">IFERROR('Economics_Payback '!B95,"")</f>
        <v/>
      </c>
      <c r="E19" s="1251" t="str">
        <f ca="1">IFERROR(C19/'Land Requirement '!CI$16+'Land Requirement '!$CH$16,"")</f>
        <v/>
      </c>
    </row>
    <row r="22" spans="2:5" ht="47.25">
      <c r="B22" s="10" t="s">
        <v>1267</v>
      </c>
      <c r="C22" s="1287" t="e">
        <f ca="1">'Economics_Payback '!D81</f>
        <v>#REF!</v>
      </c>
      <c r="D22" s="1120" t="s">
        <v>1743</v>
      </c>
    </row>
    <row r="23" spans="2:5" s="1117" customFormat="1">
      <c r="B23" s="1252"/>
      <c r="C23" s="1253"/>
      <c r="D23" s="1254"/>
    </row>
    <row r="24" spans="2:5">
      <c r="B24" s="1252"/>
      <c r="C24" s="1248"/>
      <c r="D24" s="1248"/>
    </row>
    <row r="25" spans="2:5">
      <c r="B25" s="1255" t="str">
        <f>'Economics_Payback '!A83</f>
        <v>NPV</v>
      </c>
      <c r="C25" s="1255" t="str">
        <f ca="1">IFERROR('Economics_Payback '!B83,"")</f>
        <v/>
      </c>
      <c r="D25" s="1248"/>
    </row>
    <row r="26" spans="2:5">
      <c r="B26" s="1255"/>
      <c r="C26" s="1248"/>
      <c r="D26" s="1248"/>
    </row>
    <row r="27" spans="2:5">
      <c r="B27" s="1248"/>
      <c r="C27" s="1248"/>
      <c r="D27" s="1248"/>
    </row>
    <row r="28" spans="2:5">
      <c r="B28" s="1248"/>
      <c r="C28" s="1248"/>
      <c r="D28" s="1248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F2" sqref="F2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82" t="s">
        <v>812</v>
      </c>
      <c r="B1" s="1260"/>
      <c r="C1" s="1261" t="str">
        <f>'N balance'!BV8</f>
        <v>% area mining</v>
      </c>
      <c r="D1" s="1261" t="str">
        <f>'N balance'!BW8</f>
        <v>% area leaching</v>
      </c>
    </row>
    <row r="2" spans="1:10">
      <c r="A2" s="333" t="s">
        <v>990</v>
      </c>
      <c r="B2" s="1262">
        <f>'N balance'!BU6</f>
        <v>-24.559752632500931</v>
      </c>
      <c r="C2" s="1263">
        <f>'N balance'!BV9</f>
        <v>100</v>
      </c>
      <c r="D2" s="1261">
        <f>'N balance'!BW9</f>
        <v>0</v>
      </c>
    </row>
    <row r="3" spans="1:10" ht="16.5" thickBot="1">
      <c r="A3" s="483" t="s">
        <v>991</v>
      </c>
      <c r="B3" s="1259">
        <f>'Soil erosion'!Q3</f>
        <v>5.0703490119414401</v>
      </c>
      <c r="C3" s="1248"/>
      <c r="D3" s="1248"/>
    </row>
    <row r="5" spans="1:10" ht="16.5" thickBot="1">
      <c r="F5" s="804"/>
      <c r="H5" s="804"/>
    </row>
    <row r="6" spans="1:10" s="37" customFormat="1">
      <c r="A6" s="482" t="s">
        <v>1180</v>
      </c>
      <c r="B6" s="485"/>
      <c r="C6" s="485"/>
      <c r="D6" s="485"/>
      <c r="E6" s="485"/>
      <c r="F6" s="803"/>
      <c r="G6" s="485"/>
      <c r="H6" s="485"/>
      <c r="I6" s="485"/>
      <c r="J6" s="621"/>
    </row>
    <row r="7" spans="1:10" ht="63">
      <c r="A7" s="410"/>
      <c r="B7" s="411"/>
      <c r="C7" s="584" t="s">
        <v>1181</v>
      </c>
      <c r="D7" s="584" t="s">
        <v>1182</v>
      </c>
      <c r="E7" s="583" t="s">
        <v>1222</v>
      </c>
      <c r="F7" s="583" t="s">
        <v>1223</v>
      </c>
      <c r="G7" s="583" t="s">
        <v>1427</v>
      </c>
      <c r="H7" s="583" t="s">
        <v>1428</v>
      </c>
      <c r="I7" s="583" t="s">
        <v>1429</v>
      </c>
      <c r="J7" s="622" t="s">
        <v>1430</v>
      </c>
    </row>
    <row r="8" spans="1:10">
      <c r="A8" s="490"/>
      <c r="B8" s="492"/>
      <c r="C8" s="325"/>
      <c r="D8" s="325"/>
      <c r="J8" s="491"/>
    </row>
    <row r="9" spans="1:10">
      <c r="A9" s="486" t="str">
        <f>INPUTS!C72</f>
        <v>Concentrate (commercial)</v>
      </c>
      <c r="B9" s="39" t="str">
        <f>'N balance'!A9</f>
        <v>Purchased</v>
      </c>
      <c r="C9" s="1253">
        <f>'N balance'!BL9</f>
        <v>0</v>
      </c>
      <c r="D9" s="1253">
        <f>'N balance'!BM9</f>
        <v>0</v>
      </c>
      <c r="E9" s="1253">
        <f>'N balance'!BN9</f>
        <v>0</v>
      </c>
      <c r="F9" s="1253" t="str">
        <f>'N balance'!BO9</f>
        <v/>
      </c>
      <c r="G9" s="1253">
        <f>'N balance'!BP9</f>
        <v>0</v>
      </c>
      <c r="H9" s="1253" t="str">
        <f>'N balance'!BQ9</f>
        <v/>
      </c>
      <c r="I9" s="1253">
        <f>E9-G9</f>
        <v>0</v>
      </c>
      <c r="J9" s="1257" t="str">
        <f>IFERROR(F9-H9,"")</f>
        <v/>
      </c>
    </row>
    <row r="10" spans="1:10">
      <c r="A10" s="486" t="str">
        <f>INPUTS!C73</f>
        <v xml:space="preserve">Naturally occuring pasture - green fodder </v>
      </c>
      <c r="B10" s="39" t="str">
        <f>'N balance'!A10</f>
        <v>Natural pasture</v>
      </c>
      <c r="C10" s="1253">
        <f>'N balance'!BL10</f>
        <v>2.6097959794708818</v>
      </c>
      <c r="D10" s="1253">
        <f>'N balance'!BM10</f>
        <v>5.6682351743980517</v>
      </c>
      <c r="E10" s="1253">
        <f>'N balance'!BN10</f>
        <v>-3.0584391949271699</v>
      </c>
      <c r="F10" s="1253">
        <f>'N balance'!BO10</f>
        <v>-26.354228798534532</v>
      </c>
      <c r="G10" s="1253">
        <f>'N balance'!BP10</f>
        <v>-3.0584391949271699</v>
      </c>
      <c r="H10" s="1253">
        <f>'N balance'!BQ10</f>
        <v>-26.354228798534532</v>
      </c>
      <c r="I10" s="1253">
        <f t="shared" ref="I10:I15" si="0">E10-G10</f>
        <v>0</v>
      </c>
      <c r="J10" s="1257">
        <f t="shared" ref="J10:J15" si="1">IFERROR(F10-H10,"")</f>
        <v>0</v>
      </c>
    </row>
    <row r="11" spans="1:10">
      <c r="A11" s="487" t="str">
        <f>INPUTS!C74</f>
        <v>Maize (Zea mays)-stover</v>
      </c>
      <c r="B11" s="484" t="str">
        <f>'N balance'!A11</f>
        <v>Maize</v>
      </c>
      <c r="C11" s="1253">
        <f>'N balance'!BL11</f>
        <v>25.659149842750629</v>
      </c>
      <c r="D11" s="1253">
        <f>'N balance'!BM11</f>
        <v>25.118338782185827</v>
      </c>
      <c r="E11" s="1253">
        <f>'N balance'!BN11</f>
        <v>0.54081106056480266</v>
      </c>
      <c r="F11" s="1253">
        <f>'N balance'!BO11</f>
        <v>1.4676829902294726</v>
      </c>
      <c r="G11" s="1253">
        <f>'N balance'!BP11</f>
        <v>0.23445500007124437</v>
      </c>
      <c r="H11" s="1253">
        <f>'N balance'!BQ11</f>
        <v>0.63627695635411785</v>
      </c>
      <c r="I11" s="1253">
        <f t="shared" si="0"/>
        <v>0.30635606049355829</v>
      </c>
      <c r="J11" s="1257">
        <f t="shared" si="1"/>
        <v>0.83140603387535472</v>
      </c>
    </row>
    <row r="12" spans="1:10">
      <c r="A12" s="486" t="str">
        <f>INPUTS!C75</f>
        <v>Guatemala grass (Tripsacum andersonii) - forage</v>
      </c>
      <c r="B12" s="39" t="str">
        <f>'N balance'!A12</f>
        <v>Guatemala</v>
      </c>
      <c r="C12" s="1253">
        <f>'N balance'!BL12</f>
        <v>12.174491818111633</v>
      </c>
      <c r="D12" s="1253">
        <f>'N balance'!BM12</f>
        <v>17.086097123909418</v>
      </c>
      <c r="E12" s="1253">
        <f>'N balance'!BN12</f>
        <v>-4.9116053057977851</v>
      </c>
      <c r="F12" s="1253">
        <f>'N balance'!BO12</f>
        <v>-186.35223635689781</v>
      </c>
      <c r="G12" s="1253">
        <f>'N balance'!BP12</f>
        <v>-4.9116053057977851</v>
      </c>
      <c r="H12" s="1253">
        <f>'N balance'!BQ12</f>
        <v>-186.35223635689781</v>
      </c>
      <c r="I12" s="1253">
        <f t="shared" si="0"/>
        <v>0</v>
      </c>
      <c r="J12" s="1257">
        <f t="shared" si="1"/>
        <v>0</v>
      </c>
    </row>
    <row r="13" spans="1:10">
      <c r="A13" s="486" t="str">
        <f>INPUTS!C76</f>
        <v>Rhodes grass (Chloris gayana) - forage</v>
      </c>
      <c r="B13" s="39" t="str">
        <f>'N balance'!A13</f>
        <v>Rhodes</v>
      </c>
      <c r="C13" s="1253">
        <f>'N balance'!BL13</f>
        <v>13.765184678265404</v>
      </c>
      <c r="D13" s="1253">
        <f>'N balance'!BM13</f>
        <v>28.708122040053311</v>
      </c>
      <c r="E13" s="1253">
        <f>'N balance'!BN13</f>
        <v>-14.942937361787907</v>
      </c>
      <c r="F13" s="1253">
        <f>'N balance'!BO13</f>
        <v>-153.90691702472725</v>
      </c>
      <c r="G13" s="1253">
        <f>'N balance'!BP13</f>
        <v>-14.942937361787907</v>
      </c>
      <c r="H13" s="1253">
        <f>'N balance'!BQ13</f>
        <v>-153.90691702472725</v>
      </c>
      <c r="I13" s="1253">
        <f t="shared" si="0"/>
        <v>0</v>
      </c>
      <c r="J13" s="1257">
        <f t="shared" si="1"/>
        <v>0</v>
      </c>
    </row>
    <row r="14" spans="1:10">
      <c r="A14" s="486" t="str">
        <f>INPUTS!C77</f>
        <v>Napier grass (Pennisetum purpureum) - forage</v>
      </c>
      <c r="B14" s="39" t="str">
        <f>'N balance'!A14</f>
        <v>Napier</v>
      </c>
      <c r="C14" s="1253">
        <f>'N balance'!BL14</f>
        <v>11.910998930789912</v>
      </c>
      <c r="D14" s="1253">
        <f>'N balance'!BM14</f>
        <v>13.792224700849227</v>
      </c>
      <c r="E14" s="1253">
        <f>'N balance'!BN14</f>
        <v>-1.8812257700593147</v>
      </c>
      <c r="F14" s="1253">
        <f>'N balance'!BO14</f>
        <v>-128.50174572049804</v>
      </c>
      <c r="G14" s="1253">
        <f>'N balance'!BP14</f>
        <v>-1.8812257700593147</v>
      </c>
      <c r="H14" s="1253">
        <f>'N balance'!BQ14</f>
        <v>-128.50174572049804</v>
      </c>
      <c r="I14" s="1253">
        <f t="shared" si="0"/>
        <v>0</v>
      </c>
      <c r="J14" s="1257">
        <f t="shared" si="1"/>
        <v>0</v>
      </c>
    </row>
    <row r="15" spans="1:10" ht="16.5" thickBot="1">
      <c r="A15" s="488" t="str">
        <f>INPUTS!C78</f>
        <v>N/A</v>
      </c>
      <c r="B15" s="489" t="str">
        <f>'N balance'!A15</f>
        <v>N/A</v>
      </c>
      <c r="C15" s="1258">
        <f>'N balance'!BL15</f>
        <v>0</v>
      </c>
      <c r="D15" s="1258">
        <f>'N balance'!BM15</f>
        <v>0</v>
      </c>
      <c r="E15" s="1258">
        <f>'N balance'!BN15</f>
        <v>0</v>
      </c>
      <c r="F15" s="1258" t="str">
        <f>'N balance'!BO15</f>
        <v/>
      </c>
      <c r="G15" s="1258">
        <f>'N balance'!BP15</f>
        <v>0</v>
      </c>
      <c r="H15" s="1258" t="str">
        <f>'N balance'!BQ15</f>
        <v/>
      </c>
      <c r="I15" s="1258">
        <f t="shared" si="0"/>
        <v>0</v>
      </c>
      <c r="J15" s="1259" t="str">
        <f t="shared" si="1"/>
        <v/>
      </c>
    </row>
    <row r="16" spans="1:10">
      <c r="A16" s="39" t="s">
        <v>140</v>
      </c>
      <c r="B16" s="39"/>
      <c r="C16" s="1253">
        <f>SUM(C9:C15)</f>
        <v>66.119621249388459</v>
      </c>
      <c r="D16" s="1253">
        <f t="shared" ref="D16:I16" si="2">SUM(D9:D15)</f>
        <v>90.373017821395848</v>
      </c>
      <c r="E16" s="1253">
        <f t="shared" si="2"/>
        <v>-24.253396572007375</v>
      </c>
      <c r="F16" s="1253"/>
      <c r="G16" s="1253">
        <f t="shared" si="2"/>
        <v>-24.559752632500931</v>
      </c>
      <c r="H16" s="1253"/>
      <c r="I16" s="1253">
        <f t="shared" si="2"/>
        <v>0.30635606049355829</v>
      </c>
      <c r="J16" s="1253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3"/>
    </row>
  </sheetData>
  <sheetProtection sheet="1" scenarios="1"/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14" t="s">
        <v>140</v>
      </c>
    </row>
    <row r="2" spans="1:3">
      <c r="A2" s="577" t="str">
        <f>Water!A13</f>
        <v>ET (mm/year)</v>
      </c>
      <c r="B2" s="1264">
        <f>Water!B13</f>
        <v>1021.7414929542122</v>
      </c>
      <c r="C2" s="1265"/>
    </row>
    <row r="3" spans="1:3">
      <c r="A3" s="322" t="str">
        <f>Water!A14</f>
        <v>fraction of precipitation used for feed production</v>
      </c>
      <c r="B3" s="1266">
        <f>Water!B14</f>
        <v>0.72981535211015158</v>
      </c>
      <c r="C3" s="1267"/>
    </row>
    <row r="4" spans="1:3">
      <c r="A4" s="322" t="str">
        <f>Water!A15</f>
        <v>Total water use (m3)</v>
      </c>
      <c r="B4" s="1268">
        <f>Water!B15</f>
        <v>636.15429216944801</v>
      </c>
      <c r="C4" s="1267"/>
    </row>
    <row r="5" spans="1:3">
      <c r="A5" s="322" t="str">
        <f>Water!A16</f>
        <v>Water use (m3/kg FPCM)</v>
      </c>
      <c r="B5" s="1253">
        <f>Water!B16</f>
        <v>0.2036469222422132</v>
      </c>
      <c r="C5" s="1267"/>
    </row>
    <row r="6" spans="1:3">
      <c r="A6" s="322" t="str">
        <f>Water!A17</f>
        <v>Water use (m3/kg meat)</v>
      </c>
      <c r="B6" s="1253">
        <f>Water!B17</f>
        <v>2.3436276605122606</v>
      </c>
      <c r="C6" s="1267"/>
    </row>
    <row r="7" spans="1:3">
      <c r="A7" s="322" t="str">
        <f>Water!A18</f>
        <v>Water use (m3/kg protein)</v>
      </c>
      <c r="B7" s="1253">
        <f>Water!B18</f>
        <v>3.4173297937601692</v>
      </c>
      <c r="C7" s="1267"/>
    </row>
    <row r="8" spans="1:3">
      <c r="A8" s="322"/>
      <c r="B8" s="1248"/>
      <c r="C8" s="1267"/>
    </row>
    <row r="9" spans="1:3">
      <c r="A9" s="911" t="s">
        <v>1434</v>
      </c>
      <c r="B9" s="1269" t="s">
        <v>1421</v>
      </c>
      <c r="C9" s="1270" t="s">
        <v>1422</v>
      </c>
    </row>
    <row r="10" spans="1:3">
      <c r="A10" s="912" t="str">
        <f>INPUTS!C72</f>
        <v>Concentrate (commercial)</v>
      </c>
      <c r="B10" s="1268">
        <f>Water!$B$10</f>
        <v>0</v>
      </c>
      <c r="C10" s="1271">
        <f>Water!$B$11</f>
        <v>0</v>
      </c>
    </row>
    <row r="11" spans="1:3">
      <c r="A11" s="912" t="str">
        <f>INPUTS!C73</f>
        <v xml:space="preserve">Naturally occuring pasture - green fodder </v>
      </c>
      <c r="B11" s="1268">
        <f>Water!$C$10</f>
        <v>101.6608285234733</v>
      </c>
      <c r="C11" s="1271">
        <f>Water!$C$11</f>
        <v>0</v>
      </c>
    </row>
    <row r="12" spans="1:3">
      <c r="A12" s="912" t="str">
        <f>INPUTS!C74</f>
        <v>Maize (Zea mays)-stover</v>
      </c>
      <c r="B12" s="1268">
        <f>Water!$D$10</f>
        <v>281.61173974089979</v>
      </c>
      <c r="C12" s="1271">
        <f>Water!$D$11</f>
        <v>68.075283882474196</v>
      </c>
    </row>
    <row r="13" spans="1:3">
      <c r="A13" s="912" t="str">
        <f>INPUTS!C75</f>
        <v>Guatemala grass (Tripsacum andersonii) - forage</v>
      </c>
      <c r="B13" s="1268">
        <f>Water!$E$10</f>
        <v>35.273872905591901</v>
      </c>
      <c r="C13" s="1271">
        <f>Water!$E$11</f>
        <v>0</v>
      </c>
    </row>
    <row r="14" spans="1:3">
      <c r="A14" s="912" t="str">
        <f>INPUTS!C76</f>
        <v>Rhodes grass (Chloris gayana) - forage</v>
      </c>
      <c r="B14" s="1268">
        <f>Water!$F$10</f>
        <v>129.93978149779815</v>
      </c>
      <c r="C14" s="1271">
        <f>Water!$F$11</f>
        <v>0</v>
      </c>
    </row>
    <row r="15" spans="1:3">
      <c r="A15" s="912" t="str">
        <f>INPUTS!C77</f>
        <v>Napier grass (Pennisetum purpureum) - forage</v>
      </c>
      <c r="B15" s="1268">
        <f>Water!$G$10</f>
        <v>19.592785619210741</v>
      </c>
      <c r="C15" s="1271">
        <f>Water!$G$11</f>
        <v>0</v>
      </c>
    </row>
    <row r="16" spans="1:3">
      <c r="A16" s="912" t="str">
        <f>INPUTS!C78</f>
        <v>N/A</v>
      </c>
      <c r="B16" s="1268">
        <f>Water!$H$10</f>
        <v>0</v>
      </c>
      <c r="C16" s="1271">
        <f>Water!$H$11</f>
        <v>0</v>
      </c>
    </row>
    <row r="17" spans="1:3" ht="16.5" thickBot="1">
      <c r="A17" s="913" t="s">
        <v>140</v>
      </c>
      <c r="B17" s="1272">
        <f>SUM(B10:B16)</f>
        <v>568.07900828697382</v>
      </c>
      <c r="C17" s="1273">
        <f>SUM(C10:C16)</f>
        <v>68.075283882474196</v>
      </c>
    </row>
  </sheetData>
  <sheetProtection sheet="1" scenarios="1" selectLockedCells="1"/>
  <pageMargins left="0.7" right="0.7" top="0.75" bottom="0.75" header="0.3" footer="0.3"/>
  <ignoredErrors>
    <ignoredError sqref="B2" unlockedFormula="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2"/>
  <sheetViews>
    <sheetView topLeftCell="A21" zoomScale="80" zoomScaleNormal="80" workbookViewId="0">
      <selection activeCell="K25" sqref="K25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2:14" ht="16.5" thickBot="1">
      <c r="B1" s="148"/>
      <c r="C1" s="7"/>
      <c r="F1" s="7"/>
      <c r="G1" s="7"/>
    </row>
    <row r="2" spans="2:14" ht="16.5" thickBot="1">
      <c r="B2" s="342" t="s">
        <v>613</v>
      </c>
      <c r="C2" s="343"/>
      <c r="D2" s="343"/>
      <c r="E2" s="343"/>
      <c r="F2" s="343"/>
      <c r="G2" s="360"/>
      <c r="H2" s="12"/>
      <c r="I2" s="359" t="s">
        <v>809</v>
      </c>
      <c r="J2" s="357"/>
      <c r="K2" s="358"/>
      <c r="L2" s="357"/>
      <c r="M2" s="357"/>
      <c r="N2" s="362"/>
    </row>
    <row r="3" spans="2:14" ht="18.75">
      <c r="B3" s="345"/>
      <c r="C3" s="346"/>
      <c r="D3" s="347"/>
      <c r="E3" s="1403" t="s">
        <v>1115</v>
      </c>
      <c r="F3" s="1404"/>
      <c r="G3" s="361"/>
      <c r="H3" s="12"/>
      <c r="I3" s="366"/>
      <c r="J3" s="354"/>
      <c r="K3" s="344"/>
      <c r="L3" s="1403" t="s">
        <v>1115</v>
      </c>
      <c r="M3" s="1404"/>
      <c r="N3" s="363"/>
    </row>
    <row r="4" spans="2:14" ht="18.75" thickBot="1">
      <c r="B4" s="351" t="s">
        <v>385</v>
      </c>
      <c r="C4" s="352" t="s">
        <v>88</v>
      </c>
      <c r="D4" s="349" t="s">
        <v>89</v>
      </c>
      <c r="E4" s="365" t="s">
        <v>1113</v>
      </c>
      <c r="F4" s="323" t="s">
        <v>1114</v>
      </c>
      <c r="G4" s="364" t="s">
        <v>90</v>
      </c>
      <c r="H4" s="12"/>
      <c r="I4" s="351" t="s">
        <v>385</v>
      </c>
      <c r="J4" s="352" t="s">
        <v>88</v>
      </c>
      <c r="K4" s="349" t="s">
        <v>89</v>
      </c>
      <c r="L4" s="348" t="s">
        <v>603</v>
      </c>
      <c r="M4" s="323" t="s">
        <v>921</v>
      </c>
      <c r="N4" s="364" t="s">
        <v>90</v>
      </c>
    </row>
    <row r="5" spans="2:14" ht="18.75">
      <c r="B5" s="353" t="s">
        <v>607</v>
      </c>
      <c r="C5" s="354" t="s">
        <v>1116</v>
      </c>
      <c r="D5" s="350">
        <f>'GHG Ent fermentation'!E17/'Land requirements'!E11</f>
        <v>301.95096227414416</v>
      </c>
      <c r="E5" s="341">
        <f>D5*C28</f>
        <v>8454.6269436760358</v>
      </c>
      <c r="F5" s="321">
        <f>(E5*'Land requirements'!$E$11/'Meat &amp; Milk '!$B$28)</f>
        <v>1.6851216943412048</v>
      </c>
      <c r="G5" s="1283">
        <f>E5*('Land requirements'!E11)/(E$18*'Land requirements'!E11)*100</f>
        <v>67.44395169393772</v>
      </c>
      <c r="H5" s="12"/>
      <c r="I5" s="840" t="s">
        <v>607</v>
      </c>
      <c r="J5" s="841" t="s">
        <v>1471</v>
      </c>
      <c r="K5" s="842">
        <f>'GHG Ent fermentation'!F38/'Land requirements'!E11</f>
        <v>193.46404727697353</v>
      </c>
      <c r="L5" s="356">
        <f>K5*C$28</f>
        <v>5416.9933237552586</v>
      </c>
      <c r="M5" s="843">
        <f>(L5*'Land requirements'!$E$11)/'Meat &amp; Milk '!$B$28</f>
        <v>1.079680159606488</v>
      </c>
      <c r="N5" s="844">
        <f>L5*('Land requirements'!E11)/(L$18*'Land requirements'!E11)*100</f>
        <v>59.293574432451003</v>
      </c>
    </row>
    <row r="6" spans="2:14" ht="18.75">
      <c r="B6" s="353" t="s">
        <v>604</v>
      </c>
      <c r="C6" s="354" t="s">
        <v>1116</v>
      </c>
      <c r="D6" s="350">
        <f>'GHG Manure'!E18/'Land requirements'!E11</f>
        <v>8.0306106987804302</v>
      </c>
      <c r="E6" s="341">
        <f>D6*C28</f>
        <v>224.85709956585205</v>
      </c>
      <c r="F6" s="321">
        <f>(E6*'Land requirements'!$E$11/'Meat &amp; Milk '!$B$28)</f>
        <v>4.4817066338861837E-2</v>
      </c>
      <c r="G6" s="1283">
        <f>E6*('Land requirements'!E11)/(E$18*'Land requirements'!E11)*100</f>
        <v>1.7937221195196207</v>
      </c>
      <c r="H6" s="12"/>
      <c r="I6" s="840" t="s">
        <v>604</v>
      </c>
      <c r="J6" s="841" t="s">
        <v>1471</v>
      </c>
      <c r="K6" s="842">
        <f>'GHG Manure'!P36/'Land requirements'!E11</f>
        <v>12.246523093863727</v>
      </c>
      <c r="L6" s="356">
        <f>K6*C$28</f>
        <v>342.90264662818436</v>
      </c>
      <c r="M6" s="843">
        <f>(L6*'Land requirements'!$E$11)/'Meat &amp; Milk '!$B$28</f>
        <v>6.8345143165942021E-2</v>
      </c>
      <c r="N6" s="1274">
        <f>L6*('Land requirements'!E11)/(L$18*'Land requirements'!E11)*100</f>
        <v>3.7533595457411155</v>
      </c>
    </row>
    <row r="7" spans="2:14" ht="18.75">
      <c r="B7" s="353" t="s">
        <v>605</v>
      </c>
      <c r="C7" s="354" t="s">
        <v>1117</v>
      </c>
      <c r="D7" s="350">
        <f>'GHG Manure'!I96/'Land requirements'!E11</f>
        <v>4.6305413337097328</v>
      </c>
      <c r="E7" s="341">
        <f>D7*C29</f>
        <v>1227.0934534330793</v>
      </c>
      <c r="F7" s="321">
        <f>(E7*'Land requirements'!$E$11/'Meat &amp; Milk '!$B$28)</f>
        <v>0.2445763501026906</v>
      </c>
      <c r="G7" s="1283">
        <f>E7*('Land requirements'!E11)/(E$18*'Land requirements'!E11)*100</f>
        <v>9.7887265929801188</v>
      </c>
      <c r="H7" s="12"/>
      <c r="I7" s="840" t="s">
        <v>1472</v>
      </c>
      <c r="J7" s="841" t="s">
        <v>1473</v>
      </c>
      <c r="K7" s="842">
        <f>'GHG Manure'!J96/'Land requirements'!E11</f>
        <v>6.0877393220230944</v>
      </c>
      <c r="L7" s="356">
        <f>K7*C29</f>
        <v>1613.2509203361201</v>
      </c>
      <c r="M7" s="843">
        <f>(L7*'Land requirements'!$E$11)/'Meat &amp; Milk '!$B$28</f>
        <v>0.32154276497175738</v>
      </c>
      <c r="N7" s="1274">
        <f>L7*('Land requirements'!E11)/(L$18*'Land requirements'!E11)*100</f>
        <v>17.658396052232529</v>
      </c>
    </row>
    <row r="8" spans="2:14" ht="18.75">
      <c r="B8" s="353" t="s">
        <v>606</v>
      </c>
      <c r="C8" s="354" t="s">
        <v>1117</v>
      </c>
      <c r="D8" s="350">
        <f>'GHG Manure'!L114/'Land requirements'!E11</f>
        <v>3.5357105671629641</v>
      </c>
      <c r="E8" s="341">
        <f>D8*C29</f>
        <v>936.96330029818546</v>
      </c>
      <c r="F8" s="321">
        <f>(E8*'Land requirements'!$E$11/'Meat &amp; Milk '!$B$28)</f>
        <v>0.1867494798590732</v>
      </c>
      <c r="G8" s="1283">
        <f>E8*('Land requirements'!E11)/(E$18*'Land requirements'!E11)*100</f>
        <v>7.4743105739952913</v>
      </c>
      <c r="H8" s="12"/>
      <c r="I8" s="840" t="s">
        <v>1474</v>
      </c>
      <c r="J8" s="841" t="s">
        <v>1473</v>
      </c>
      <c r="K8" s="842">
        <f>'GHG Manure'!M114/'Land requirements'!E11</f>
        <v>4.8607907244180035</v>
      </c>
      <c r="L8" s="356">
        <f>K8*C29</f>
        <v>1288.109541970771</v>
      </c>
      <c r="M8" s="843">
        <f>(L8*'Land requirements'!$E$11)/'Meat &amp; Milk '!$B$28</f>
        <v>0.25673768320274132</v>
      </c>
      <c r="N8" s="1274">
        <f>L8*('Land requirements'!E11)/(L$18*'Land requirements'!E11)*100</f>
        <v>14.099448612767942</v>
      </c>
    </row>
    <row r="9" spans="2:14" ht="18.75">
      <c r="B9" s="353" t="s">
        <v>608</v>
      </c>
      <c r="C9" s="354" t="s">
        <v>1117</v>
      </c>
      <c r="D9" s="350">
        <f>'GHG Soil'!B6/'Land requirements'!E11</f>
        <v>5.3030381292462776</v>
      </c>
      <c r="E9" s="341">
        <f>D9*C29</f>
        <v>1405.3051042502636</v>
      </c>
      <c r="F9" s="321">
        <f>(E9*'Land requirements'!$E$11/'Meat &amp; Milk '!$B$28)</f>
        <v>0.28009634654688903</v>
      </c>
      <c r="G9" s="1283">
        <f>E9*('Land requirements'!E11)/(E$18*'Land requirements'!E11)*100</f>
        <v>11.210350284845243</v>
      </c>
      <c r="H9" s="12"/>
      <c r="I9" s="840" t="s">
        <v>1475</v>
      </c>
      <c r="J9" s="841" t="s">
        <v>1473</v>
      </c>
      <c r="K9" s="842">
        <f>'GHG Soil'!C6/'Land requirements'!E11</f>
        <v>1.4740696275182701</v>
      </c>
      <c r="L9" s="356">
        <f>K9*C29</f>
        <v>390.62845129234159</v>
      </c>
      <c r="M9" s="843">
        <f>(L9*'Land requirements'!$E$11)/'Meat &amp; Milk '!$B$28</f>
        <v>7.7857542631375329E-2</v>
      </c>
      <c r="N9" s="1274">
        <f>L9*('Land requirements'!E11)/(L$18*'Land requirements'!E11)*100</f>
        <v>4.2757588514210934</v>
      </c>
    </row>
    <row r="10" spans="2:14" ht="19.5" customHeight="1">
      <c r="B10" s="353" t="s">
        <v>609</v>
      </c>
      <c r="C10" s="354" t="s">
        <v>1117</v>
      </c>
      <c r="D10" s="350">
        <f>'GHG Soil'!J49/'Land requirements'!E11</f>
        <v>1.0606076258492556</v>
      </c>
      <c r="E10" s="341">
        <f>D10*C$29</f>
        <v>281.06102085005273</v>
      </c>
      <c r="F10" s="321">
        <f>(E10*'Land requirements'!$E$11/'Meat &amp; Milk '!$B$28)</f>
        <v>5.6019269309377805E-2</v>
      </c>
      <c r="G10" s="1283">
        <f>E10*('Land requirements'!E11)/(E$18*'Land requirements'!E11)*100</f>
        <v>2.2420700569690486</v>
      </c>
      <c r="H10" s="12"/>
      <c r="I10" s="840" t="s">
        <v>1476</v>
      </c>
      <c r="J10" s="841" t="s">
        <v>1473</v>
      </c>
      <c r="K10" s="842">
        <f>'GHG Soil'!J59/'Land requirements'!E11</f>
        <v>0.29481392550365404</v>
      </c>
      <c r="L10" s="356">
        <f>K10*C$29</f>
        <v>78.125690258468325</v>
      </c>
      <c r="M10" s="843">
        <f>(L10*'Land requirements'!$E$11)/'Meat &amp; Milk '!$B$28</f>
        <v>1.5571508526275068E-2</v>
      </c>
      <c r="N10" s="1274">
        <f>L10*('Land requirements'!E11)/(L$18*'Land requirements'!E11)*100</f>
        <v>0.85515177028421885</v>
      </c>
    </row>
    <row r="11" spans="2:14" ht="18.75">
      <c r="B11" s="353" t="s">
        <v>975</v>
      </c>
      <c r="C11" s="354" t="s">
        <v>1117</v>
      </c>
      <c r="D11" s="350">
        <f>'GHG Soil'!B68/'Land requirements'!E11</f>
        <v>0</v>
      </c>
      <c r="E11" s="341">
        <f>D11*C$29</f>
        <v>0</v>
      </c>
      <c r="F11" s="321">
        <f>(E11*'Land requirements'!$E$11/'Meat &amp; Milk '!$B$28)</f>
        <v>0</v>
      </c>
      <c r="G11" s="1283">
        <f>E11*('Land requirements'!E11)/(E$18*'Land requirements'!E11)*100</f>
        <v>0</v>
      </c>
      <c r="H11" s="12"/>
      <c r="I11" s="840" t="s">
        <v>1477</v>
      </c>
      <c r="J11" s="841" t="s">
        <v>1473</v>
      </c>
      <c r="K11" s="842">
        <f>'GHG Soil'!C68/'Land requirements'!E11</f>
        <v>0</v>
      </c>
      <c r="L11" s="356">
        <f>K11*C$29</f>
        <v>0</v>
      </c>
      <c r="M11" s="843">
        <f>(L11*'Land requirements'!$E$11)/'Meat &amp; Milk '!$B$28</f>
        <v>0</v>
      </c>
      <c r="N11" s="1274">
        <f>L11*('Land requirements'!E11)/(L$18*'Land requirements'!E11)*100</f>
        <v>0</v>
      </c>
    </row>
    <row r="12" spans="2:14" ht="18.75">
      <c r="B12" s="353" t="s">
        <v>976</v>
      </c>
      <c r="C12" s="354" t="s">
        <v>1117</v>
      </c>
      <c r="D12" s="350">
        <f>('GHG Soil'!K74+'GHG Soil'!K75)/'Land requirements'!E11</f>
        <v>0</v>
      </c>
      <c r="E12" s="341">
        <f>D12*C$29</f>
        <v>0</v>
      </c>
      <c r="F12" s="321">
        <f>(E12*'Land requirements'!$E$11/'Meat &amp; Milk '!$B$28)</f>
        <v>0</v>
      </c>
      <c r="G12" s="1283">
        <f>E12*('Land requirements'!E11)/(E$18*'Land requirements'!E11)*100</f>
        <v>0</v>
      </c>
      <c r="H12" s="12"/>
      <c r="I12" s="840" t="s">
        <v>1478</v>
      </c>
      <c r="J12" s="841" t="s">
        <v>1473</v>
      </c>
      <c r="K12" s="842">
        <f>('GHG Soil'!K77+'GHG Soil'!K78)/'Land requirements'!E11</f>
        <v>0</v>
      </c>
      <c r="L12" s="356">
        <f>K12*C$29</f>
        <v>0</v>
      </c>
      <c r="M12" s="843">
        <f>(L12*'Land requirements'!$E$11)/'Meat &amp; Milk '!$B$28</f>
        <v>0</v>
      </c>
      <c r="N12" s="1274">
        <f>L12*('Land requirements'!E11)/(L$18*'Land requirements'!E11)*100</f>
        <v>0</v>
      </c>
    </row>
    <row r="13" spans="2:14" ht="18.75">
      <c r="B13" s="353" t="s">
        <v>911</v>
      </c>
      <c r="C13" s="354" t="s">
        <v>1117</v>
      </c>
      <c r="D13" s="350">
        <f>'GHG Burning'!O11*1000/'Land requirements'!E11</f>
        <v>0</v>
      </c>
      <c r="E13" s="341">
        <f>D13</f>
        <v>0</v>
      </c>
      <c r="F13" s="321">
        <f>(E13*'Land requirements'!$E$11/'Meat &amp; Milk '!$B$28)</f>
        <v>0</v>
      </c>
      <c r="G13" s="1283">
        <f>E13*('Land requirements'!E11)/(E$18*'Land requirements'!E11)*100</f>
        <v>0</v>
      </c>
      <c r="H13" s="12"/>
      <c r="I13" s="840" t="s">
        <v>911</v>
      </c>
      <c r="J13" s="841" t="s">
        <v>1473</v>
      </c>
      <c r="K13" s="842">
        <f>'GHG Burning'!O11/'Land requirements'!E11*1000</f>
        <v>0</v>
      </c>
      <c r="L13" s="356">
        <f>K13</f>
        <v>0</v>
      </c>
      <c r="M13" s="843">
        <f>(L13*'Land requirements'!$E$11)/'Meat &amp; Milk '!$B$28</f>
        <v>0</v>
      </c>
      <c r="N13" s="1274">
        <f>L13*('Land requirements'!E11)/(L$18*'Land requirements'!E11)*100</f>
        <v>0</v>
      </c>
    </row>
    <row r="14" spans="2:14" ht="18.75">
      <c r="B14" s="353" t="s">
        <v>610</v>
      </c>
      <c r="C14" s="354" t="s">
        <v>1116</v>
      </c>
      <c r="D14" s="350">
        <f>'GHG Rice'!M13/'Land requirements'!E11</f>
        <v>0</v>
      </c>
      <c r="E14" s="341">
        <f>D14*C28</f>
        <v>0</v>
      </c>
      <c r="F14" s="321">
        <f>(E14*'Land requirements'!$E$11/'Meat &amp; Milk '!$B$28)</f>
        <v>0</v>
      </c>
      <c r="G14" s="1283">
        <f>E14*('Land requirements'!E11)/(E$18*'Land requirements'!E11)*100</f>
        <v>0</v>
      </c>
      <c r="H14" s="12"/>
      <c r="I14" s="840" t="s">
        <v>610</v>
      </c>
      <c r="J14" s="841" t="s">
        <v>1471</v>
      </c>
      <c r="K14" s="842">
        <f>'GHG Rice'!M13/'Land requirements'!E11</f>
        <v>0</v>
      </c>
      <c r="L14" s="356">
        <f>K14*C28</f>
        <v>0</v>
      </c>
      <c r="M14" s="843">
        <f>(L14*'Land requirements'!$E$11)/'Meat &amp; Milk '!$B$28</f>
        <v>0</v>
      </c>
      <c r="N14" s="1274">
        <f>L14*('Land requirements'!E11)/(L$18*'Land requirements'!E11)*100</f>
        <v>0</v>
      </c>
    </row>
    <row r="15" spans="2:14" ht="18">
      <c r="B15" s="1360" t="s">
        <v>1452</v>
      </c>
      <c r="C15" s="1361" t="s">
        <v>1756</v>
      </c>
      <c r="D15" s="1362">
        <f>SOC!K19/'Land requirements'!E11</f>
        <v>0</v>
      </c>
      <c r="E15" s="1363">
        <f>D15*(44/12)*1000</f>
        <v>0</v>
      </c>
      <c r="F15" s="1364">
        <f>(E15*'Land requirements'!$E$11/'Meat &amp; Milk '!$B$28)</f>
        <v>0</v>
      </c>
      <c r="G15" s="1365"/>
      <c r="I15" s="1360" t="s">
        <v>1452</v>
      </c>
      <c r="J15" s="1361" t="s">
        <v>1453</v>
      </c>
      <c r="K15" s="1362">
        <f>SOC!K19/'Land requirements'!E11</f>
        <v>0</v>
      </c>
      <c r="L15" s="1363">
        <f>K15*(44/12)*1000</f>
        <v>0</v>
      </c>
      <c r="M15" s="1364">
        <f>(L15*'Land requirements'!$E$11/'Meat &amp; Milk '!$B$28)</f>
        <v>0</v>
      </c>
      <c r="N15" s="1365"/>
    </row>
    <row r="16" spans="2:14" s="12" customFormat="1" ht="31.5">
      <c r="B16" s="1366" t="s">
        <v>1454</v>
      </c>
      <c r="C16" s="1367" t="s">
        <v>1756</v>
      </c>
      <c r="D16" s="1368" t="e">
        <f>Biomass!$H$13</f>
        <v>#REF!</v>
      </c>
      <c r="E16" s="1369" t="e">
        <f>D16*(44/12)*1000</f>
        <v>#REF!</v>
      </c>
      <c r="F16" s="1370" t="e">
        <f>(E16*'Land requirements'!$E$11/'Meat &amp; Milk '!$B$28)</f>
        <v>#REF!</v>
      </c>
      <c r="G16" s="1371"/>
      <c r="H16"/>
      <c r="I16" s="1366" t="s">
        <v>1454</v>
      </c>
      <c r="J16" s="1367" t="s">
        <v>1453</v>
      </c>
      <c r="K16" s="1368" t="e">
        <f>Biomass!$Q$27/1000/'Land requirements'!E11</f>
        <v>#REF!</v>
      </c>
      <c r="L16" s="1369" t="e">
        <f>K16*(44/12)*1000</f>
        <v>#REF!</v>
      </c>
      <c r="M16" s="1370" t="e">
        <f>(L16*'Land requirements'!$E$11)/'Meat &amp; Milk '!$B$28</f>
        <v>#REF!</v>
      </c>
      <c r="N16" s="1371"/>
    </row>
    <row r="17" spans="1:14">
      <c r="B17" s="355" t="s">
        <v>1069</v>
      </c>
      <c r="C17" s="838" t="s">
        <v>1118</v>
      </c>
      <c r="D17" s="344" t="s">
        <v>654</v>
      </c>
      <c r="E17" s="1285">
        <f>'GHG Off-farm'!E10</f>
        <v>5.8753553994417382</v>
      </c>
      <c r="F17" s="1286">
        <f>(E17*'Land requirements'!E11)/'Meat &amp; Milk '!$B$28</f>
        <v>1.1710379312442178E-3</v>
      </c>
      <c r="G17" s="1283">
        <f>E17*('Land requirements'!E11)/(E$18*'Land requirements'!E11)*100</f>
        <v>4.6868677752962315E-2</v>
      </c>
      <c r="H17" s="12"/>
      <c r="I17" s="845" t="s">
        <v>1069</v>
      </c>
      <c r="J17" s="841" t="s">
        <v>1118</v>
      </c>
      <c r="K17" s="842" t="s">
        <v>654</v>
      </c>
      <c r="L17" s="1275">
        <f>'GHG Off-farm'!E10</f>
        <v>5.8753553994417382</v>
      </c>
      <c r="M17" s="1276">
        <f>(L17*'Land requirements'!E11)/'Meat &amp; Milk '!$B$28</f>
        <v>1.1710379312442178E-3</v>
      </c>
      <c r="N17" s="1274">
        <f>L17*('Land requirements'!E11)/(L$18*'Land requirements'!E11)*100</f>
        <v>6.4310735102106081E-2</v>
      </c>
    </row>
    <row r="18" spans="1:14" ht="16.5" thickBot="1">
      <c r="A18" s="12"/>
      <c r="B18" s="846" t="s">
        <v>665</v>
      </c>
      <c r="C18" s="847"/>
      <c r="D18" s="848"/>
      <c r="E18" s="1277">
        <f>SUM(E5:E14)+E17</f>
        <v>12535.78227747291</v>
      </c>
      <c r="F18" s="1277">
        <f>(E18*'Land requirements'!E11)/'Meat &amp; Milk '!$B$28</f>
        <v>2.4985512444293416</v>
      </c>
      <c r="G18" s="1284">
        <f>E18*('Land requirements'!E11)/(E$18*'Land requirements'!E11)*100</f>
        <v>100</v>
      </c>
      <c r="H18" s="12"/>
      <c r="I18" s="846" t="s">
        <v>665</v>
      </c>
      <c r="J18" s="849"/>
      <c r="K18" s="850"/>
      <c r="L18" s="1277">
        <f>SUM(L5:L14)+L17</f>
        <v>9135.8859296405844</v>
      </c>
      <c r="M18" s="1278">
        <f>(L18*'Land requirements'!E11)/'Meat &amp; Milk '!$B$28</f>
        <v>1.8209058400358233</v>
      </c>
      <c r="N18" s="1279">
        <f>L18*('Land requirements'!E11)/(L$18*'Land requirements'!E11)*100</f>
        <v>100</v>
      </c>
    </row>
    <row r="19" spans="1:14">
      <c r="D19"/>
      <c r="E19"/>
      <c r="M19" s="147"/>
      <c r="N19" s="147"/>
    </row>
    <row r="20" spans="1:14">
      <c r="D20"/>
      <c r="E20"/>
      <c r="M20" s="147"/>
      <c r="N20" s="147"/>
    </row>
    <row r="21" spans="1:14">
      <c r="D21"/>
      <c r="E21"/>
      <c r="M21" s="147"/>
      <c r="N21" s="147"/>
    </row>
    <row r="22" spans="1:14">
      <c r="D22"/>
      <c r="E22"/>
      <c r="M22" s="147"/>
      <c r="N22" s="147"/>
    </row>
    <row r="23" spans="1:14" ht="47.25">
      <c r="B23" s="10" t="s">
        <v>92</v>
      </c>
      <c r="C23" s="7"/>
    </row>
    <row r="24" spans="1:14" ht="31.5">
      <c r="B24" s="10" t="s">
        <v>93</v>
      </c>
      <c r="C24" s="7"/>
    </row>
    <row r="25" spans="1:14">
      <c r="F25" t="s">
        <v>44</v>
      </c>
    </row>
    <row r="27" spans="1:14">
      <c r="B27" s="10" t="s">
        <v>95</v>
      </c>
    </row>
    <row r="28" spans="1:14">
      <c r="B28" s="10" t="s">
        <v>91</v>
      </c>
      <c r="C28">
        <v>28</v>
      </c>
      <c r="F28" s="7"/>
      <c r="G28" s="7"/>
    </row>
    <row r="29" spans="1:14">
      <c r="B29" s="10" t="s">
        <v>94</v>
      </c>
      <c r="C29">
        <v>265</v>
      </c>
      <c r="F29" s="7"/>
      <c r="G29" s="7"/>
    </row>
    <row r="30" spans="1:14">
      <c r="B30" s="24"/>
      <c r="C30" s="27" t="s">
        <v>105</v>
      </c>
      <c r="D30" s="27" t="s">
        <v>500</v>
      </c>
    </row>
    <row r="31" spans="1:14" s="30" customFormat="1">
      <c r="B31" s="24" t="s">
        <v>611</v>
      </c>
      <c r="C31" s="149" t="s">
        <v>1109</v>
      </c>
      <c r="D31" s="149" t="s">
        <v>1109</v>
      </c>
    </row>
    <row r="32" spans="1:14" s="30" customFormat="1">
      <c r="B32" s="24" t="s">
        <v>614</v>
      </c>
      <c r="C32" s="1280">
        <f>(E9+E10)/1000</f>
        <v>1.6863661251003164</v>
      </c>
      <c r="D32" s="1280">
        <f>(L9+L10)/1000</f>
        <v>0.46875414155080991</v>
      </c>
    </row>
    <row r="33" spans="2:5" s="30" customFormat="1">
      <c r="B33" s="24" t="s">
        <v>977</v>
      </c>
      <c r="C33" s="1280">
        <f>(E11+E12)/1000</f>
        <v>0</v>
      </c>
      <c r="D33" s="1280">
        <f>(L11+L12)/1000</f>
        <v>0</v>
      </c>
    </row>
    <row r="34" spans="2:5" s="30" customFormat="1">
      <c r="B34" s="24" t="s">
        <v>1119</v>
      </c>
      <c r="C34" s="1280">
        <f>(E6+E7+E8)/1000</f>
        <v>2.3889138532971166</v>
      </c>
      <c r="D34" s="1280">
        <f>(L6+L7+L8)/1000</f>
        <v>3.2442631089350753</v>
      </c>
    </row>
    <row r="35" spans="2:5" s="30" customFormat="1">
      <c r="B35" s="24" t="s">
        <v>1120</v>
      </c>
      <c r="C35" s="1280">
        <f>E5/1000</f>
        <v>8.4546269436760362</v>
      </c>
      <c r="D35" s="1280">
        <f>L5/1000</f>
        <v>5.4169933237552588</v>
      </c>
    </row>
    <row r="36" spans="2:5" s="30" customFormat="1">
      <c r="B36" s="24" t="s">
        <v>911</v>
      </c>
      <c r="C36" s="1280">
        <f>D13/1000</f>
        <v>0</v>
      </c>
      <c r="D36" s="1280">
        <f>K13/1000</f>
        <v>0</v>
      </c>
    </row>
    <row r="37" spans="2:5" s="30" customFormat="1">
      <c r="B37" s="24" t="s">
        <v>660</v>
      </c>
      <c r="C37" s="1280">
        <f>E14/1000</f>
        <v>0</v>
      </c>
      <c r="D37" s="1280">
        <f>L14/1000</f>
        <v>0</v>
      </c>
    </row>
    <row r="38" spans="2:5" s="30" customFormat="1">
      <c r="B38" s="82" t="s">
        <v>1069</v>
      </c>
      <c r="C38" s="1280">
        <f>E17/1000</f>
        <v>5.875355399441738E-3</v>
      </c>
      <c r="D38" s="1280">
        <f>L17/1000</f>
        <v>5.875355399441738E-3</v>
      </c>
    </row>
    <row r="39" spans="2:5" s="30" customFormat="1">
      <c r="B39" s="31" t="s">
        <v>658</v>
      </c>
      <c r="C39" s="1281">
        <f>SUM(C32:C37)</f>
        <v>12.529906922073469</v>
      </c>
      <c r="D39" s="1281">
        <f>SUM(D32:D37)</f>
        <v>9.1300105742411439</v>
      </c>
    </row>
    <row r="40" spans="2:5">
      <c r="D40"/>
      <c r="E40"/>
    </row>
    <row r="41" spans="2:5">
      <c r="D41"/>
      <c r="E41"/>
    </row>
    <row r="42" spans="2:5">
      <c r="D42"/>
      <c r="E42"/>
    </row>
    <row r="43" spans="2:5">
      <c r="B43" s="175" t="s">
        <v>928</v>
      </c>
      <c r="C43" s="37"/>
      <c r="D43" s="37" t="s">
        <v>421</v>
      </c>
      <c r="E43"/>
    </row>
    <row r="44" spans="2:5">
      <c r="B44" s="69" t="s">
        <v>929</v>
      </c>
      <c r="C44" s="149" t="s">
        <v>1110</v>
      </c>
      <c r="D44" s="1282">
        <f>D39*'Land requirements'!E11</f>
        <v>5.6845057721623053</v>
      </c>
      <c r="E44"/>
    </row>
    <row r="45" spans="2:5">
      <c r="B45" s="47" t="s">
        <v>929</v>
      </c>
      <c r="C45" s="222" t="s">
        <v>1111</v>
      </c>
      <c r="D45" s="1282">
        <f>D39</f>
        <v>9.1300105742411439</v>
      </c>
      <c r="E45"/>
    </row>
    <row r="46" spans="2:5" ht="31.5">
      <c r="B46" s="47" t="s">
        <v>930</v>
      </c>
      <c r="C46" s="222" t="s">
        <v>1112</v>
      </c>
      <c r="D46" s="1282">
        <f>D44*1000/'Meat &amp; Milk '!B28</f>
        <v>1.8197348021045792</v>
      </c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  <row r="61" spans="4:5">
      <c r="D61"/>
      <c r="E61"/>
    </row>
    <row r="62" spans="4:5">
      <c r="D62"/>
      <c r="E62"/>
    </row>
  </sheetData>
  <sheetProtection selectLockedCells="1"/>
  <mergeCells count="2">
    <mergeCell ref="E3:F3"/>
    <mergeCell ref="L3:M3"/>
  </mergeCells>
  <pageMargins left="0.75" right="0.75" top="1" bottom="1" header="0.5" footer="0.5"/>
  <pageSetup paperSize="9" scale="150" orientation="portrait" r:id="rId1"/>
  <ignoredErrors>
    <ignoredError sqref="M15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opLeftCell="D12" workbookViewId="0">
      <selection activeCell="G19" sqref="G19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26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26"/>
      <c r="C3" s="786" t="s">
        <v>1134</v>
      </c>
      <c r="D3" s="787"/>
      <c r="E3" s="839"/>
      <c r="F3" s="786" t="s">
        <v>1135</v>
      </c>
      <c r="G3" s="787"/>
      <c r="H3" s="72"/>
      <c r="I3" s="786" t="s">
        <v>1133</v>
      </c>
      <c r="J3" s="916" t="s">
        <v>1136</v>
      </c>
      <c r="K3" s="787" t="s">
        <v>1148</v>
      </c>
    </row>
    <row r="4" spans="2:11">
      <c r="B4" s="426"/>
      <c r="C4" s="866"/>
      <c r="D4" s="867"/>
      <c r="E4" s="494"/>
      <c r="F4" s="866"/>
      <c r="G4" s="867"/>
      <c r="H4" s="72"/>
      <c r="I4" s="866"/>
      <c r="J4" s="915"/>
      <c r="K4" s="867"/>
    </row>
    <row r="5" spans="2:11">
      <c r="B5" s="426"/>
      <c r="C5" s="398" t="s">
        <v>1153</v>
      </c>
      <c r="D5" s="651"/>
      <c r="E5" s="904"/>
      <c r="F5" s="398"/>
      <c r="G5" s="651"/>
      <c r="H5" s="72"/>
      <c r="I5" s="1054" t="s">
        <v>1153</v>
      </c>
      <c r="J5" s="1190"/>
      <c r="K5" s="1191"/>
    </row>
    <row r="6" spans="2:11">
      <c r="B6" s="426"/>
      <c r="C6" s="408" t="s">
        <v>1154</v>
      </c>
      <c r="D6" s="1177">
        <f>'Land requirements'!$E$11</f>
        <v>0.62261765481413833</v>
      </c>
      <c r="E6" s="839"/>
      <c r="F6" s="408"/>
      <c r="G6" s="679"/>
      <c r="H6" s="72"/>
      <c r="I6" s="408" t="s">
        <v>1673</v>
      </c>
      <c r="J6" s="1192">
        <f>IFERROR(D6/D9,0)*1000</f>
        <v>0.19931354813965585</v>
      </c>
      <c r="K6" s="1193">
        <f>IFERROR(D6/D10,0)*1000</f>
        <v>0.22753262170159297</v>
      </c>
    </row>
    <row r="7" spans="2:11">
      <c r="B7" s="426"/>
      <c r="C7" s="905"/>
      <c r="D7" s="903"/>
      <c r="E7" s="72"/>
      <c r="F7" s="900"/>
      <c r="G7" s="902"/>
      <c r="H7" s="72"/>
      <c r="I7" s="905"/>
      <c r="J7" s="1194"/>
      <c r="K7" s="1195"/>
    </row>
    <row r="8" spans="2:11">
      <c r="B8" s="426"/>
      <c r="C8" s="765" t="s">
        <v>1151</v>
      </c>
      <c r="D8" s="1176"/>
      <c r="E8" s="72"/>
      <c r="F8" s="765" t="s">
        <v>1151</v>
      </c>
      <c r="G8" s="1182"/>
      <c r="H8" s="72"/>
      <c r="I8" s="765" t="s">
        <v>1151</v>
      </c>
      <c r="J8" s="1194"/>
      <c r="K8" s="1195"/>
    </row>
    <row r="9" spans="2:11">
      <c r="B9" s="426"/>
      <c r="C9" s="905" t="s">
        <v>1126</v>
      </c>
      <c r="D9" s="1178">
        <f>Productivity!$B$14</f>
        <v>3123.81</v>
      </c>
      <c r="E9" s="72"/>
      <c r="F9" s="905" t="s">
        <v>1155</v>
      </c>
      <c r="G9" s="1178">
        <f>D9/D6</f>
        <v>5017.2204013914588</v>
      </c>
      <c r="H9" s="72"/>
      <c r="I9" s="1055" t="s">
        <v>1674</v>
      </c>
      <c r="J9" s="1194"/>
      <c r="K9" s="1195"/>
    </row>
    <row r="10" spans="2:11">
      <c r="B10" s="426"/>
      <c r="C10" s="905" t="s">
        <v>1152</v>
      </c>
      <c r="D10" s="1178">
        <f>D9*(1-INPUTS!D45/100)</f>
        <v>2736.3885237990003</v>
      </c>
      <c r="E10" s="72"/>
      <c r="F10" s="905" t="s">
        <v>1495</v>
      </c>
      <c r="G10" s="1178">
        <f>D10/D6</f>
        <v>4394.9741910480479</v>
      </c>
      <c r="H10" s="72"/>
      <c r="I10" s="1055" t="s">
        <v>1674</v>
      </c>
      <c r="J10" s="1194"/>
      <c r="K10" s="1195"/>
    </row>
    <row r="11" spans="2:11">
      <c r="B11" s="426"/>
      <c r="C11" s="905" t="s">
        <v>1506</v>
      </c>
      <c r="D11" s="1178">
        <f>Productivity!$B$15</f>
        <v>271.44</v>
      </c>
      <c r="E11" s="72"/>
      <c r="F11" s="905" t="s">
        <v>1508</v>
      </c>
      <c r="G11" s="1178">
        <f>D11/D6</f>
        <v>435.96579361539199</v>
      </c>
      <c r="H11" s="72"/>
      <c r="I11" s="1055" t="s">
        <v>1674</v>
      </c>
      <c r="J11" s="1194"/>
      <c r="K11" s="1195"/>
    </row>
    <row r="12" spans="2:11">
      <c r="B12" s="426"/>
      <c r="C12" s="905" t="s">
        <v>1507</v>
      </c>
      <c r="D12" s="1178">
        <f>D11*(1-INPUTS!E45/100)</f>
        <v>237.77544117600002</v>
      </c>
      <c r="E12" s="72"/>
      <c r="F12" s="905" t="s">
        <v>1509</v>
      </c>
      <c r="G12" s="1178">
        <f>D12/D6</f>
        <v>381.89640036304451</v>
      </c>
      <c r="H12" s="72"/>
      <c r="I12" s="1055" t="s">
        <v>1674</v>
      </c>
      <c r="J12" s="1194"/>
      <c r="K12" s="1195"/>
    </row>
    <row r="13" spans="2:11">
      <c r="B13" s="426"/>
      <c r="C13" s="905" t="s">
        <v>1492</v>
      </c>
      <c r="D13" s="1178">
        <f>Productivity!D17</f>
        <v>186.15537</v>
      </c>
      <c r="E13" s="72"/>
      <c r="F13" s="905" t="s">
        <v>1496</v>
      </c>
      <c r="G13" s="1178">
        <f>D13/D6</f>
        <v>298.98826119148589</v>
      </c>
      <c r="H13" s="72"/>
      <c r="I13" s="1055" t="s">
        <v>1674</v>
      </c>
      <c r="J13" s="1194"/>
      <c r="K13" s="1195"/>
    </row>
    <row r="14" spans="2:11">
      <c r="B14" s="426"/>
      <c r="C14" s="905"/>
      <c r="D14" s="1178"/>
      <c r="E14" s="862"/>
      <c r="F14" s="863"/>
      <c r="G14" s="1178"/>
      <c r="H14" s="72"/>
      <c r="I14" s="905"/>
      <c r="J14" s="1194"/>
      <c r="K14" s="1195"/>
    </row>
    <row r="15" spans="2:11">
      <c r="B15" s="426"/>
      <c r="C15" s="765" t="s">
        <v>849</v>
      </c>
      <c r="D15" s="1179"/>
      <c r="E15" s="862"/>
      <c r="F15" s="765" t="s">
        <v>849</v>
      </c>
      <c r="G15" s="1178"/>
      <c r="H15" s="72"/>
      <c r="I15" s="765" t="s">
        <v>849</v>
      </c>
      <c r="J15" s="1196"/>
      <c r="K15" s="1181"/>
    </row>
    <row r="16" spans="2:11">
      <c r="B16" s="426"/>
      <c r="C16" s="863" t="s">
        <v>1083</v>
      </c>
      <c r="D16" s="1180">
        <f>'Soil impacts'!$B$2</f>
        <v>-24.559752632500931</v>
      </c>
      <c r="E16" s="72"/>
      <c r="F16" s="863" t="s">
        <v>1086</v>
      </c>
      <c r="G16" s="1188">
        <f>D16/D6</f>
        <v>-39.445962449992564</v>
      </c>
      <c r="H16" s="72"/>
      <c r="I16" s="863" t="s">
        <v>1125</v>
      </c>
      <c r="J16" s="1197">
        <f>IFERROR(D16/D9,0)</f>
        <v>-7.8621147356916499E-3</v>
      </c>
      <c r="K16" s="1198">
        <f>IFERROR(D16/D10,0)</f>
        <v>-8.9752432517893992E-3</v>
      </c>
    </row>
    <row r="17" spans="2:11">
      <c r="B17" s="426"/>
      <c r="C17" s="863" t="s">
        <v>1413</v>
      </c>
      <c r="D17" s="1181">
        <f>'Soil impacts'!$C$2</f>
        <v>100</v>
      </c>
      <c r="E17" s="72"/>
      <c r="F17" s="1055" t="s">
        <v>1674</v>
      </c>
      <c r="G17" s="1188"/>
      <c r="H17" s="72"/>
      <c r="I17" s="1055" t="s">
        <v>1674</v>
      </c>
      <c r="J17" s="1197"/>
      <c r="K17" s="1198"/>
    </row>
    <row r="18" spans="2:11">
      <c r="B18" s="426"/>
      <c r="C18" s="863" t="s">
        <v>1414</v>
      </c>
      <c r="D18" s="1182">
        <f>'Soil impacts'!$D$2</f>
        <v>0</v>
      </c>
      <c r="E18" s="72"/>
      <c r="F18" s="1055" t="s">
        <v>1674</v>
      </c>
      <c r="G18" s="1188"/>
      <c r="H18" s="72"/>
      <c r="I18" s="1055" t="s">
        <v>1674</v>
      </c>
      <c r="J18" s="1197"/>
      <c r="K18" s="1198"/>
    </row>
    <row r="19" spans="2:11">
      <c r="B19" s="426"/>
      <c r="C19" s="863"/>
      <c r="D19" s="1182"/>
      <c r="E19" s="72"/>
      <c r="F19" s="863"/>
      <c r="G19" s="1188"/>
      <c r="H19" s="72"/>
      <c r="I19" s="863"/>
      <c r="J19" s="1196"/>
      <c r="K19" s="1198"/>
    </row>
    <row r="20" spans="2:11">
      <c r="B20" s="426"/>
      <c r="C20" s="765" t="s">
        <v>1084</v>
      </c>
      <c r="D20" s="1179"/>
      <c r="E20" s="72"/>
      <c r="F20" s="907" t="s">
        <v>1084</v>
      </c>
      <c r="G20" s="1178"/>
      <c r="H20" s="72"/>
      <c r="I20" s="765" t="s">
        <v>1084</v>
      </c>
      <c r="J20" s="1199"/>
      <c r="K20" s="1198"/>
    </row>
    <row r="21" spans="2:11">
      <c r="B21" s="426"/>
      <c r="C21" s="863" t="s">
        <v>1085</v>
      </c>
      <c r="D21" s="1183">
        <f>'Soil impacts'!$B$3</f>
        <v>5.0703490119414401</v>
      </c>
      <c r="E21" s="72"/>
      <c r="F21" s="908" t="s">
        <v>1087</v>
      </c>
      <c r="G21" s="1183">
        <f>D21/D6</f>
        <v>8.1435998043695417</v>
      </c>
      <c r="H21" s="72"/>
      <c r="I21" s="906" t="s">
        <v>1129</v>
      </c>
      <c r="J21" s="1199">
        <f>IFERROR(D21/D9,0)*1000</f>
        <v>1.6231297716383006</v>
      </c>
      <c r="K21" s="1200">
        <f>IFERROR(D21/D10,0)*1000</f>
        <v>1.8529346135767815</v>
      </c>
    </row>
    <row r="22" spans="2:11">
      <c r="B22" s="426"/>
      <c r="C22" s="863"/>
      <c r="D22" s="1183"/>
      <c r="E22" s="72"/>
      <c r="F22" s="863"/>
      <c r="G22" s="1178"/>
      <c r="H22" s="72"/>
      <c r="I22" s="906"/>
      <c r="J22" s="1199"/>
      <c r="K22" s="1200"/>
    </row>
    <row r="23" spans="2:11">
      <c r="B23" s="426"/>
      <c r="C23" s="765" t="s">
        <v>980</v>
      </c>
      <c r="D23" s="1179"/>
      <c r="E23" s="72"/>
      <c r="F23" s="765" t="s">
        <v>997</v>
      </c>
      <c r="G23" s="1178"/>
      <c r="H23" s="72"/>
      <c r="I23" s="765" t="s">
        <v>980</v>
      </c>
      <c r="J23" s="1196"/>
      <c r="K23" s="1198"/>
    </row>
    <row r="24" spans="2:11">
      <c r="B24" s="426"/>
      <c r="C24" s="863" t="s">
        <v>984</v>
      </c>
      <c r="D24" s="1184">
        <f>'GHG emissions'!$D$44</f>
        <v>5.6845057721623053</v>
      </c>
      <c r="E24" s="397"/>
      <c r="F24" s="863" t="s">
        <v>1156</v>
      </c>
      <c r="G24" s="1184">
        <f>D24/D6</f>
        <v>9.1300105742411439</v>
      </c>
      <c r="H24" s="72"/>
      <c r="I24" s="863" t="s">
        <v>1139</v>
      </c>
      <c r="J24" s="1199">
        <f>IFERROR(D24/D9,0)*1000</f>
        <v>1.8197348021045792</v>
      </c>
      <c r="K24" s="1200">
        <f>IFERROR(D24/D10,0)*1000</f>
        <v>2.0773752421203535</v>
      </c>
    </row>
    <row r="25" spans="2:11">
      <c r="B25" s="426"/>
      <c r="C25" s="863"/>
      <c r="D25" s="1184"/>
      <c r="E25" s="397"/>
      <c r="F25" s="863"/>
      <c r="G25" s="1184"/>
      <c r="H25" s="72"/>
      <c r="I25" s="863" t="s">
        <v>1532</v>
      </c>
      <c r="J25" s="1199">
        <f>IFERROR(D24/D11*1000,0)</f>
        <v>20.942034232840793</v>
      </c>
      <c r="K25" s="1200">
        <f>IFERROR(D24/D12*1000,0)</f>
        <v>23.907034906749125</v>
      </c>
    </row>
    <row r="26" spans="2:11">
      <c r="B26" s="426"/>
      <c r="C26" s="765" t="s">
        <v>1542</v>
      </c>
      <c r="D26" s="1184"/>
      <c r="E26" s="397"/>
      <c r="F26" s="765" t="s">
        <v>1542</v>
      </c>
      <c r="G26" s="1184"/>
      <c r="H26" s="72"/>
      <c r="I26" s="863" t="s">
        <v>1531</v>
      </c>
      <c r="J26" s="1199">
        <f>IFERROR(D24/D13*1000,0)</f>
        <v>30.53635128635991</v>
      </c>
      <c r="K26" s="1200"/>
    </row>
    <row r="27" spans="2:11">
      <c r="B27" s="426"/>
      <c r="C27" s="322" t="s">
        <v>1675</v>
      </c>
      <c r="D27" s="1185">
        <f>Water!B14*100</f>
        <v>72.981535211015157</v>
      </c>
      <c r="E27" s="397"/>
      <c r="F27" s="863" t="s">
        <v>1544</v>
      </c>
      <c r="G27" s="1184">
        <f>D28/D6</f>
        <v>1021.7414929542122</v>
      </c>
      <c r="H27" s="72"/>
      <c r="I27" s="863"/>
      <c r="J27" s="1199"/>
      <c r="K27" s="1200"/>
    </row>
    <row r="28" spans="2:11">
      <c r="B28" s="426"/>
      <c r="C28" s="863" t="s">
        <v>1543</v>
      </c>
      <c r="D28" s="1186">
        <f>'Water Impacts'!$B$4</f>
        <v>636.15429216944801</v>
      </c>
      <c r="E28" s="397"/>
      <c r="F28" s="863"/>
      <c r="G28" s="1184"/>
      <c r="H28" s="72"/>
      <c r="I28" s="765" t="s">
        <v>1545</v>
      </c>
      <c r="J28" s="1196"/>
      <c r="K28" s="1182"/>
    </row>
    <row r="29" spans="2:11">
      <c r="B29" s="426"/>
      <c r="C29" s="863"/>
      <c r="D29" s="1184"/>
      <c r="E29" s="72"/>
      <c r="F29" s="765" t="s">
        <v>1479</v>
      </c>
      <c r="G29" s="1184"/>
      <c r="H29" s="72"/>
      <c r="I29" s="905" t="s">
        <v>1547</v>
      </c>
      <c r="J29" s="1199">
        <f>IFERROR('Water Impacts'!$B$5,0)</f>
        <v>0.2036469222422132</v>
      </c>
      <c r="K29" s="1200">
        <f>IFERROR('Water Impacts'!$B$5*(D9/D10),0)</f>
        <v>0.23247952059317153</v>
      </c>
    </row>
    <row r="30" spans="2:11">
      <c r="B30" s="426"/>
      <c r="C30" s="765" t="s">
        <v>1479</v>
      </c>
      <c r="D30" s="1184"/>
      <c r="E30" s="72"/>
      <c r="F30" s="863" t="s">
        <v>1494</v>
      </c>
      <c r="G30" s="1188" t="e">
        <f>D31/D6</f>
        <v>#REF!</v>
      </c>
      <c r="H30" s="72"/>
      <c r="I30" s="905" t="s">
        <v>1546</v>
      </c>
      <c r="J30" s="1199">
        <f>IFERROR('Water Impacts'!$B$6,0)</f>
        <v>2.3436276605122606</v>
      </c>
      <c r="K30" s="1200">
        <f>IFERROR('Water Impacts'!$B$6*(D9/D10),0)</f>
        <v>2.6754415385505275</v>
      </c>
    </row>
    <row r="31" spans="2:11">
      <c r="B31" s="426"/>
      <c r="C31" s="863" t="s">
        <v>984</v>
      </c>
      <c r="D31" s="1183" t="e">
        <f>('GHG emissions'!L15+'GHG emissions'!L16)*'Land requirements'!E11*0.001</f>
        <v>#REF!</v>
      </c>
      <c r="E31" s="72"/>
      <c r="F31" s="863"/>
      <c r="G31" s="1178"/>
      <c r="H31" s="72"/>
      <c r="I31" s="905" t="s">
        <v>1548</v>
      </c>
      <c r="J31" s="1199">
        <f>'Water Impacts'!$B$7</f>
        <v>3.4173297937601692</v>
      </c>
      <c r="K31" s="1200">
        <f>'Water Impacts'!$B$7*(D9/D10)</f>
        <v>3.9011598280734807</v>
      </c>
    </row>
    <row r="32" spans="2:11">
      <c r="B32" s="72"/>
      <c r="C32" s="863"/>
      <c r="D32" s="1179"/>
      <c r="E32" s="72"/>
      <c r="F32" s="765" t="s">
        <v>985</v>
      </c>
      <c r="G32" s="1178"/>
      <c r="H32" s="72"/>
      <c r="I32" s="765"/>
      <c r="J32" s="1199"/>
      <c r="K32" s="1200"/>
    </row>
    <row r="33" spans="2:11">
      <c r="B33" s="72"/>
      <c r="C33" s="765" t="s">
        <v>985</v>
      </c>
      <c r="D33" s="1179"/>
      <c r="E33" s="72"/>
      <c r="F33" s="863" t="s">
        <v>1510</v>
      </c>
      <c r="G33" s="1189">
        <f>D34/D6</f>
        <v>4866703.7893497152</v>
      </c>
      <c r="H33" s="72"/>
      <c r="I33" s="765" t="s">
        <v>1479</v>
      </c>
      <c r="J33" s="1196"/>
      <c r="K33" s="1182"/>
    </row>
    <row r="34" spans="2:11">
      <c r="B34" s="72"/>
      <c r="C34" s="863" t="s">
        <v>1497</v>
      </c>
      <c r="D34" s="1178">
        <f>Productivity!C14</f>
        <v>3030095.6999999997</v>
      </c>
      <c r="E34" s="72"/>
      <c r="F34" s="863" t="s">
        <v>1511</v>
      </c>
      <c r="G34" s="1189">
        <f>D35/D6</f>
        <v>959124.74595386232</v>
      </c>
      <c r="H34" s="72"/>
      <c r="I34" s="863" t="s">
        <v>1139</v>
      </c>
      <c r="J34" s="1199">
        <f>IFERROR(D31*1000/D9,0)</f>
        <v>0</v>
      </c>
      <c r="K34" s="1200">
        <f>IFERROR(D31*1000/D10,0)</f>
        <v>0</v>
      </c>
    </row>
    <row r="35" spans="2:11">
      <c r="B35" s="72"/>
      <c r="C35" s="863" t="s">
        <v>1498</v>
      </c>
      <c r="D35" s="1178">
        <f>Productivity!C15</f>
        <v>597168</v>
      </c>
      <c r="E35" s="72"/>
      <c r="F35" s="863" t="s">
        <v>1512</v>
      </c>
      <c r="G35" s="1189">
        <f>SUM(G33:G34)</f>
        <v>5825828.5353035778</v>
      </c>
      <c r="H35" s="72"/>
      <c r="I35" s="863"/>
      <c r="J35" s="1199"/>
      <c r="K35" s="1182"/>
    </row>
    <row r="36" spans="2:11">
      <c r="B36" s="72"/>
      <c r="C36" s="906" t="s">
        <v>1493</v>
      </c>
      <c r="D36" s="1178">
        <f>SUM(D34:D35)</f>
        <v>3627263.6999999997</v>
      </c>
      <c r="E36" s="72"/>
      <c r="F36" s="863"/>
      <c r="G36" s="1189"/>
      <c r="H36" s="72"/>
      <c r="I36" s="765" t="s">
        <v>1677</v>
      </c>
      <c r="J36" s="1196"/>
      <c r="K36" s="1182"/>
    </row>
    <row r="37" spans="2:11">
      <c r="B37" s="72"/>
      <c r="C37" s="863"/>
      <c r="D37" s="1179"/>
      <c r="E37" s="72"/>
      <c r="F37" s="863"/>
      <c r="G37" s="1189"/>
      <c r="H37" s="72"/>
      <c r="I37" s="863" t="s">
        <v>1139</v>
      </c>
      <c r="J37" s="1199">
        <f>J24-J34</f>
        <v>1.8197348021045792</v>
      </c>
      <c r="K37" s="1200">
        <f>K24-K34</f>
        <v>2.0773752421203535</v>
      </c>
    </row>
    <row r="38" spans="2:11" ht="16.5" thickBot="1">
      <c r="B38" s="72"/>
      <c r="C38" s="863" t="s">
        <v>1499</v>
      </c>
      <c r="D38" s="1178">
        <f>Productivity!F14</f>
        <v>1212.03828</v>
      </c>
      <c r="E38" s="72"/>
      <c r="F38" s="863" t="s">
        <v>1513</v>
      </c>
      <c r="G38" s="1189">
        <f>D38/D6</f>
        <v>1946.681515739886</v>
      </c>
      <c r="H38" s="72"/>
      <c r="I38" s="865"/>
      <c r="J38" s="1201"/>
      <c r="K38" s="1202"/>
    </row>
    <row r="39" spans="2:11">
      <c r="B39" s="72"/>
      <c r="C39" s="863" t="s">
        <v>1500</v>
      </c>
      <c r="D39" s="1178">
        <f>Productivity!F15</f>
        <v>238.8672</v>
      </c>
      <c r="E39" s="72"/>
      <c r="F39" s="863" t="s">
        <v>1514</v>
      </c>
      <c r="G39" s="1189">
        <f>D39/D6</f>
        <v>383.64989838154492</v>
      </c>
      <c r="H39" s="72"/>
      <c r="I39" s="72"/>
      <c r="J39" s="864"/>
      <c r="K39" s="864"/>
    </row>
    <row r="40" spans="2:11">
      <c r="B40" s="72"/>
      <c r="C40" s="863" t="s">
        <v>1501</v>
      </c>
      <c r="D40" s="1178">
        <f>SUM(D38:D39)</f>
        <v>1450.9054799999999</v>
      </c>
      <c r="E40" s="72"/>
      <c r="F40" s="863" t="s">
        <v>1150</v>
      </c>
      <c r="G40" s="1189">
        <f>SUM(G38:G39)</f>
        <v>2330.331414121431</v>
      </c>
      <c r="H40" s="72"/>
      <c r="I40" s="72"/>
      <c r="J40" s="864"/>
      <c r="K40" s="864"/>
    </row>
    <row r="41" spans="2:11" ht="31.5">
      <c r="B41" s="72"/>
      <c r="C41" s="863"/>
      <c r="D41" s="1178"/>
      <c r="E41" s="72"/>
      <c r="F41" s="1056" t="s">
        <v>1676</v>
      </c>
      <c r="G41" s="1178">
        <f>G40/365</f>
        <v>6.3844696277299482</v>
      </c>
      <c r="H41" s="72"/>
      <c r="I41" s="72"/>
      <c r="J41" s="864"/>
      <c r="K41" s="864"/>
    </row>
    <row r="42" spans="2:11">
      <c r="B42" s="72"/>
      <c r="C42" s="863"/>
      <c r="D42" s="1178"/>
      <c r="E42" s="72"/>
      <c r="F42" s="1056"/>
      <c r="G42" s="1178"/>
      <c r="H42" s="72"/>
      <c r="I42" s="72"/>
      <c r="J42" s="864"/>
      <c r="K42" s="864"/>
    </row>
    <row r="43" spans="2:11">
      <c r="B43" s="72"/>
      <c r="C43" s="765" t="s">
        <v>1374</v>
      </c>
      <c r="D43" s="1178"/>
      <c r="E43" s="72"/>
      <c r="F43" s="765" t="s">
        <v>1374</v>
      </c>
      <c r="G43" s="1178"/>
      <c r="H43" s="72"/>
      <c r="I43" s="72"/>
      <c r="J43" s="72"/>
      <c r="K43" s="72"/>
    </row>
    <row r="44" spans="2:11" ht="16.5" thickBot="1">
      <c r="B44" s="72"/>
      <c r="C44" s="865" t="s">
        <v>1678</v>
      </c>
      <c r="D44" s="1187">
        <f>'Economics '!C3</f>
        <v>1919.4865854265838</v>
      </c>
      <c r="E44" s="72"/>
      <c r="F44" s="909" t="s">
        <v>1679</v>
      </c>
      <c r="G44" s="1187">
        <f>'Economics '!C4</f>
        <v>3082.9299018184479</v>
      </c>
      <c r="H44" s="72"/>
      <c r="I44" s="72"/>
      <c r="J44" s="72"/>
      <c r="K44" s="72"/>
    </row>
    <row r="45" spans="2:11">
      <c r="B45" s="72"/>
      <c r="C45" s="72"/>
      <c r="D45" s="1053"/>
      <c r="E45" s="72"/>
      <c r="F45" s="790"/>
      <c r="G45" s="1053"/>
      <c r="H45" s="72"/>
      <c r="I45" s="72"/>
      <c r="J45" s="72"/>
      <c r="K45" s="72"/>
    </row>
    <row r="46" spans="2:11">
      <c r="B46" s="72"/>
      <c r="C46" s="72"/>
      <c r="D46" s="1053"/>
      <c r="E46" s="72"/>
      <c r="F46" s="790"/>
      <c r="G46" s="1053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86" t="s">
        <v>1549</v>
      </c>
      <c r="D48" s="916"/>
      <c r="E48" s="787"/>
      <c r="F48" s="72"/>
      <c r="G48" s="72"/>
      <c r="H48" s="72"/>
      <c r="I48" s="72"/>
      <c r="J48" s="72"/>
      <c r="K48" s="72"/>
    </row>
    <row r="49" spans="2:11">
      <c r="B49" s="72"/>
      <c r="C49" s="866"/>
      <c r="D49" s="915"/>
      <c r="E49" s="867"/>
      <c r="F49" s="72"/>
      <c r="G49" s="72"/>
      <c r="H49" s="72"/>
      <c r="I49" s="72"/>
      <c r="J49" s="72"/>
      <c r="K49" s="72"/>
    </row>
    <row r="50" spans="2:11">
      <c r="B50" s="72"/>
      <c r="C50" s="765" t="str">
        <f>'Water Impacts'!A9</f>
        <v>Water use per crop (m3)</v>
      </c>
      <c r="D50" s="1203" t="str">
        <f>'Water Impacts'!B9</f>
        <v>feed</v>
      </c>
      <c r="E50" s="1204" t="s">
        <v>1491</v>
      </c>
      <c r="F50" s="72"/>
      <c r="G50" s="72"/>
      <c r="H50" s="72"/>
      <c r="I50" s="72"/>
      <c r="J50" s="72"/>
      <c r="K50" s="72"/>
    </row>
    <row r="51" spans="2:11">
      <c r="B51" s="72"/>
      <c r="C51" s="863" t="str">
        <f>'Water Impacts'!A10</f>
        <v>Concentrate (commercial)</v>
      </c>
      <c r="D51" s="1205">
        <f>'Water Impacts'!B10</f>
        <v>0</v>
      </c>
      <c r="E51" s="1195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99" t="str">
        <f>'Water Impacts'!A11</f>
        <v xml:space="preserve">Naturally occuring pasture - green fodder </v>
      </c>
      <c r="D52" s="1206">
        <f>'Water Impacts'!B11</f>
        <v>101.6608285234733</v>
      </c>
      <c r="E52" s="1207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99" t="str">
        <f>'Water Impacts'!A12</f>
        <v>Maize (Zea mays)-stover</v>
      </c>
      <c r="D53" s="1206">
        <f>'Water Impacts'!B12</f>
        <v>281.61173974089979</v>
      </c>
      <c r="E53" s="1207">
        <f>'Water Impacts'!C12</f>
        <v>68.075283882474196</v>
      </c>
      <c r="F53" s="72"/>
      <c r="G53" s="72"/>
      <c r="H53" s="72"/>
      <c r="I53" s="72"/>
      <c r="J53" s="72"/>
      <c r="K53" s="72"/>
    </row>
    <row r="54" spans="2:11">
      <c r="B54" s="72"/>
      <c r="C54" s="899" t="str">
        <f>'Water Impacts'!A13</f>
        <v>Guatemala grass (Tripsacum andersonii) - forage</v>
      </c>
      <c r="D54" s="1206">
        <f>'Water Impacts'!B13</f>
        <v>35.273872905591901</v>
      </c>
      <c r="E54" s="1207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99" t="str">
        <f>'Water Impacts'!A14</f>
        <v>Rhodes grass (Chloris gayana) - forage</v>
      </c>
      <c r="D55" s="1206">
        <f>'Water Impacts'!B14</f>
        <v>129.93978149779815</v>
      </c>
      <c r="E55" s="1207">
        <f>'Water Impacts'!C14</f>
        <v>0</v>
      </c>
      <c r="F55" s="72"/>
      <c r="G55" s="72"/>
      <c r="H55" s="72"/>
      <c r="I55" s="72"/>
      <c r="J55" s="72"/>
      <c r="K55" s="72"/>
    </row>
    <row r="56" spans="2:11">
      <c r="B56" s="72"/>
      <c r="C56" s="899" t="str">
        <f>'Water Impacts'!A15</f>
        <v>Napier grass (Pennisetum purpureum) - forage</v>
      </c>
      <c r="D56" s="1206">
        <f>'Water Impacts'!B15</f>
        <v>19.592785619210741</v>
      </c>
      <c r="E56" s="1207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99" t="str">
        <f>'Water Impacts'!A16</f>
        <v>N/A</v>
      </c>
      <c r="D57" s="1206">
        <f>'Water Impacts'!B16</f>
        <v>0</v>
      </c>
      <c r="E57" s="1207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99" t="str">
        <f>'Water Impacts'!A17</f>
        <v>total</v>
      </c>
      <c r="D58" s="1206">
        <f>'Water Impacts'!B17</f>
        <v>568.07900828697382</v>
      </c>
      <c r="E58" s="1207">
        <f>'Water Impacts'!C17</f>
        <v>68.075283882474196</v>
      </c>
      <c r="F58" s="72"/>
      <c r="G58" s="72"/>
      <c r="H58" s="72"/>
      <c r="I58" s="72"/>
      <c r="J58" s="72"/>
      <c r="K58" s="72"/>
    </row>
    <row r="59" spans="2:11">
      <c r="B59" s="72"/>
      <c r="C59" s="614"/>
      <c r="D59" s="1208"/>
      <c r="E59" s="1209"/>
      <c r="F59" s="72"/>
      <c r="G59" s="72"/>
      <c r="H59" s="72"/>
      <c r="I59" s="72"/>
      <c r="J59" s="72"/>
      <c r="K59" s="72"/>
    </row>
    <row r="60" spans="2:11">
      <c r="B60" s="72"/>
      <c r="C60" s="614"/>
      <c r="D60" s="1208"/>
      <c r="E60" s="1209"/>
      <c r="F60" s="72"/>
      <c r="G60" s="72"/>
      <c r="H60" s="72"/>
      <c r="I60" s="72"/>
      <c r="J60" s="72"/>
      <c r="K60" s="72"/>
    </row>
    <row r="61" spans="2:11">
      <c r="B61" s="72"/>
      <c r="C61" s="900" t="s">
        <v>1435</v>
      </c>
      <c r="D61" s="1203" t="str">
        <f>D50</f>
        <v>feed</v>
      </c>
      <c r="E61" s="1204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99" t="str">
        <f t="shared" ref="C62:C69" si="0">C51</f>
        <v>Concentrate (commercial)</v>
      </c>
      <c r="D62" s="1210">
        <f>'Soil impacts'!G9</f>
        <v>0</v>
      </c>
      <c r="E62" s="1211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99" t="str">
        <f t="shared" si="0"/>
        <v xml:space="preserve">Naturally occuring pasture - green fodder </v>
      </c>
      <c r="D63" s="1210">
        <f>'Soil impacts'!G10</f>
        <v>-3.0584391949271699</v>
      </c>
      <c r="E63" s="1211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99" t="str">
        <f t="shared" si="0"/>
        <v>Maize (Zea mays)-stover</v>
      </c>
      <c r="D64" s="1210">
        <f>'Soil impacts'!G11</f>
        <v>0.23445500007124437</v>
      </c>
      <c r="E64" s="1211">
        <f>'Soil impacts'!I11</f>
        <v>0.30635606049355829</v>
      </c>
      <c r="F64" s="72"/>
      <c r="G64" s="72"/>
      <c r="H64" s="72"/>
      <c r="I64" s="72"/>
      <c r="J64" s="72"/>
      <c r="K64" s="72"/>
    </row>
    <row r="65" spans="2:11">
      <c r="B65" s="72"/>
      <c r="C65" s="899" t="str">
        <f t="shared" si="0"/>
        <v>Guatemala grass (Tripsacum andersonii) - forage</v>
      </c>
      <c r="D65" s="1210">
        <f>'Soil impacts'!G12</f>
        <v>-4.9116053057977851</v>
      </c>
      <c r="E65" s="1211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99" t="str">
        <f t="shared" si="0"/>
        <v>Rhodes grass (Chloris gayana) - forage</v>
      </c>
      <c r="D66" s="1210">
        <f>'Soil impacts'!G13</f>
        <v>-14.942937361787907</v>
      </c>
      <c r="E66" s="1211">
        <f>'Soil impacts'!I13</f>
        <v>0</v>
      </c>
      <c r="F66" s="72"/>
      <c r="G66" s="72"/>
      <c r="H66" s="72"/>
      <c r="I66" s="72"/>
      <c r="J66" s="72"/>
      <c r="K66" s="72"/>
    </row>
    <row r="67" spans="2:11">
      <c r="B67" s="72"/>
      <c r="C67" s="899" t="str">
        <f t="shared" si="0"/>
        <v>Napier grass (Pennisetum purpureum) - forage</v>
      </c>
      <c r="D67" s="1210">
        <f>'Soil impacts'!G14</f>
        <v>-1.8812257700593147</v>
      </c>
      <c r="E67" s="1211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99" t="str">
        <f t="shared" si="0"/>
        <v>N/A</v>
      </c>
      <c r="D68" s="1210">
        <f>'Soil impacts'!G15</f>
        <v>0</v>
      </c>
      <c r="E68" s="1211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99" t="str">
        <f t="shared" si="0"/>
        <v>total</v>
      </c>
      <c r="D69" s="1210">
        <f>'Soil impacts'!G16</f>
        <v>-24.559752632500931</v>
      </c>
      <c r="E69" s="1211">
        <f>'Soil impacts'!I16</f>
        <v>0.30635606049355829</v>
      </c>
      <c r="F69" s="72"/>
      <c r="G69" s="72"/>
      <c r="H69" s="72"/>
      <c r="I69" s="72"/>
      <c r="J69" s="72"/>
      <c r="K69" s="72"/>
    </row>
    <row r="70" spans="2:11">
      <c r="B70" s="72"/>
      <c r="C70" s="614"/>
      <c r="D70" s="1212"/>
      <c r="E70" s="1213"/>
      <c r="F70" s="72"/>
      <c r="G70" s="72"/>
      <c r="H70" s="72"/>
      <c r="I70" s="72"/>
      <c r="J70" s="72"/>
      <c r="K70" s="72"/>
    </row>
    <row r="71" spans="2:11">
      <c r="B71" s="72"/>
      <c r="C71" s="900" t="s">
        <v>1436</v>
      </c>
      <c r="D71" s="1214" t="s">
        <v>1421</v>
      </c>
      <c r="E71" s="1215" t="s">
        <v>1491</v>
      </c>
      <c r="F71" s="72"/>
      <c r="G71" s="72"/>
      <c r="H71" s="72"/>
      <c r="I71" s="72"/>
      <c r="J71" s="72"/>
      <c r="K71" s="72"/>
    </row>
    <row r="72" spans="2:11">
      <c r="B72" s="72"/>
      <c r="C72" s="899" t="str">
        <f t="shared" ref="C72:C79" si="1">C62</f>
        <v>Concentrate (commercial)</v>
      </c>
      <c r="D72" s="1210">
        <f>'Land requirements'!E4</f>
        <v>0</v>
      </c>
      <c r="E72" s="1211">
        <f>SUM('Land Requirement '!J16+'Land Requirement '!K16)</f>
        <v>0</v>
      </c>
      <c r="F72" s="72"/>
      <c r="G72" s="72"/>
      <c r="H72" s="72"/>
      <c r="I72" s="72"/>
      <c r="J72" s="72"/>
      <c r="K72" s="72"/>
    </row>
    <row r="73" spans="2:11">
      <c r="B73" s="72"/>
      <c r="C73" s="899" t="str">
        <f t="shared" si="1"/>
        <v xml:space="preserve">Naturally occuring pasture - green fodder </v>
      </c>
      <c r="D73" s="1210">
        <f>'Land requirements'!E5</f>
        <v>0.11605117411355399</v>
      </c>
      <c r="E73" s="1211">
        <f>SUM('Land Requirement '!V16+'Land Requirement '!W16)</f>
        <v>0</v>
      </c>
      <c r="F73" s="72"/>
      <c r="G73" s="72"/>
      <c r="H73" s="72"/>
      <c r="I73" s="72"/>
      <c r="J73" s="72"/>
      <c r="K73" s="72"/>
    </row>
    <row r="74" spans="2:11">
      <c r="B74" s="72"/>
      <c r="C74" s="899" t="str">
        <f t="shared" si="1"/>
        <v>Maize (Zea mays)-stover</v>
      </c>
      <c r="D74" s="1210">
        <f>'Land requirements'!E6</f>
        <v>0.36847947694770705</v>
      </c>
      <c r="E74" s="1211">
        <f>SUM('Land Requirement '!AH16+'Land Requirement '!AI16)</f>
        <v>8.9074216228200997E-2</v>
      </c>
      <c r="F74" s="72"/>
      <c r="G74" s="72"/>
      <c r="H74" s="72"/>
      <c r="I74" s="72"/>
      <c r="J74" s="72"/>
      <c r="K74" s="72"/>
    </row>
    <row r="75" spans="2:11">
      <c r="B75" s="72"/>
      <c r="C75" s="899" t="str">
        <f t="shared" si="1"/>
        <v>Guatemala grass (Tripsacum andersonii) - forage</v>
      </c>
      <c r="D75" s="1210">
        <f>'Land requirements'!E7</f>
        <v>2.6356567550878132E-2</v>
      </c>
      <c r="E75" s="1211">
        <f>SUM('Land Requirement '!AT16+'Land Requirement '!AU16)</f>
        <v>0</v>
      </c>
      <c r="F75" s="72"/>
      <c r="G75" s="72"/>
      <c r="H75" s="72"/>
      <c r="I75" s="72"/>
      <c r="J75" s="72"/>
      <c r="K75" s="72"/>
    </row>
    <row r="76" spans="2:11">
      <c r="B76" s="72"/>
      <c r="C76" s="899" t="str">
        <f t="shared" si="1"/>
        <v>Rhodes grass (Chloris gayana) - forage</v>
      </c>
      <c r="D76" s="1210">
        <f>'Land requirements'!E8</f>
        <v>9.7090745826499264E-2</v>
      </c>
      <c r="E76" s="1211">
        <f>SUM('Land Requirement '!BF16+'Land Requirement '!BG16)</f>
        <v>0</v>
      </c>
      <c r="F76" s="72"/>
      <c r="G76" s="72"/>
      <c r="H76" s="72"/>
      <c r="I76" s="72"/>
      <c r="J76" s="72"/>
      <c r="K76" s="72"/>
    </row>
    <row r="77" spans="2:11">
      <c r="B77" s="72"/>
      <c r="C77" s="899" t="str">
        <f t="shared" si="1"/>
        <v>Napier grass (Pennisetum purpureum) - forage</v>
      </c>
      <c r="D77" s="1210">
        <f>'Land requirements'!E9</f>
        <v>1.4639690375499932E-2</v>
      </c>
      <c r="E77" s="1211">
        <f>SUM('Land Requirement '!BR16+'Land Requirement '!BS16)</f>
        <v>0</v>
      </c>
      <c r="F77" s="72"/>
      <c r="G77" s="72"/>
      <c r="H77" s="72"/>
      <c r="I77" s="72"/>
      <c r="J77" s="72"/>
      <c r="K77" s="72"/>
    </row>
    <row r="78" spans="2:11">
      <c r="B78" s="72"/>
      <c r="C78" s="899" t="str">
        <f t="shared" si="1"/>
        <v>N/A</v>
      </c>
      <c r="D78" s="1210">
        <f>'Land requirements'!E10</f>
        <v>0</v>
      </c>
      <c r="E78" s="1211">
        <f>SUM('Land Requirement '!CD16+'Land Requirement '!CE16)</f>
        <v>0</v>
      </c>
      <c r="F78" s="72"/>
      <c r="G78" s="72"/>
      <c r="H78" s="72"/>
      <c r="I78" s="72"/>
      <c r="J78" s="72"/>
      <c r="K78" s="72"/>
    </row>
    <row r="79" spans="2:11" ht="16.5" thickBot="1">
      <c r="C79" s="901" t="str">
        <f t="shared" si="1"/>
        <v>total</v>
      </c>
      <c r="D79" s="1216">
        <f>SUM(D72:D78)</f>
        <v>0.62261765481413833</v>
      </c>
      <c r="E79" s="1217">
        <f>SUM(E72:E78)</f>
        <v>8.9074216228200997E-2</v>
      </c>
      <c r="F79" s="72"/>
      <c r="G79" s="72"/>
      <c r="H79" s="72"/>
      <c r="I79" s="72"/>
      <c r="J79" s="72"/>
      <c r="K79" s="72"/>
    </row>
    <row r="80" spans="2:11">
      <c r="C80" s="426"/>
      <c r="D80" s="426"/>
      <c r="E80" s="426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sheetProtection sheet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78"/>
  <sheetViews>
    <sheetView workbookViewId="0">
      <selection activeCell="L9" sqref="L9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26"/>
      <c r="C1" s="118"/>
      <c r="D1" s="426"/>
      <c r="E1" s="426"/>
      <c r="F1" s="321"/>
      <c r="G1" s="1126"/>
      <c r="H1" s="1127"/>
    </row>
    <row r="2" spans="1:8" ht="31.5">
      <c r="A2" s="834" t="s">
        <v>781</v>
      </c>
      <c r="B2" s="431" t="s">
        <v>816</v>
      </c>
      <c r="C2" s="427" t="s">
        <v>813</v>
      </c>
      <c r="D2" s="368">
        <v>1400</v>
      </c>
      <c r="G2" s="1126"/>
      <c r="H2" s="1127"/>
    </row>
    <row r="3" spans="1:8">
      <c r="A3" s="835"/>
      <c r="B3" s="34" t="s">
        <v>1019</v>
      </c>
      <c r="C3" s="92" t="s">
        <v>1089</v>
      </c>
      <c r="D3" s="682">
        <v>7</v>
      </c>
      <c r="G3" s="1126"/>
      <c r="H3" s="1127"/>
    </row>
    <row r="4" spans="1:8">
      <c r="A4" s="835"/>
      <c r="B4" s="24" t="s">
        <v>818</v>
      </c>
      <c r="C4" s="27" t="s">
        <v>814</v>
      </c>
      <c r="D4" s="682" t="s">
        <v>871</v>
      </c>
      <c r="E4" s="72"/>
      <c r="G4" s="1126"/>
      <c r="H4" s="1127"/>
    </row>
    <row r="5" spans="1:8">
      <c r="A5" s="835"/>
      <c r="B5" s="24" t="s">
        <v>817</v>
      </c>
      <c r="C5" s="27" t="s">
        <v>815</v>
      </c>
      <c r="D5" s="682">
        <v>0.3</v>
      </c>
      <c r="E5" s="72"/>
      <c r="G5" s="1126"/>
      <c r="H5" s="1127"/>
    </row>
    <row r="6" spans="1:8">
      <c r="A6" s="835"/>
      <c r="B6" s="24" t="s">
        <v>819</v>
      </c>
      <c r="C6" s="27" t="s">
        <v>815</v>
      </c>
      <c r="D6" s="682">
        <v>1.3</v>
      </c>
      <c r="E6" s="72"/>
      <c r="G6" s="1126" t="s">
        <v>947</v>
      </c>
      <c r="H6" s="1127"/>
    </row>
    <row r="7" spans="1:8">
      <c r="A7" s="835"/>
      <c r="B7" s="24" t="s">
        <v>901</v>
      </c>
      <c r="C7" s="27" t="s">
        <v>90</v>
      </c>
      <c r="D7" s="370">
        <v>34</v>
      </c>
      <c r="E7" s="72"/>
      <c r="G7" s="1126"/>
      <c r="H7" s="1127"/>
    </row>
    <row r="8" spans="1:8">
      <c r="A8" s="835"/>
      <c r="B8" s="432" t="s">
        <v>1088</v>
      </c>
      <c r="C8" s="168" t="s">
        <v>906</v>
      </c>
      <c r="D8" s="370">
        <v>1.5</v>
      </c>
      <c r="E8" s="72"/>
      <c r="G8" s="1126"/>
      <c r="H8" s="1127"/>
    </row>
    <row r="9" spans="1:8" ht="16.5" thickBot="1">
      <c r="A9" s="836"/>
      <c r="B9" s="433" t="s">
        <v>1090</v>
      </c>
      <c r="C9" s="246" t="s">
        <v>909</v>
      </c>
      <c r="D9" s="682">
        <v>2</v>
      </c>
      <c r="E9" s="72"/>
      <c r="G9" s="1126"/>
      <c r="H9" s="1127"/>
    </row>
    <row r="10" spans="1:8" ht="19.5" thickBot="1">
      <c r="B10" s="706" t="s">
        <v>1328</v>
      </c>
      <c r="C10" s="707" t="s">
        <v>1329</v>
      </c>
      <c r="D10" s="682">
        <v>1460</v>
      </c>
      <c r="G10" s="1127"/>
      <c r="H10" s="1127"/>
    </row>
    <row r="12" spans="1:8" ht="16.5" thickBot="1"/>
    <row r="13" spans="1:8" ht="30">
      <c r="A13" s="1127"/>
      <c r="B13" s="1128"/>
      <c r="C13" s="1405"/>
      <c r="D13" s="1129" t="s">
        <v>1437</v>
      </c>
      <c r="E13" s="1130" t="s">
        <v>1438</v>
      </c>
      <c r="F13" s="1130" t="s">
        <v>685</v>
      </c>
      <c r="G13" s="1218" t="s">
        <v>723</v>
      </c>
    </row>
    <row r="14" spans="1:8" ht="30">
      <c r="A14" s="1127"/>
      <c r="B14" s="1128"/>
      <c r="C14" s="1406"/>
      <c r="D14" s="813"/>
      <c r="E14" s="813" t="s">
        <v>1439</v>
      </c>
      <c r="F14" s="813" t="s">
        <v>685</v>
      </c>
      <c r="G14" s="1219" t="s">
        <v>732</v>
      </c>
    </row>
    <row r="15" spans="1:8" ht="45">
      <c r="A15" s="1127"/>
      <c r="B15" s="1128"/>
      <c r="C15" s="1406"/>
      <c r="D15" s="813"/>
      <c r="E15" s="813" t="s">
        <v>1440</v>
      </c>
      <c r="F15" s="813" t="s">
        <v>685</v>
      </c>
      <c r="G15" s="1219" t="s">
        <v>742</v>
      </c>
    </row>
    <row r="16" spans="1:8" ht="30">
      <c r="A16" s="1127"/>
      <c r="B16" s="1128"/>
      <c r="C16" s="1406"/>
      <c r="D16" s="813" t="s">
        <v>1441</v>
      </c>
      <c r="E16" s="813" t="s">
        <v>1442</v>
      </c>
      <c r="F16" s="813" t="s">
        <v>612</v>
      </c>
      <c r="G16" s="1219" t="s">
        <v>755</v>
      </c>
    </row>
    <row r="17" spans="1:7" ht="90">
      <c r="A17" s="1127"/>
      <c r="B17" s="1128"/>
      <c r="C17" s="1406"/>
      <c r="D17" s="813"/>
      <c r="E17" s="813" t="s">
        <v>1443</v>
      </c>
      <c r="F17" s="813" t="s">
        <v>685</v>
      </c>
      <c r="G17" s="1219" t="s">
        <v>761</v>
      </c>
    </row>
    <row r="18" spans="1:7" ht="45">
      <c r="A18" s="1127"/>
      <c r="B18" s="1128"/>
      <c r="C18" s="1406"/>
      <c r="D18" s="814" t="s">
        <v>1444</v>
      </c>
      <c r="E18" s="814" t="s">
        <v>1445</v>
      </c>
      <c r="F18" s="814" t="s">
        <v>134</v>
      </c>
      <c r="G18" s="1219">
        <v>0</v>
      </c>
    </row>
    <row r="19" spans="1:7" ht="45.75" thickBot="1">
      <c r="A19" s="1127"/>
      <c r="B19" s="1128"/>
      <c r="C19" s="1407"/>
      <c r="D19" s="815" t="s">
        <v>1446</v>
      </c>
      <c r="E19" s="815" t="s">
        <v>1447</v>
      </c>
      <c r="F19" s="815" t="s">
        <v>1274</v>
      </c>
      <c r="G19" s="1220">
        <v>0</v>
      </c>
    </row>
    <row r="20" spans="1:7">
      <c r="A20" s="1127"/>
      <c r="B20" s="1127"/>
    </row>
    <row r="21" spans="1:7">
      <c r="A21" s="1127"/>
      <c r="B21" s="1127"/>
    </row>
    <row r="22" spans="1:7">
      <c r="A22" s="1127"/>
      <c r="B22" s="1127"/>
    </row>
    <row r="23" spans="1:7">
      <c r="A23" s="1127"/>
      <c r="B23" s="1127"/>
    </row>
    <row r="78" spans="4:4">
      <c r="D78" t="e">
        <f>'Area Parameters'!L1=VLOOKUP(C78,FEED_P[],9,FALSE)</f>
        <v>#N/A</v>
      </c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Y93"/>
  <sheetViews>
    <sheetView workbookViewId="0">
      <selection activeCell="H15" sqref="H15"/>
    </sheetView>
  </sheetViews>
  <sheetFormatPr defaultColWidth="8.875" defaultRowHeight="15.75"/>
  <cols>
    <col min="1" max="1" width="23.375" customWidth="1"/>
    <col min="2" max="3" width="13.25" customWidth="1"/>
    <col min="4" max="5" width="10.25" customWidth="1"/>
    <col min="6" max="6" width="11.25" style="874" customWidth="1"/>
    <col min="7" max="7" width="9.5" style="874" customWidth="1"/>
    <col min="8" max="8" width="14" style="874" customWidth="1"/>
    <col min="9" max="10" width="12.375" style="874" customWidth="1"/>
    <col min="11" max="11" width="12.25" style="874" customWidth="1"/>
    <col min="12" max="12" width="12.625" style="874" customWidth="1"/>
    <col min="13" max="13" width="10.5" style="874" customWidth="1"/>
    <col min="14" max="14" width="8.5" style="874" customWidth="1"/>
    <col min="15" max="15" width="7.875" style="874" customWidth="1"/>
    <col min="16" max="16" width="8" customWidth="1"/>
    <col min="17" max="17" width="8.375" customWidth="1"/>
    <col min="18" max="18" width="7.875" customWidth="1"/>
    <col min="19" max="19" width="6.5" customWidth="1"/>
    <col min="20" max="20" width="7.25" customWidth="1"/>
    <col min="21" max="21" width="7.875" customWidth="1"/>
    <col min="22" max="22" width="6.625" customWidth="1"/>
    <col min="44" max="44" width="17.125" bestFit="1" customWidth="1"/>
  </cols>
  <sheetData>
    <row r="1" spans="1:51">
      <c r="A1" s="768"/>
      <c r="B1" s="768"/>
      <c r="C1" s="768"/>
      <c r="D1" s="768"/>
      <c r="E1" s="768"/>
      <c r="F1" s="871"/>
      <c r="G1" s="871"/>
      <c r="H1" s="871"/>
      <c r="I1" s="871"/>
      <c r="J1" s="871"/>
      <c r="K1" s="871"/>
      <c r="L1" s="871"/>
      <c r="M1" s="871"/>
      <c r="N1" s="871"/>
      <c r="O1" s="871"/>
      <c r="P1" s="768"/>
      <c r="Q1" s="768"/>
      <c r="R1" s="768"/>
      <c r="S1" s="768"/>
      <c r="T1" s="768"/>
      <c r="U1" s="768"/>
      <c r="V1" s="768"/>
      <c r="W1" s="768"/>
      <c r="X1" s="768"/>
      <c r="Y1" s="768"/>
      <c r="Z1" s="768"/>
      <c r="AA1" s="768"/>
      <c r="AB1" s="768"/>
    </row>
    <row r="2" spans="1:51" s="147" customFormat="1" ht="16.5" thickBot="1">
      <c r="A2" s="11"/>
      <c r="B2" s="11"/>
      <c r="C2" s="11"/>
      <c r="D2" s="11"/>
      <c r="E2" s="11"/>
      <c r="F2" s="872"/>
      <c r="G2" s="872"/>
      <c r="H2" s="872"/>
      <c r="I2" s="872"/>
      <c r="J2" s="872"/>
      <c r="K2" s="872"/>
      <c r="L2" s="872"/>
      <c r="M2" s="872"/>
      <c r="N2" s="872"/>
      <c r="O2" s="872"/>
      <c r="P2" s="11"/>
      <c r="Q2" s="11"/>
      <c r="R2" s="11"/>
      <c r="S2" s="145"/>
      <c r="T2" s="11"/>
      <c r="U2" s="145"/>
      <c r="V2" s="145"/>
      <c r="W2" s="145"/>
      <c r="X2" s="145"/>
      <c r="Y2" s="145"/>
      <c r="Z2" s="769"/>
      <c r="AA2" s="769"/>
      <c r="AB2" s="769"/>
      <c r="AE2" s="23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s="156" customFormat="1" ht="63.75">
      <c r="A3" s="770" t="s">
        <v>87</v>
      </c>
      <c r="B3" s="771" t="s">
        <v>644</v>
      </c>
      <c r="C3" s="771" t="s">
        <v>1683</v>
      </c>
      <c r="D3" s="771" t="s">
        <v>1516</v>
      </c>
      <c r="E3" s="771" t="s">
        <v>1684</v>
      </c>
      <c r="F3" s="771" t="s">
        <v>1518</v>
      </c>
      <c r="G3" s="771" t="s">
        <v>1519</v>
      </c>
      <c r="H3" s="771" t="s">
        <v>1520</v>
      </c>
      <c r="I3" s="771" t="s">
        <v>1521</v>
      </c>
      <c r="J3" s="771" t="s">
        <v>1685</v>
      </c>
      <c r="K3" s="771" t="s">
        <v>1523</v>
      </c>
      <c r="L3" s="771" t="s">
        <v>1524</v>
      </c>
      <c r="M3" s="771" t="s">
        <v>1418</v>
      </c>
      <c r="N3" s="772" t="s">
        <v>1417</v>
      </c>
      <c r="O3" s="772" t="s">
        <v>1036</v>
      </c>
      <c r="P3" s="772" t="s">
        <v>1157</v>
      </c>
      <c r="Q3" s="772" t="s">
        <v>1158</v>
      </c>
      <c r="R3" s="772" t="s">
        <v>1159</v>
      </c>
      <c r="S3" s="771" t="s">
        <v>1160</v>
      </c>
      <c r="T3" s="772" t="s">
        <v>1403</v>
      </c>
      <c r="U3" s="771" t="s">
        <v>1402</v>
      </c>
      <c r="V3" s="771" t="s">
        <v>1161</v>
      </c>
      <c r="W3" s="773" t="s">
        <v>1162</v>
      </c>
      <c r="X3" s="1069"/>
      <c r="Y3" s="1052" t="s">
        <v>1671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51" s="147" customFormat="1">
      <c r="A4" s="793" t="s">
        <v>1408</v>
      </c>
      <c r="B4" s="1131">
        <v>0</v>
      </c>
      <c r="C4" s="1221">
        <f>2*INPUTS!L18</f>
        <v>0</v>
      </c>
      <c r="D4" s="1132">
        <v>0</v>
      </c>
      <c r="E4" s="1132">
        <v>0</v>
      </c>
      <c r="F4" s="1132">
        <v>0</v>
      </c>
      <c r="G4" s="1132"/>
      <c r="H4" s="1133">
        <v>0</v>
      </c>
      <c r="I4" s="1134"/>
      <c r="J4" s="1135">
        <v>0</v>
      </c>
      <c r="K4" s="1135">
        <v>0</v>
      </c>
      <c r="L4" s="1132"/>
      <c r="M4" s="1226">
        <f>INPUTS!E18</f>
        <v>0</v>
      </c>
      <c r="N4" s="1226">
        <f>INPUTS!F18</f>
        <v>0</v>
      </c>
      <c r="O4" s="1136">
        <v>0</v>
      </c>
      <c r="P4" s="1137">
        <v>0</v>
      </c>
      <c r="Q4" s="1137">
        <v>0</v>
      </c>
      <c r="R4" s="1137">
        <v>0</v>
      </c>
      <c r="S4" s="1137">
        <v>0</v>
      </c>
      <c r="T4" s="1137">
        <v>0</v>
      </c>
      <c r="U4" s="1137"/>
      <c r="V4" s="1136"/>
      <c r="W4" s="986">
        <v>0</v>
      </c>
      <c r="X4" s="1138"/>
      <c r="Y4" s="1228">
        <v>0</v>
      </c>
    </row>
    <row r="5" spans="1:51" s="147" customFormat="1">
      <c r="A5" s="793" t="s">
        <v>1409</v>
      </c>
      <c r="B5" s="1299">
        <v>381</v>
      </c>
      <c r="C5" s="1222">
        <v>0</v>
      </c>
      <c r="D5" s="1132">
        <v>2</v>
      </c>
      <c r="E5" s="1132">
        <f>30*5+30*8+30*14+30*23</f>
        <v>1500</v>
      </c>
      <c r="F5" s="1132">
        <v>5.5</v>
      </c>
      <c r="G5" s="1132"/>
      <c r="H5" s="1133">
        <v>1E-3</v>
      </c>
      <c r="I5" s="1134"/>
      <c r="J5" s="1135">
        <f>((0.025+0.045+0.075+0.14)*30)/0.7</f>
        <v>12.214285714285715</v>
      </c>
      <c r="K5" s="1135">
        <v>0.09</v>
      </c>
      <c r="L5" s="1132"/>
      <c r="M5" s="1226">
        <f>INPUTS!E19</f>
        <v>1525</v>
      </c>
      <c r="N5" s="1226">
        <f>INPUTS!F19</f>
        <v>0</v>
      </c>
      <c r="O5" s="1300">
        <v>1.2</v>
      </c>
      <c r="P5" s="1137">
        <v>3.7</v>
      </c>
      <c r="Q5" s="1137">
        <v>4.3</v>
      </c>
      <c r="R5" s="1136">
        <v>970</v>
      </c>
      <c r="S5" s="1137">
        <v>2200</v>
      </c>
      <c r="T5" s="1137">
        <v>26</v>
      </c>
      <c r="U5" s="1137"/>
      <c r="V5" s="1136"/>
      <c r="W5" s="986">
        <v>2.9000000000000001E-2</v>
      </c>
      <c r="X5" s="1138"/>
      <c r="Y5" s="1228" t="s">
        <v>1672</v>
      </c>
    </row>
    <row r="6" spans="1:51" s="147" customFormat="1">
      <c r="A6" s="793" t="s">
        <v>1102</v>
      </c>
      <c r="B6" s="1139">
        <v>0</v>
      </c>
      <c r="C6" s="1221">
        <f>2*INPUTS!L20</f>
        <v>0</v>
      </c>
      <c r="D6" s="1132">
        <v>0</v>
      </c>
      <c r="E6" s="1132"/>
      <c r="F6" s="1139"/>
      <c r="G6" s="1139"/>
      <c r="H6" s="1133">
        <v>0</v>
      </c>
      <c r="I6" s="1140"/>
      <c r="J6" s="1139"/>
      <c r="K6" s="1139"/>
      <c r="L6" s="1139"/>
      <c r="M6" s="1226">
        <f>INPUTS!E20</f>
        <v>0</v>
      </c>
      <c r="N6" s="1226">
        <f>INPUTS!F20</f>
        <v>0</v>
      </c>
      <c r="O6" s="1136"/>
      <c r="P6" s="1136"/>
      <c r="Q6" s="1136"/>
      <c r="R6" s="1136"/>
      <c r="S6" s="1137">
        <v>0</v>
      </c>
      <c r="T6" s="1137">
        <v>0</v>
      </c>
      <c r="U6" s="1137"/>
      <c r="V6" s="1136"/>
      <c r="W6" s="986">
        <v>0</v>
      </c>
      <c r="X6" s="1138"/>
      <c r="Y6" s="1228">
        <v>0</v>
      </c>
    </row>
    <row r="7" spans="1:51" s="147" customFormat="1">
      <c r="A7" s="793" t="s">
        <v>1043</v>
      </c>
      <c r="B7" s="1139">
        <v>0</v>
      </c>
      <c r="C7" s="1222">
        <f>2*INPUTS!L21</f>
        <v>0</v>
      </c>
      <c r="D7" s="1141">
        <v>0</v>
      </c>
      <c r="E7" s="1141"/>
      <c r="F7" s="1139"/>
      <c r="G7" s="1139">
        <v>0</v>
      </c>
      <c r="H7" s="1133">
        <v>0</v>
      </c>
      <c r="I7" s="1140"/>
      <c r="J7" s="1139"/>
      <c r="K7" s="1139"/>
      <c r="L7" s="1141">
        <v>0</v>
      </c>
      <c r="M7" s="1226">
        <f>INPUTS!E21</f>
        <v>0</v>
      </c>
      <c r="N7" s="1226">
        <f>INPUTS!F21</f>
        <v>0</v>
      </c>
      <c r="O7" s="1136"/>
      <c r="P7" s="1136"/>
      <c r="Q7" s="1136"/>
      <c r="R7" s="1136"/>
      <c r="S7" s="1137">
        <v>0</v>
      </c>
      <c r="T7" s="1137">
        <v>0</v>
      </c>
      <c r="U7" s="1137">
        <v>0</v>
      </c>
      <c r="V7" s="1136"/>
      <c r="W7" s="986">
        <v>0</v>
      </c>
      <c r="X7" s="1138"/>
      <c r="Y7" s="1228">
        <v>0</v>
      </c>
    </row>
    <row r="8" spans="1:51" s="147" customFormat="1">
      <c r="A8" s="793" t="s">
        <v>645</v>
      </c>
      <c r="B8" s="1139">
        <v>0</v>
      </c>
      <c r="C8" s="1221">
        <f>2*INPUTS!L22</f>
        <v>0</v>
      </c>
      <c r="D8" s="1141">
        <v>0</v>
      </c>
      <c r="E8" s="1141"/>
      <c r="F8" s="1139"/>
      <c r="G8" s="1139">
        <v>0</v>
      </c>
      <c r="H8" s="1133">
        <v>0</v>
      </c>
      <c r="I8" s="1140"/>
      <c r="J8" s="1139"/>
      <c r="K8" s="1139"/>
      <c r="L8" s="1141">
        <v>0</v>
      </c>
      <c r="M8" s="1226">
        <f>INPUTS!E22</f>
        <v>0</v>
      </c>
      <c r="N8" s="1226">
        <f>INPUTS!F22</f>
        <v>0</v>
      </c>
      <c r="O8" s="1136"/>
      <c r="P8" s="1136"/>
      <c r="Q8" s="1136"/>
      <c r="R8" s="1136"/>
      <c r="S8" s="1137">
        <v>0</v>
      </c>
      <c r="T8" s="1137">
        <v>0</v>
      </c>
      <c r="U8" s="1137">
        <v>0</v>
      </c>
      <c r="V8" s="1136"/>
      <c r="W8" s="986">
        <v>0</v>
      </c>
      <c r="X8" s="1138"/>
      <c r="Y8" s="1228">
        <v>0</v>
      </c>
    </row>
    <row r="9" spans="1:51" s="499" customFormat="1">
      <c r="A9" s="1301" t="s">
        <v>1354</v>
      </c>
      <c r="B9" s="1299">
        <v>290</v>
      </c>
      <c r="C9" s="1222">
        <v>0</v>
      </c>
      <c r="D9" s="1141">
        <v>1.5</v>
      </c>
      <c r="E9" s="1141"/>
      <c r="F9" s="1139"/>
      <c r="G9" s="1139">
        <v>50</v>
      </c>
      <c r="H9" s="1133">
        <v>1E-3</v>
      </c>
      <c r="I9" s="1302"/>
      <c r="J9" s="1139"/>
      <c r="K9" s="1139"/>
      <c r="L9" s="1141">
        <v>0.4</v>
      </c>
      <c r="M9" s="1221">
        <f>INPUTS!E23</f>
        <v>0</v>
      </c>
      <c r="N9" s="1221">
        <f>INPUTS!F23</f>
        <v>156</v>
      </c>
      <c r="O9" s="1136"/>
      <c r="P9" s="1136"/>
      <c r="Q9" s="1136"/>
      <c r="R9" s="1136"/>
      <c r="S9" s="1137">
        <v>2200</v>
      </c>
      <c r="T9" s="1137">
        <v>26</v>
      </c>
      <c r="U9" s="1137">
        <v>0.57999999999999996</v>
      </c>
      <c r="V9" s="1136"/>
      <c r="W9" s="986">
        <v>2.9000000000000001E-2</v>
      </c>
      <c r="X9" s="1303"/>
      <c r="Y9" s="1228" t="s">
        <v>1672</v>
      </c>
    </row>
    <row r="10" spans="1:51" s="147" customFormat="1">
      <c r="A10" s="793" t="s">
        <v>1355</v>
      </c>
      <c r="B10" s="1139">
        <v>0</v>
      </c>
      <c r="C10" s="1221">
        <f>2*INPUTS!L24</f>
        <v>0</v>
      </c>
      <c r="D10" s="1141"/>
      <c r="E10" s="1141"/>
      <c r="F10" s="1139"/>
      <c r="G10" s="1139">
        <v>0</v>
      </c>
      <c r="H10" s="1133">
        <v>0</v>
      </c>
      <c r="I10" s="1140"/>
      <c r="J10" s="1139"/>
      <c r="K10" s="1139"/>
      <c r="L10" s="1141">
        <v>0</v>
      </c>
      <c r="M10" s="1226">
        <f>INPUTS!E24</f>
        <v>0</v>
      </c>
      <c r="N10" s="1226">
        <f>INPUTS!F24</f>
        <v>0</v>
      </c>
      <c r="O10" s="1136"/>
      <c r="P10" s="1136"/>
      <c r="Q10" s="1136"/>
      <c r="R10" s="1136"/>
      <c r="S10" s="1137">
        <v>0</v>
      </c>
      <c r="T10" s="1137">
        <v>0</v>
      </c>
      <c r="U10" s="1137">
        <v>0</v>
      </c>
      <c r="V10" s="1136"/>
      <c r="W10" s="986">
        <v>0</v>
      </c>
      <c r="X10" s="1138"/>
      <c r="Y10" s="1228">
        <v>0</v>
      </c>
    </row>
    <row r="11" spans="1:51" s="147" customFormat="1">
      <c r="A11" s="793" t="s">
        <v>53</v>
      </c>
      <c r="B11" s="1142">
        <v>0</v>
      </c>
      <c r="C11" s="1223">
        <f>2*INPUTS!L25</f>
        <v>0</v>
      </c>
      <c r="D11" s="1143"/>
      <c r="E11" s="1143"/>
      <c r="F11" s="1144"/>
      <c r="G11" s="1144"/>
      <c r="H11" s="1145"/>
      <c r="I11" s="1146"/>
      <c r="J11" s="1144"/>
      <c r="K11" s="1144"/>
      <c r="L11" s="1144"/>
      <c r="M11" s="1226">
        <f>INPUTS!E25</f>
        <v>0</v>
      </c>
      <c r="N11" s="1226">
        <f>INPUTS!F25</f>
        <v>0</v>
      </c>
      <c r="O11" s="1136"/>
      <c r="P11" s="1137">
        <v>0</v>
      </c>
      <c r="Q11" s="1137">
        <v>0</v>
      </c>
      <c r="R11" s="1137">
        <v>0</v>
      </c>
      <c r="S11" s="1137">
        <v>0</v>
      </c>
      <c r="T11" s="1137"/>
      <c r="U11" s="1137"/>
      <c r="V11" s="1136"/>
      <c r="W11" s="986">
        <v>0</v>
      </c>
      <c r="X11" s="1138"/>
      <c r="Y11" s="1228">
        <v>0</v>
      </c>
    </row>
    <row r="12" spans="1:51" s="147" customFormat="1" ht="16.5" thickBot="1">
      <c r="A12" s="1147" t="s">
        <v>52</v>
      </c>
      <c r="B12" s="774">
        <v>0</v>
      </c>
      <c r="C12" s="1224">
        <f>2*INPUTS!L26</f>
        <v>0</v>
      </c>
      <c r="D12" s="1090"/>
      <c r="E12" s="1090"/>
      <c r="F12" s="876"/>
      <c r="G12" s="876"/>
      <c r="H12" s="877"/>
      <c r="I12" s="910"/>
      <c r="J12" s="876"/>
      <c r="K12" s="876"/>
      <c r="L12" s="876"/>
      <c r="M12" s="1227">
        <f>INPUTS!E26</f>
        <v>0</v>
      </c>
      <c r="N12" s="1227">
        <f>INPUTS!F26</f>
        <v>0</v>
      </c>
      <c r="O12" s="1225"/>
      <c r="P12" s="1070">
        <v>0</v>
      </c>
      <c r="Q12" s="1070">
        <v>0</v>
      </c>
      <c r="R12" s="1225">
        <v>0</v>
      </c>
      <c r="S12" s="1070">
        <v>0</v>
      </c>
      <c r="T12" s="1070"/>
      <c r="U12" s="1070"/>
      <c r="V12" s="1225"/>
      <c r="W12" s="987">
        <v>0</v>
      </c>
      <c r="X12" s="1071"/>
      <c r="Y12" s="1229">
        <v>0</v>
      </c>
    </row>
    <row r="13" spans="1:51" s="147" customFormat="1">
      <c r="A13" s="145"/>
      <c r="B13" s="145"/>
      <c r="C13" s="145"/>
      <c r="D13" s="145"/>
      <c r="E13" s="145"/>
      <c r="F13" s="873"/>
      <c r="G13" s="873"/>
      <c r="H13" s="873"/>
      <c r="I13" s="873"/>
      <c r="J13" s="873"/>
      <c r="K13" s="873"/>
      <c r="L13" s="873"/>
      <c r="M13" s="873"/>
      <c r="N13" s="873"/>
      <c r="O13" s="873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G13" s="232"/>
      <c r="AP13" s="230"/>
    </row>
    <row r="14" spans="1:51" s="147" customFormat="1">
      <c r="A14" s="768"/>
      <c r="B14" s="768"/>
      <c r="C14" s="768"/>
      <c r="D14" s="768"/>
      <c r="E14" s="768"/>
      <c r="F14" s="871"/>
      <c r="G14" s="871"/>
      <c r="H14" s="871"/>
      <c r="I14" s="871"/>
      <c r="J14" s="871"/>
      <c r="K14" s="871"/>
      <c r="L14" s="871"/>
      <c r="M14" s="871"/>
      <c r="N14" s="871"/>
      <c r="O14" s="871"/>
      <c r="P14" s="768"/>
      <c r="Q14" s="768"/>
      <c r="R14" s="768"/>
      <c r="S14" s="768"/>
      <c r="T14" s="768"/>
      <c r="U14" s="11" t="s">
        <v>920</v>
      </c>
      <c r="V14" s="145"/>
      <c r="W14" s="145"/>
      <c r="X14" s="145"/>
      <c r="Y14" s="145"/>
      <c r="Z14" s="145"/>
      <c r="AA14" s="145"/>
      <c r="AB14" s="145"/>
      <c r="AG14" s="232"/>
      <c r="AP14" s="230"/>
    </row>
    <row r="15" spans="1:51" s="147" customFormat="1">
      <c r="A15" s="768"/>
      <c r="B15" s="768"/>
      <c r="C15" s="768"/>
      <c r="D15" s="768"/>
      <c r="E15" s="768"/>
      <c r="F15" s="871"/>
      <c r="G15" s="871"/>
      <c r="H15" s="871"/>
      <c r="I15" s="871"/>
      <c r="J15" s="871"/>
      <c r="K15" s="871"/>
      <c r="L15" s="871"/>
      <c r="M15" s="871"/>
      <c r="N15" s="871"/>
      <c r="O15" s="871"/>
      <c r="P15" s="768"/>
      <c r="Q15" s="768"/>
      <c r="R15" s="768"/>
      <c r="S15" s="768"/>
      <c r="T15" s="768"/>
      <c r="U15" s="11" t="s">
        <v>919</v>
      </c>
      <c r="V15" s="145"/>
      <c r="W15" s="145"/>
      <c r="X15" s="145"/>
      <c r="Y15" s="145"/>
      <c r="Z15" s="145"/>
      <c r="AA15" s="145"/>
      <c r="AB15" s="145"/>
      <c r="AG15" s="232"/>
      <c r="AP15" s="230"/>
    </row>
    <row r="16" spans="1:51" s="147" customFormat="1">
      <c r="A16" s="768"/>
      <c r="B16" s="768"/>
      <c r="C16" s="768"/>
      <c r="D16" s="768"/>
      <c r="E16" s="768"/>
      <c r="F16" s="871"/>
      <c r="G16" s="871"/>
      <c r="H16" s="871"/>
      <c r="I16" s="871"/>
      <c r="J16" s="871"/>
      <c r="K16" s="871"/>
      <c r="L16" s="871"/>
      <c r="M16" s="871"/>
      <c r="N16" s="871"/>
      <c r="O16" s="871"/>
      <c r="P16" s="768"/>
      <c r="Q16" s="768"/>
      <c r="R16" s="768"/>
      <c r="S16" s="768"/>
      <c r="T16" s="768"/>
      <c r="U16" s="11" t="s">
        <v>923</v>
      </c>
      <c r="V16" s="145"/>
      <c r="W16" s="145"/>
      <c r="X16" s="145"/>
      <c r="Y16" s="145"/>
      <c r="Z16" s="145"/>
      <c r="AA16" s="145"/>
      <c r="AB16" s="145"/>
      <c r="AG16" s="232"/>
      <c r="AP16" s="230"/>
    </row>
    <row r="17" spans="1:42" s="147" customFormat="1">
      <c r="A17"/>
      <c r="B17"/>
      <c r="C17"/>
      <c r="D17" s="768"/>
      <c r="E17" s="768"/>
      <c r="F17" s="874"/>
      <c r="G17" s="874"/>
      <c r="H17" s="874"/>
      <c r="I17" s="874"/>
      <c r="J17" s="874"/>
      <c r="K17" s="874"/>
      <c r="L17" s="874"/>
      <c r="M17" s="874"/>
      <c r="N17" s="874"/>
      <c r="O17" s="874"/>
      <c r="P17"/>
      <c r="Q17"/>
      <c r="R17"/>
      <c r="S17"/>
      <c r="T17"/>
      <c r="U17" s="11"/>
      <c r="AG17" s="232"/>
      <c r="AP17" s="230"/>
    </row>
    <row r="18" spans="1:42" s="147" customFormat="1">
      <c r="A18"/>
      <c r="B18"/>
      <c r="C18"/>
      <c r="D18" s="768"/>
      <c r="E18" s="768"/>
      <c r="F18" s="874"/>
      <c r="G18" s="874"/>
      <c r="H18" s="874"/>
      <c r="I18" s="874"/>
      <c r="J18" s="874"/>
      <c r="K18" s="874"/>
      <c r="L18" s="874"/>
      <c r="M18" s="874"/>
      <c r="N18" s="874"/>
      <c r="O18" s="874"/>
      <c r="P18"/>
      <c r="Q18"/>
      <c r="R18"/>
      <c r="S18"/>
      <c r="T18"/>
      <c r="U18" s="11" t="s">
        <v>1051</v>
      </c>
      <c r="AG18" s="232"/>
      <c r="AP18" s="230"/>
    </row>
    <row r="19" spans="1:42" s="147" customFormat="1">
      <c r="A19"/>
      <c r="B19"/>
      <c r="C19"/>
      <c r="D19" s="768"/>
      <c r="E19" s="768"/>
      <c r="F19" s="874"/>
      <c r="G19" s="874"/>
      <c r="H19" s="874"/>
      <c r="I19" s="874"/>
      <c r="J19" s="874"/>
      <c r="K19" s="874"/>
      <c r="L19" s="874"/>
      <c r="M19" s="874"/>
      <c r="N19" s="874"/>
      <c r="O19" s="874"/>
      <c r="P19"/>
      <c r="Q19"/>
      <c r="R19"/>
      <c r="S19"/>
      <c r="T19"/>
      <c r="U19" s="495" t="s">
        <v>922</v>
      </c>
      <c r="Y19" s="270"/>
      <c r="AG19" s="232"/>
      <c r="AP19" s="230"/>
    </row>
    <row r="20" spans="1:42" s="147" customFormat="1">
      <c r="A20"/>
      <c r="B20"/>
      <c r="C20"/>
      <c r="D20" s="768"/>
      <c r="E20" s="768"/>
      <c r="F20" s="874"/>
      <c r="G20" s="874"/>
      <c r="H20" s="874"/>
      <c r="I20" s="874"/>
      <c r="J20" s="874"/>
      <c r="K20" s="874"/>
      <c r="L20" s="874"/>
      <c r="M20" s="874"/>
      <c r="N20" s="874"/>
      <c r="O20" s="874"/>
      <c r="P20"/>
      <c r="Q20"/>
      <c r="R20"/>
      <c r="S20"/>
      <c r="T20"/>
      <c r="U20" s="11"/>
      <c r="Y20" s="270"/>
      <c r="AG20" s="232"/>
      <c r="AP20" s="230"/>
    </row>
    <row r="21" spans="1:42" s="147" customFormat="1">
      <c r="A21"/>
      <c r="B21"/>
      <c r="C21"/>
      <c r="D21"/>
      <c r="E21"/>
      <c r="F21" s="874"/>
      <c r="G21" s="874"/>
      <c r="H21" s="874"/>
      <c r="I21" s="874"/>
      <c r="J21" s="874"/>
      <c r="K21" s="874"/>
      <c r="L21" s="874"/>
      <c r="M21" s="874"/>
      <c r="N21" s="874"/>
      <c r="O21" s="874"/>
      <c r="P21"/>
      <c r="Q21"/>
      <c r="R21"/>
      <c r="S21"/>
      <c r="T21"/>
      <c r="U21" s="11"/>
      <c r="AG21" s="232"/>
      <c r="AP21" s="230"/>
    </row>
    <row r="22" spans="1:42" s="147" customFormat="1">
      <c r="A22"/>
      <c r="B22"/>
      <c r="C22"/>
      <c r="D22"/>
      <c r="E22"/>
      <c r="F22" s="874"/>
      <c r="G22" s="874"/>
      <c r="H22" s="874"/>
      <c r="I22" s="874"/>
      <c r="J22" s="874"/>
      <c r="K22" s="874"/>
      <c r="L22" s="874"/>
      <c r="M22" s="874"/>
      <c r="N22" s="874"/>
      <c r="O22" s="874"/>
      <c r="P22"/>
      <c r="Q22"/>
      <c r="R22"/>
      <c r="S22"/>
      <c r="T22"/>
      <c r="U22" s="11"/>
      <c r="AG22" s="232"/>
      <c r="AP22" s="230"/>
    </row>
    <row r="23" spans="1:42" s="147" customFormat="1">
      <c r="A23"/>
      <c r="B23"/>
      <c r="C23"/>
      <c r="D23"/>
      <c r="E23"/>
      <c r="F23" s="874"/>
      <c r="G23" s="874"/>
      <c r="H23" s="874"/>
      <c r="I23" s="874"/>
      <c r="J23" s="874"/>
      <c r="K23" s="874"/>
      <c r="L23" s="874"/>
      <c r="M23" s="874"/>
      <c r="N23" s="874"/>
      <c r="O23" s="874"/>
      <c r="P23"/>
      <c r="Q23"/>
      <c r="R23"/>
      <c r="S23"/>
      <c r="T23"/>
      <c r="U23" s="11"/>
      <c r="AG23" s="232"/>
      <c r="AP23" s="230"/>
    </row>
    <row r="24" spans="1:42" s="147" customFormat="1">
      <c r="A24"/>
      <c r="B24"/>
      <c r="C24"/>
      <c r="D24"/>
      <c r="E24"/>
      <c r="F24" s="874"/>
      <c r="G24" s="874"/>
      <c r="H24" s="874"/>
      <c r="I24" s="874"/>
      <c r="J24" s="874"/>
      <c r="K24" s="874"/>
      <c r="L24" s="874"/>
      <c r="M24" s="874"/>
      <c r="N24" s="874"/>
      <c r="O24" s="874"/>
      <c r="P24"/>
      <c r="Q24"/>
      <c r="R24"/>
      <c r="S24"/>
      <c r="T24"/>
      <c r="U24" s="11"/>
      <c r="AG24" s="232"/>
      <c r="AP24" s="230"/>
    </row>
    <row r="25" spans="1:42" s="147" customFormat="1">
      <c r="A25"/>
      <c r="B25"/>
      <c r="C25"/>
      <c r="D25"/>
      <c r="E25"/>
      <c r="F25" s="874"/>
      <c r="G25" s="874"/>
      <c r="H25" s="874"/>
      <c r="I25" s="874"/>
      <c r="J25" s="874"/>
      <c r="K25" s="874"/>
      <c r="L25" s="874"/>
      <c r="M25" s="874"/>
      <c r="N25" s="874"/>
      <c r="O25" s="874"/>
      <c r="P25"/>
      <c r="Q25"/>
      <c r="R25"/>
      <c r="S25"/>
      <c r="T25"/>
      <c r="U25" s="11"/>
      <c r="AG25" s="232"/>
      <c r="AP25" s="230"/>
    </row>
    <row r="26" spans="1:42" s="147" customFormat="1">
      <c r="A26"/>
      <c r="B26"/>
      <c r="C26"/>
      <c r="D26"/>
      <c r="E26"/>
      <c r="F26" s="874"/>
      <c r="G26" s="874"/>
      <c r="H26" s="874"/>
      <c r="I26" s="874"/>
      <c r="J26" s="874"/>
      <c r="K26" s="874"/>
      <c r="L26" s="874"/>
      <c r="M26" s="874"/>
      <c r="N26" s="874"/>
      <c r="O26" s="874"/>
      <c r="P26"/>
      <c r="Q26"/>
      <c r="R26"/>
      <c r="S26"/>
      <c r="T26"/>
      <c r="U26" s="11"/>
      <c r="AG26" s="232"/>
      <c r="AP26" s="230"/>
    </row>
    <row r="27" spans="1:42" s="147" customFormat="1">
      <c r="A27"/>
      <c r="B27"/>
      <c r="C27"/>
      <c r="D27"/>
      <c r="E27"/>
      <c r="F27" s="874"/>
      <c r="G27" s="874"/>
      <c r="H27" s="874"/>
      <c r="I27" s="874"/>
      <c r="J27" s="874"/>
      <c r="K27" s="874"/>
      <c r="L27" s="874"/>
      <c r="M27" s="874"/>
      <c r="N27" s="874"/>
      <c r="O27" s="874"/>
      <c r="P27"/>
      <c r="Q27"/>
      <c r="R27"/>
      <c r="S27"/>
      <c r="T27"/>
      <c r="U27" s="11"/>
    </row>
    <row r="28" spans="1:42" s="147" customFormat="1">
      <c r="A28"/>
      <c r="B28"/>
      <c r="C28"/>
      <c r="D28"/>
      <c r="E28"/>
      <c r="F28" s="874"/>
      <c r="G28" s="874"/>
      <c r="H28" s="874"/>
      <c r="I28" s="874"/>
      <c r="J28" s="874"/>
      <c r="K28" s="874"/>
      <c r="L28" s="874"/>
      <c r="M28" s="874"/>
      <c r="N28" s="874"/>
      <c r="O28" s="874"/>
      <c r="P28"/>
      <c r="Q28"/>
      <c r="R28"/>
      <c r="S28"/>
      <c r="T28"/>
    </row>
    <row r="93" spans="4:4">
      <c r="D93">
        <f>'Livestock parameters'!B6*'Livestock parameters'!H6*INPUTS!D20</f>
        <v>0</v>
      </c>
    </row>
  </sheetData>
  <sheetProtection selectLockedCells="1"/>
  <hyperlinks>
    <hyperlink ref="U19" r:id="rId1"/>
  </hyperlinks>
  <pageMargins left="0.7" right="0.7" top="0.75" bottom="0.75" header="0.3" footer="0.3"/>
  <pageSetup paperSize="9" orientation="portrait" r:id="rId2"/>
  <ignoredErrors>
    <ignoredError sqref="M4:N12 C4 C6:C8 C10:C12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1"/>
  <sheetViews>
    <sheetView workbookViewId="0">
      <selection activeCell="F10" sqref="F10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36" customFormat="1">
      <c r="A1" s="536" t="s">
        <v>1224</v>
      </c>
      <c r="B1" s="537"/>
    </row>
    <row r="2" spans="1:5">
      <c r="B2" s="37"/>
      <c r="C2" s="37"/>
      <c r="D2" s="37"/>
      <c r="E2" s="37"/>
    </row>
    <row r="3" spans="1:5">
      <c r="B3" s="613" t="s">
        <v>1227</v>
      </c>
      <c r="C3" s="13" t="s">
        <v>1376</v>
      </c>
      <c r="D3" s="13" t="s">
        <v>1228</v>
      </c>
    </row>
    <row r="4" spans="1:5">
      <c r="B4" s="17" t="s">
        <v>1232</v>
      </c>
      <c r="C4" s="1305">
        <v>5.7999999999999996E-3</v>
      </c>
      <c r="D4" s="13"/>
    </row>
    <row r="5" spans="1:5">
      <c r="B5" s="17" t="s">
        <v>1233</v>
      </c>
      <c r="C5" s="1305">
        <v>5.7999999999999996E-3</v>
      </c>
      <c r="D5" s="13"/>
    </row>
    <row r="6" spans="1:5">
      <c r="B6" s="17" t="s">
        <v>1234</v>
      </c>
      <c r="C6" s="1305">
        <v>5.7999999999999996E-3</v>
      </c>
      <c r="D6" s="13"/>
    </row>
    <row r="7" spans="1:5">
      <c r="B7" s="17" t="s">
        <v>1235</v>
      </c>
      <c r="C7" s="1305">
        <v>3</v>
      </c>
      <c r="D7" s="13"/>
    </row>
    <row r="8" spans="1:5">
      <c r="B8" s="17" t="s">
        <v>1236</v>
      </c>
      <c r="C8" s="374"/>
      <c r="D8" s="13"/>
    </row>
    <row r="9" spans="1:5">
      <c r="B9" s="17" t="s">
        <v>1237</v>
      </c>
      <c r="C9" s="374"/>
      <c r="D9" s="13"/>
    </row>
    <row r="10" spans="1:5">
      <c r="B10" s="17" t="s">
        <v>1246</v>
      </c>
      <c r="C10" s="1305">
        <v>0.35</v>
      </c>
      <c r="D10" s="13"/>
    </row>
    <row r="11" spans="1:5">
      <c r="B11" s="17" t="s">
        <v>1247</v>
      </c>
      <c r="C11" s="374"/>
      <c r="D11" s="13"/>
    </row>
    <row r="12" spans="1:5">
      <c r="B12" s="17" t="s">
        <v>1238</v>
      </c>
      <c r="C12" s="1305">
        <v>3.5</v>
      </c>
      <c r="D12" s="13"/>
    </row>
    <row r="13" spans="1:5">
      <c r="B13" s="603"/>
      <c r="C13" s="374"/>
      <c r="D13" s="13"/>
    </row>
    <row r="15" spans="1:5" s="665" customFormat="1">
      <c r="B15" s="665" t="s">
        <v>1282</v>
      </c>
    </row>
    <row r="16" spans="1:5" s="664" customFormat="1">
      <c r="B16" s="664" t="s">
        <v>1283</v>
      </c>
      <c r="C16" s="710">
        <v>52.09</v>
      </c>
    </row>
    <row r="18" spans="2:3" s="536" customFormat="1">
      <c r="B18" s="536" t="s">
        <v>1191</v>
      </c>
    </row>
    <row r="20" spans="2:3">
      <c r="B20" t="s">
        <v>1239</v>
      </c>
      <c r="C20" s="708">
        <v>0.1</v>
      </c>
    </row>
    <row r="21" spans="2:3">
      <c r="B21" t="s">
        <v>1240</v>
      </c>
      <c r="C21" s="709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16" workbookViewId="0">
      <selection activeCell="B13" sqref="B13:B15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816" t="s">
        <v>633</v>
      </c>
    </row>
    <row r="3" spans="1:7">
      <c r="B3" t="s">
        <v>557</v>
      </c>
      <c r="C3" t="s">
        <v>565</v>
      </c>
    </row>
    <row r="4" spans="1:7">
      <c r="A4" s="1414" t="s">
        <v>530</v>
      </c>
      <c r="B4" s="1415"/>
      <c r="C4" s="1415"/>
      <c r="D4" s="1415"/>
      <c r="E4" s="1416"/>
      <c r="F4" s="30"/>
    </row>
    <row r="5" spans="1:7" ht="32.25" thickBot="1">
      <c r="A5" s="88" t="s">
        <v>531</v>
      </c>
      <c r="B5" s="88" t="s">
        <v>532</v>
      </c>
      <c r="C5" s="88" t="s">
        <v>535</v>
      </c>
      <c r="D5" s="88" t="s">
        <v>533</v>
      </c>
      <c r="G5" s="88" t="s">
        <v>534</v>
      </c>
    </row>
    <row r="6" spans="1:7">
      <c r="A6" s="1424" t="s">
        <v>559</v>
      </c>
      <c r="B6" s="1444" t="s">
        <v>557</v>
      </c>
      <c r="C6" s="431" t="s">
        <v>537</v>
      </c>
      <c r="D6" s="431" t="s">
        <v>540</v>
      </c>
      <c r="E6" t="s">
        <v>720</v>
      </c>
      <c r="G6" s="443">
        <v>0.8</v>
      </c>
    </row>
    <row r="7" spans="1:7">
      <c r="A7" s="1425"/>
      <c r="B7" s="1428"/>
      <c r="C7" s="24"/>
      <c r="D7" s="24" t="s">
        <v>541</v>
      </c>
      <c r="E7" t="s">
        <v>721</v>
      </c>
      <c r="G7" s="817">
        <v>0.69</v>
      </c>
    </row>
    <row r="8" spans="1:7">
      <c r="A8" s="1425"/>
      <c r="B8" s="1428"/>
      <c r="C8" s="1419" t="s">
        <v>538</v>
      </c>
      <c r="D8" s="24" t="s">
        <v>540</v>
      </c>
      <c r="E8" t="s">
        <v>722</v>
      </c>
      <c r="G8" s="817">
        <v>0.57999999999999996</v>
      </c>
    </row>
    <row r="9" spans="1:7">
      <c r="A9" s="1425"/>
      <c r="B9" s="1428"/>
      <c r="C9" s="1420"/>
      <c r="D9" s="24" t="s">
        <v>542</v>
      </c>
      <c r="E9" t="s">
        <v>723</v>
      </c>
      <c r="G9" s="817">
        <v>0.48</v>
      </c>
    </row>
    <row r="10" spans="1:7">
      <c r="A10" s="1425"/>
      <c r="B10" s="1420"/>
      <c r="C10" s="24" t="s">
        <v>539</v>
      </c>
      <c r="D10" s="24" t="s">
        <v>543</v>
      </c>
      <c r="E10" t="s">
        <v>724</v>
      </c>
      <c r="G10" s="817">
        <v>0.64</v>
      </c>
    </row>
    <row r="11" spans="1:7">
      <c r="A11" s="1425"/>
      <c r="B11" s="27" t="s">
        <v>544</v>
      </c>
      <c r="C11" s="27" t="s">
        <v>545</v>
      </c>
      <c r="D11" s="24" t="s">
        <v>546</v>
      </c>
      <c r="E11" s="818" t="s">
        <v>544</v>
      </c>
      <c r="F11" s="818"/>
      <c r="G11" s="819">
        <v>1.1000000000000001</v>
      </c>
    </row>
    <row r="12" spans="1:7" ht="31.5">
      <c r="A12" s="1425"/>
      <c r="B12" s="24" t="s">
        <v>547</v>
      </c>
      <c r="C12" s="24" t="s">
        <v>545</v>
      </c>
      <c r="D12" s="24" t="s">
        <v>546</v>
      </c>
      <c r="E12" s="818" t="s">
        <v>1448</v>
      </c>
      <c r="F12" s="818"/>
      <c r="G12" s="817">
        <v>1</v>
      </c>
    </row>
    <row r="13" spans="1:7">
      <c r="A13" s="1425"/>
      <c r="B13" s="1419" t="s">
        <v>548</v>
      </c>
      <c r="C13" s="1418" t="s">
        <v>550</v>
      </c>
      <c r="D13" s="24" t="s">
        <v>540</v>
      </c>
      <c r="E13" t="s">
        <v>726</v>
      </c>
      <c r="G13" s="817">
        <v>0.93</v>
      </c>
    </row>
    <row r="14" spans="1:7">
      <c r="A14" s="1425"/>
      <c r="B14" s="1428"/>
      <c r="C14" s="1418"/>
      <c r="D14" s="24" t="s">
        <v>549</v>
      </c>
      <c r="E14" t="s">
        <v>727</v>
      </c>
      <c r="G14" s="817">
        <v>0.82</v>
      </c>
    </row>
    <row r="15" spans="1:7" ht="16.5" thickBot="1">
      <c r="A15" s="1425"/>
      <c r="B15" s="1428"/>
      <c r="C15" s="88" t="s">
        <v>551</v>
      </c>
      <c r="D15" s="88" t="s">
        <v>543</v>
      </c>
      <c r="E15" t="s">
        <v>728</v>
      </c>
      <c r="G15" s="820">
        <v>0.88</v>
      </c>
    </row>
    <row r="16" spans="1:7">
      <c r="A16" s="1436" t="s">
        <v>552</v>
      </c>
      <c r="B16" s="427" t="s">
        <v>553</v>
      </c>
      <c r="C16" s="431" t="s">
        <v>545</v>
      </c>
      <c r="D16" s="431" t="s">
        <v>546</v>
      </c>
      <c r="E16" s="831" t="s">
        <v>553</v>
      </c>
      <c r="F16" s="832"/>
      <c r="G16" s="447">
        <v>1</v>
      </c>
    </row>
    <row r="17" spans="1:7">
      <c r="A17" s="1437"/>
      <c r="B17" s="1418" t="s">
        <v>554</v>
      </c>
      <c r="C17" s="1443" t="s">
        <v>555</v>
      </c>
      <c r="D17" s="114" t="s">
        <v>540</v>
      </c>
      <c r="E17" t="s">
        <v>729</v>
      </c>
      <c r="G17" s="819">
        <v>1.02</v>
      </c>
    </row>
    <row r="18" spans="1:7">
      <c r="A18" s="1437"/>
      <c r="B18" s="1418"/>
      <c r="C18" s="1443"/>
      <c r="D18" s="114" t="s">
        <v>541</v>
      </c>
      <c r="E18" t="s">
        <v>730</v>
      </c>
      <c r="G18" s="819">
        <v>1.08</v>
      </c>
    </row>
    <row r="19" spans="1:7">
      <c r="A19" s="1437"/>
      <c r="B19" s="1418"/>
      <c r="C19" s="1418" t="s">
        <v>556</v>
      </c>
      <c r="D19" s="114" t="s">
        <v>540</v>
      </c>
      <c r="E19" t="s">
        <v>731</v>
      </c>
      <c r="G19" s="819">
        <v>1.0900000000000001</v>
      </c>
    </row>
    <row r="20" spans="1:7">
      <c r="A20" s="1437"/>
      <c r="B20" s="1418"/>
      <c r="C20" s="1418"/>
      <c r="D20" s="114" t="s">
        <v>542</v>
      </c>
      <c r="E20" t="s">
        <v>732</v>
      </c>
      <c r="G20" s="819">
        <v>1.1499999999999999</v>
      </c>
    </row>
    <row r="21" spans="1:7">
      <c r="A21" s="1437"/>
      <c r="B21" s="1418"/>
      <c r="C21" s="24" t="s">
        <v>539</v>
      </c>
      <c r="D21" s="114" t="s">
        <v>543</v>
      </c>
      <c r="E21" t="s">
        <v>733</v>
      </c>
      <c r="G21" s="819">
        <v>1.0900000000000001</v>
      </c>
    </row>
    <row r="22" spans="1:7">
      <c r="A22" s="1437"/>
      <c r="B22" s="1418" t="s">
        <v>558</v>
      </c>
      <c r="C22" s="1443" t="s">
        <v>555</v>
      </c>
      <c r="D22" s="114" t="s">
        <v>540</v>
      </c>
      <c r="E22" t="s">
        <v>734</v>
      </c>
      <c r="G22" s="819">
        <v>1.1000000000000001</v>
      </c>
    </row>
    <row r="23" spans="1:7">
      <c r="A23" s="1437"/>
      <c r="B23" s="1418"/>
      <c r="C23" s="1443"/>
      <c r="D23" s="114" t="s">
        <v>541</v>
      </c>
      <c r="E23" t="s">
        <v>735</v>
      </c>
      <c r="G23" s="819">
        <v>1.1499999999999999</v>
      </c>
    </row>
    <row r="24" spans="1:7">
      <c r="A24" s="1437"/>
      <c r="B24" s="1418"/>
      <c r="C24" s="1418" t="s">
        <v>556</v>
      </c>
      <c r="D24" s="114" t="s">
        <v>540</v>
      </c>
      <c r="E24" t="s">
        <v>736</v>
      </c>
      <c r="G24" s="819">
        <v>1.17</v>
      </c>
    </row>
    <row r="25" spans="1:7">
      <c r="A25" s="1437"/>
      <c r="B25" s="1418"/>
      <c r="C25" s="1418"/>
      <c r="D25" s="114" t="s">
        <v>542</v>
      </c>
      <c r="E25" t="s">
        <v>737</v>
      </c>
      <c r="G25" s="819">
        <v>1.22</v>
      </c>
    </row>
    <row r="26" spans="1:7" ht="16.5" thickBot="1">
      <c r="A26" s="1442"/>
      <c r="B26" s="1419"/>
      <c r="C26" s="88" t="s">
        <v>539</v>
      </c>
      <c r="D26" s="821" t="s">
        <v>543</v>
      </c>
      <c r="E26" t="s">
        <v>738</v>
      </c>
      <c r="G26" s="822">
        <v>1.1599999999999999</v>
      </c>
    </row>
    <row r="27" spans="1:7">
      <c r="A27" s="1436" t="s">
        <v>560</v>
      </c>
      <c r="B27" s="1439" t="s">
        <v>561</v>
      </c>
      <c r="C27" s="1440" t="s">
        <v>555</v>
      </c>
      <c r="D27" s="611" t="s">
        <v>540</v>
      </c>
      <c r="E27" s="831" t="s">
        <v>739</v>
      </c>
      <c r="F27" s="832"/>
      <c r="G27" s="447">
        <v>0.95</v>
      </c>
    </row>
    <row r="28" spans="1:7">
      <c r="A28" s="1437"/>
      <c r="B28" s="1417"/>
      <c r="C28" s="1441"/>
      <c r="D28" s="114" t="s">
        <v>541</v>
      </c>
      <c r="E28" t="s">
        <v>740</v>
      </c>
      <c r="G28" s="819">
        <v>0.92</v>
      </c>
    </row>
    <row r="29" spans="1:7">
      <c r="A29" s="1437"/>
      <c r="B29" s="1417"/>
      <c r="C29" s="1418" t="s">
        <v>556</v>
      </c>
      <c r="D29" s="114" t="s">
        <v>540</v>
      </c>
      <c r="E29" t="s">
        <v>741</v>
      </c>
      <c r="G29" s="819">
        <v>0.95</v>
      </c>
    </row>
    <row r="30" spans="1:7">
      <c r="A30" s="1437"/>
      <c r="B30" s="1417"/>
      <c r="C30" s="1418"/>
      <c r="D30" s="114" t="s">
        <v>542</v>
      </c>
      <c r="E30" t="s">
        <v>742</v>
      </c>
      <c r="G30" s="819">
        <v>0.92</v>
      </c>
    </row>
    <row r="31" spans="1:7">
      <c r="A31" s="1437"/>
      <c r="B31" s="1417"/>
      <c r="C31" s="24" t="s">
        <v>539</v>
      </c>
      <c r="D31" s="114" t="s">
        <v>543</v>
      </c>
      <c r="E31" t="s">
        <v>743</v>
      </c>
      <c r="G31" s="819">
        <v>0.94</v>
      </c>
    </row>
    <row r="32" spans="1:7">
      <c r="A32" s="1437"/>
      <c r="B32" s="24" t="s">
        <v>562</v>
      </c>
      <c r="C32" s="27" t="s">
        <v>545</v>
      </c>
      <c r="D32" s="24" t="s">
        <v>546</v>
      </c>
      <c r="E32" t="s">
        <v>744</v>
      </c>
      <c r="G32" s="819">
        <v>1</v>
      </c>
    </row>
    <row r="33" spans="1:9">
      <c r="A33" s="1437"/>
      <c r="B33" s="1418" t="s">
        <v>563</v>
      </c>
      <c r="C33" s="1418" t="s">
        <v>550</v>
      </c>
      <c r="D33" s="24" t="s">
        <v>540</v>
      </c>
      <c r="E33" t="s">
        <v>745</v>
      </c>
      <c r="G33" s="819">
        <v>1.04</v>
      </c>
    </row>
    <row r="34" spans="1:9">
      <c r="A34" s="1437"/>
      <c r="B34" s="1418"/>
      <c r="C34" s="1418"/>
      <c r="D34" s="24" t="s">
        <v>549</v>
      </c>
      <c r="E34" t="s">
        <v>746</v>
      </c>
      <c r="G34" s="819">
        <v>1.1100000000000001</v>
      </c>
    </row>
    <row r="35" spans="1:9">
      <c r="A35" s="1437"/>
      <c r="B35" s="1418"/>
      <c r="C35" s="823" t="s">
        <v>551</v>
      </c>
      <c r="D35" s="88" t="s">
        <v>543</v>
      </c>
      <c r="E35" t="s">
        <v>747</v>
      </c>
      <c r="G35" s="819">
        <v>1.08</v>
      </c>
    </row>
    <row r="36" spans="1:9">
      <c r="A36" s="1437"/>
      <c r="B36" s="1418" t="s">
        <v>564</v>
      </c>
      <c r="C36" s="1416" t="s">
        <v>550</v>
      </c>
      <c r="D36" s="24" t="s">
        <v>540</v>
      </c>
      <c r="E36" t="s">
        <v>749</v>
      </c>
      <c r="G36" s="819">
        <v>1.37</v>
      </c>
    </row>
    <row r="37" spans="1:9">
      <c r="A37" s="1437"/>
      <c r="B37" s="1418"/>
      <c r="C37" s="1416"/>
      <c r="D37" s="24" t="s">
        <v>549</v>
      </c>
      <c r="E37" t="s">
        <v>748</v>
      </c>
      <c r="G37" s="819">
        <v>1.44</v>
      </c>
    </row>
    <row r="38" spans="1:9" ht="16.5" thickBot="1">
      <c r="A38" s="1438"/>
      <c r="B38" s="1412"/>
      <c r="C38" s="824" t="s">
        <v>551</v>
      </c>
      <c r="D38" s="433" t="s">
        <v>543</v>
      </c>
      <c r="E38" t="s">
        <v>750</v>
      </c>
      <c r="G38" s="825">
        <v>1.41</v>
      </c>
    </row>
    <row r="39" spans="1:9">
      <c r="E39" s="831"/>
      <c r="F39" s="832"/>
    </row>
    <row r="41" spans="1:9">
      <c r="B41" t="s">
        <v>566</v>
      </c>
      <c r="C41" t="s">
        <v>567</v>
      </c>
    </row>
    <row r="42" spans="1:9">
      <c r="A42" s="1418" t="s">
        <v>569</v>
      </c>
      <c r="B42" s="1418"/>
      <c r="C42" s="1418"/>
      <c r="D42" s="1418"/>
      <c r="E42" s="1418"/>
      <c r="F42" s="1418"/>
      <c r="G42" s="1418"/>
    </row>
    <row r="43" spans="1:9" ht="16.5" thickBot="1">
      <c r="A43" s="127" t="s">
        <v>571</v>
      </c>
      <c r="B43" s="127" t="s">
        <v>572</v>
      </c>
      <c r="C43" s="127" t="s">
        <v>573</v>
      </c>
      <c r="E43" s="127" t="s">
        <v>574</v>
      </c>
      <c r="F43" s="12"/>
      <c r="H43" s="1421" t="s">
        <v>584</v>
      </c>
      <c r="I43" s="1421"/>
    </row>
    <row r="44" spans="1:9" ht="16.5" thickBot="1">
      <c r="A44" s="826" t="s">
        <v>570</v>
      </c>
      <c r="B44" s="827" t="s">
        <v>545</v>
      </c>
      <c r="C44" s="827" t="s">
        <v>545</v>
      </c>
      <c r="E44" s="828">
        <v>1</v>
      </c>
      <c r="F44" s="63"/>
      <c r="H44" s="1422" t="s">
        <v>1449</v>
      </c>
      <c r="I44" s="1423"/>
    </row>
    <row r="45" spans="1:9" ht="31.5">
      <c r="A45" s="1424" t="s">
        <v>580</v>
      </c>
      <c r="B45" s="431" t="s">
        <v>581</v>
      </c>
      <c r="C45" s="427" t="s">
        <v>545</v>
      </c>
      <c r="D45" t="s">
        <v>752</v>
      </c>
      <c r="E45" s="829">
        <v>1</v>
      </c>
      <c r="F45" s="63"/>
      <c r="H45" s="1410" t="s">
        <v>577</v>
      </c>
      <c r="I45" s="1411"/>
    </row>
    <row r="46" spans="1:9">
      <c r="A46" s="1425"/>
      <c r="B46" s="1418" t="s">
        <v>578</v>
      </c>
      <c r="C46" s="114" t="s">
        <v>555</v>
      </c>
      <c r="D46" t="s">
        <v>753</v>
      </c>
      <c r="E46" s="830">
        <v>0.95</v>
      </c>
      <c r="F46" s="63"/>
      <c r="H46" s="1418" t="s">
        <v>582</v>
      </c>
      <c r="I46" s="1427"/>
    </row>
    <row r="47" spans="1:9">
      <c r="A47" s="1425"/>
      <c r="B47" s="1418"/>
      <c r="C47" s="24" t="s">
        <v>556</v>
      </c>
      <c r="D47" t="s">
        <v>755</v>
      </c>
      <c r="E47" s="830">
        <v>0.97</v>
      </c>
      <c r="F47" s="63"/>
      <c r="H47" s="1418"/>
      <c r="I47" s="1427"/>
    </row>
    <row r="48" spans="1:9">
      <c r="A48" s="1425"/>
      <c r="B48" s="1418"/>
      <c r="C48" s="24" t="s">
        <v>539</v>
      </c>
      <c r="D48" t="s">
        <v>754</v>
      </c>
      <c r="E48" s="68">
        <v>0.96</v>
      </c>
      <c r="F48" s="63"/>
      <c r="H48" s="1418"/>
      <c r="I48" s="1427"/>
    </row>
    <row r="49" spans="1:9">
      <c r="A49" s="1425"/>
      <c r="B49" s="24" t="s">
        <v>579</v>
      </c>
      <c r="C49" s="27" t="s">
        <v>545</v>
      </c>
      <c r="D49" t="s">
        <v>756</v>
      </c>
      <c r="E49" s="68">
        <v>0.7</v>
      </c>
      <c r="F49" s="63"/>
      <c r="H49" s="1418" t="s">
        <v>583</v>
      </c>
      <c r="I49" s="1427"/>
    </row>
    <row r="50" spans="1:9">
      <c r="A50" s="1425"/>
      <c r="B50" s="1419" t="s">
        <v>585</v>
      </c>
      <c r="C50" s="27" t="s">
        <v>555</v>
      </c>
      <c r="D50" t="s">
        <v>757</v>
      </c>
      <c r="E50" s="27">
        <v>1.1399999999999999</v>
      </c>
      <c r="F50" s="12"/>
      <c r="H50" s="1430" t="s">
        <v>587</v>
      </c>
      <c r="I50" s="1431"/>
    </row>
    <row r="51" spans="1:9">
      <c r="A51" s="1425"/>
      <c r="B51" s="1428"/>
      <c r="C51" s="27" t="s">
        <v>586</v>
      </c>
      <c r="D51" t="s">
        <v>758</v>
      </c>
      <c r="E51" s="27">
        <v>1.17</v>
      </c>
      <c r="F51" s="12"/>
      <c r="H51" s="1432"/>
      <c r="I51" s="1433"/>
    </row>
    <row r="52" spans="1:9" ht="16.5" thickBot="1">
      <c r="A52" s="1426"/>
      <c r="B52" s="1429"/>
      <c r="C52" s="707" t="s">
        <v>551</v>
      </c>
      <c r="D52" t="s">
        <v>760</v>
      </c>
      <c r="E52" s="707">
        <v>1.1599999999999999</v>
      </c>
      <c r="F52" s="12"/>
      <c r="H52" s="1434"/>
      <c r="I52" s="1435"/>
    </row>
    <row r="53" spans="1:9">
      <c r="A53" s="1408" t="s">
        <v>588</v>
      </c>
      <c r="B53" s="427" t="s">
        <v>562</v>
      </c>
      <c r="C53" s="427" t="s">
        <v>545</v>
      </c>
      <c r="D53" t="s">
        <v>759</v>
      </c>
      <c r="E53" s="427">
        <v>1</v>
      </c>
      <c r="F53" s="12"/>
      <c r="H53" s="1410" t="s">
        <v>751</v>
      </c>
      <c r="I53" s="1411"/>
    </row>
    <row r="54" spans="1:9" ht="16.5" thickBot="1">
      <c r="A54" s="1409"/>
      <c r="B54" s="707" t="s">
        <v>589</v>
      </c>
      <c r="C54" s="707" t="s">
        <v>545</v>
      </c>
      <c r="D54" t="s">
        <v>589</v>
      </c>
      <c r="E54" s="707">
        <v>1.1100000000000001</v>
      </c>
      <c r="F54" s="12"/>
      <c r="H54" s="1412"/>
      <c r="I54" s="1413"/>
    </row>
    <row r="55" spans="1:9">
      <c r="D55" t="s">
        <v>761</v>
      </c>
      <c r="E55" s="837">
        <v>1</v>
      </c>
    </row>
    <row r="57" spans="1:9">
      <c r="A57" s="37" t="s">
        <v>633</v>
      </c>
    </row>
    <row r="58" spans="1:9">
      <c r="B58" t="s">
        <v>591</v>
      </c>
    </row>
    <row r="59" spans="1:9">
      <c r="A59" s="1414" t="s">
        <v>592</v>
      </c>
      <c r="B59" s="1415"/>
      <c r="C59" s="1415"/>
      <c r="D59" s="1415"/>
      <c r="E59" s="1416"/>
      <c r="F59" s="30"/>
    </row>
    <row r="60" spans="1:9">
      <c r="A60" s="27" t="s">
        <v>602</v>
      </c>
      <c r="B60" s="24" t="s">
        <v>572</v>
      </c>
      <c r="C60" s="27" t="s">
        <v>593</v>
      </c>
      <c r="D60" s="27" t="s">
        <v>594</v>
      </c>
      <c r="E60" s="27" t="s">
        <v>595</v>
      </c>
      <c r="F60" s="12"/>
    </row>
    <row r="61" spans="1:9">
      <c r="A61" s="1417" t="s">
        <v>596</v>
      </c>
      <c r="B61" s="1418" t="s">
        <v>597</v>
      </c>
      <c r="C61" s="27" t="s">
        <v>575</v>
      </c>
      <c r="D61" s="27">
        <v>1</v>
      </c>
      <c r="E61" s="1419" t="s">
        <v>600</v>
      </c>
      <c r="F61" s="30"/>
    </row>
    <row r="62" spans="1:9">
      <c r="A62" s="1417"/>
      <c r="B62" s="1418"/>
      <c r="C62" s="27" t="s">
        <v>586</v>
      </c>
      <c r="D62" s="27">
        <v>1</v>
      </c>
      <c r="E62" s="1420"/>
      <c r="F62" s="30"/>
    </row>
    <row r="63" spans="1:9" ht="31.5">
      <c r="A63" s="1417"/>
      <c r="B63" s="24" t="s">
        <v>598</v>
      </c>
      <c r="C63" s="27" t="s">
        <v>538</v>
      </c>
      <c r="D63" s="27">
        <v>0.64</v>
      </c>
      <c r="E63" s="1419" t="s">
        <v>601</v>
      </c>
      <c r="F63" s="30"/>
    </row>
    <row r="64" spans="1:9" ht="31.5">
      <c r="A64" s="1417"/>
      <c r="B64" s="24" t="s">
        <v>599</v>
      </c>
      <c r="C64" s="27" t="s">
        <v>538</v>
      </c>
      <c r="D64" s="27">
        <v>0.8</v>
      </c>
      <c r="E64" s="1420"/>
      <c r="F64" s="30"/>
    </row>
  </sheetData>
  <sheetProtection sheet="1" objects="1" scenarios="1"/>
  <mergeCells count="38">
    <mergeCell ref="A4:E4"/>
    <mergeCell ref="A6:A15"/>
    <mergeCell ref="B6:B10"/>
    <mergeCell ref="C8:C9"/>
    <mergeCell ref="B13:B15"/>
    <mergeCell ref="C13:C14"/>
    <mergeCell ref="A16:A26"/>
    <mergeCell ref="B17:B21"/>
    <mergeCell ref="C17:C18"/>
    <mergeCell ref="C19:C20"/>
    <mergeCell ref="B22:B26"/>
    <mergeCell ref="C22:C23"/>
    <mergeCell ref="C24:C25"/>
    <mergeCell ref="A27:A38"/>
    <mergeCell ref="B27:B31"/>
    <mergeCell ref="C27:C28"/>
    <mergeCell ref="C29:C30"/>
    <mergeCell ref="B33:B35"/>
    <mergeCell ref="C33:C34"/>
    <mergeCell ref="B36:B38"/>
    <mergeCell ref="C36:C37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53:A54"/>
    <mergeCell ref="H53:I54"/>
    <mergeCell ref="A59:E59"/>
    <mergeCell ref="A61:A64"/>
    <mergeCell ref="B61:B62"/>
    <mergeCell ref="E61:E62"/>
    <mergeCell ref="E63:E6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topLeftCell="A36" workbookViewId="0"/>
  </sheetViews>
  <sheetFormatPr defaultColWidth="8.875" defaultRowHeight="15.75"/>
  <cols>
    <col min="1" max="1" width="39.875" bestFit="1" customWidth="1"/>
    <col min="6" max="6" width="32.125" bestFit="1" customWidth="1"/>
  </cols>
  <sheetData>
    <row r="1" spans="1:49" s="11" customFormat="1" ht="24.75" customHeight="1">
      <c r="A1" s="278" t="s">
        <v>861</v>
      </c>
      <c r="B1" s="278"/>
      <c r="C1" s="278"/>
      <c r="D1" s="278"/>
      <c r="E1" s="278"/>
      <c r="F1" s="279"/>
      <c r="N1" s="275"/>
      <c r="R1" s="276"/>
      <c r="AA1" s="277"/>
    </row>
    <row r="2" spans="1:49" s="11" customFormat="1">
      <c r="A2" s="1450" t="s">
        <v>862</v>
      </c>
      <c r="B2" s="178" t="s">
        <v>596</v>
      </c>
      <c r="C2" s="178" t="s">
        <v>852</v>
      </c>
      <c r="D2" s="178" t="s">
        <v>860</v>
      </c>
      <c r="E2" s="178" t="s">
        <v>854</v>
      </c>
      <c r="F2" s="279" t="s">
        <v>992</v>
      </c>
      <c r="G2" s="178" t="s">
        <v>860</v>
      </c>
      <c r="N2" s="275"/>
      <c r="R2" s="276"/>
      <c r="AA2" s="277"/>
    </row>
    <row r="3" spans="1:49" s="11" customFormat="1">
      <c r="A3" s="1450"/>
      <c r="B3" s="177" t="s">
        <v>853</v>
      </c>
      <c r="C3" s="177" t="s">
        <v>851</v>
      </c>
      <c r="D3" s="177">
        <v>0.11</v>
      </c>
      <c r="E3" s="1451" t="s">
        <v>917</v>
      </c>
      <c r="F3" s="147" t="s">
        <v>993</v>
      </c>
      <c r="G3" s="147">
        <v>0.11</v>
      </c>
      <c r="H3" s="147"/>
      <c r="I3" s="147"/>
      <c r="N3" s="275"/>
      <c r="R3" s="276"/>
      <c r="AA3" s="277"/>
    </row>
    <row r="4" spans="1:49" s="11" customFormat="1">
      <c r="A4" s="1450"/>
      <c r="B4" s="177"/>
      <c r="C4" s="179" t="s">
        <v>856</v>
      </c>
      <c r="D4" s="177">
        <v>0.12</v>
      </c>
      <c r="E4" s="1452"/>
      <c r="F4" s="147" t="s">
        <v>994</v>
      </c>
      <c r="G4" s="147">
        <v>0.13</v>
      </c>
      <c r="H4" s="147"/>
      <c r="I4" s="147"/>
      <c r="N4" s="275"/>
      <c r="R4" s="276"/>
      <c r="AA4" s="277"/>
    </row>
    <row r="5" spans="1:49" s="147" customFormat="1">
      <c r="A5" s="1450"/>
      <c r="B5" s="177"/>
      <c r="C5" s="179" t="s">
        <v>857</v>
      </c>
      <c r="D5" s="177">
        <v>0.14000000000000001</v>
      </c>
      <c r="E5" s="1452"/>
      <c r="F5" s="147" t="s">
        <v>995</v>
      </c>
      <c r="G5" s="147">
        <v>0.22</v>
      </c>
      <c r="N5" s="231"/>
      <c r="R5" s="232"/>
      <c r="AA5" s="230"/>
    </row>
    <row r="6" spans="1:49" s="147" customFormat="1">
      <c r="A6" s="1450"/>
      <c r="B6" s="177"/>
      <c r="C6" s="179" t="s">
        <v>855</v>
      </c>
      <c r="D6" s="177">
        <v>0.22</v>
      </c>
      <c r="E6" s="1452"/>
      <c r="F6" s="147" t="s">
        <v>996</v>
      </c>
      <c r="G6" s="147">
        <f>(D7+D8)/2</f>
        <v>0.37</v>
      </c>
      <c r="I6" s="11"/>
      <c r="J6" s="11"/>
      <c r="K6" s="11"/>
      <c r="L6" s="11"/>
      <c r="M6" s="11"/>
      <c r="N6" s="275"/>
      <c r="O6" s="11"/>
      <c r="P6" s="11"/>
      <c r="Q6" s="11"/>
      <c r="R6" s="276"/>
      <c r="S6" s="11"/>
      <c r="T6" s="11"/>
      <c r="U6" s="11"/>
      <c r="V6" s="11"/>
      <c r="W6" s="11"/>
      <c r="X6" s="11"/>
      <c r="Y6" s="11"/>
      <c r="Z6" s="11"/>
      <c r="AA6" s="277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7" customFormat="1">
      <c r="A7" s="1450"/>
      <c r="B7" s="177"/>
      <c r="C7" s="179" t="s">
        <v>858</v>
      </c>
      <c r="D7" s="177">
        <v>0.31</v>
      </c>
      <c r="E7" s="1452"/>
      <c r="F7" s="179" t="s">
        <v>948</v>
      </c>
      <c r="G7" s="147">
        <v>1</v>
      </c>
      <c r="I7" s="11"/>
      <c r="J7" s="11"/>
      <c r="K7" s="11"/>
      <c r="L7" s="11"/>
      <c r="M7" s="11"/>
      <c r="N7" s="275"/>
      <c r="O7" s="11"/>
      <c r="P7" s="11"/>
      <c r="Q7" s="11"/>
      <c r="R7" s="276"/>
      <c r="S7" s="11"/>
      <c r="T7" s="11"/>
      <c r="U7" s="11"/>
      <c r="V7" s="11"/>
      <c r="W7" s="11"/>
      <c r="X7" s="11"/>
      <c r="Y7" s="11"/>
      <c r="Z7" s="11"/>
      <c r="AA7" s="277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7" customFormat="1">
      <c r="A8" s="1450"/>
      <c r="B8" s="177"/>
      <c r="C8" s="177" t="s">
        <v>859</v>
      </c>
      <c r="D8" s="177">
        <v>0.43</v>
      </c>
      <c r="E8" s="1452"/>
      <c r="I8" s="11"/>
      <c r="J8" s="11"/>
      <c r="K8" s="11"/>
      <c r="L8" s="11"/>
      <c r="M8" s="11"/>
      <c r="N8" s="275"/>
      <c r="O8" s="11"/>
      <c r="P8" s="11"/>
      <c r="Q8" s="11"/>
      <c r="R8" s="276"/>
      <c r="S8" s="11"/>
      <c r="T8" s="11"/>
      <c r="U8" s="11"/>
      <c r="V8" s="11"/>
      <c r="W8" s="11"/>
      <c r="X8" s="11"/>
      <c r="Y8" s="11"/>
      <c r="Z8" s="11"/>
      <c r="AA8" s="277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7" customFormat="1">
      <c r="A9" s="1450"/>
      <c r="B9" s="177" t="s">
        <v>875</v>
      </c>
      <c r="C9" s="179" t="s">
        <v>948</v>
      </c>
      <c r="D9" s="177">
        <v>1</v>
      </c>
      <c r="E9" s="1453"/>
      <c r="I9" s="11"/>
      <c r="J9" s="11"/>
      <c r="K9" s="11"/>
      <c r="L9" s="11"/>
      <c r="M9" s="11"/>
      <c r="N9" s="275"/>
      <c r="O9" s="11"/>
      <c r="P9" s="11"/>
      <c r="Q9" s="11"/>
      <c r="R9" s="276"/>
      <c r="S9" s="11"/>
      <c r="T9" s="11"/>
      <c r="U9" s="11"/>
      <c r="V9" s="11"/>
      <c r="W9" s="11"/>
      <c r="X9" s="11"/>
      <c r="Y9" s="11"/>
      <c r="Z9" s="11"/>
      <c r="AA9" s="277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7" customFormat="1">
      <c r="I10" s="11"/>
      <c r="J10" s="11"/>
      <c r="K10" s="11"/>
      <c r="L10" s="11"/>
      <c r="M10" s="11"/>
      <c r="N10" s="275"/>
      <c r="O10" s="11"/>
      <c r="P10" s="11"/>
      <c r="Q10" s="11"/>
      <c r="R10" s="276"/>
      <c r="S10" s="11"/>
      <c r="T10" s="11"/>
      <c r="U10" s="11"/>
      <c r="V10" s="11"/>
      <c r="W10" s="11"/>
      <c r="X10" s="11"/>
      <c r="Y10" s="11"/>
      <c r="Z10" s="11"/>
      <c r="AA10" s="277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7" customFormat="1">
      <c r="I11" s="11"/>
      <c r="J11" s="11"/>
      <c r="K11" s="11"/>
      <c r="L11" s="11"/>
      <c r="M11" s="11"/>
      <c r="N11" s="275"/>
      <c r="O11" s="11"/>
      <c r="P11" s="11"/>
      <c r="Q11" s="11"/>
      <c r="R11" s="276"/>
      <c r="S11" s="11"/>
      <c r="T11" s="11"/>
      <c r="U11" s="11"/>
      <c r="V11" s="11"/>
      <c r="W11" s="11"/>
      <c r="X11" s="11"/>
      <c r="Y11" s="11"/>
      <c r="Z11" s="11"/>
      <c r="AA11" s="277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7" customFormat="1">
      <c r="A12" s="1450" t="s">
        <v>874</v>
      </c>
      <c r="B12" s="178" t="s">
        <v>868</v>
      </c>
      <c r="C12" s="178" t="s">
        <v>863</v>
      </c>
      <c r="D12" s="178" t="s">
        <v>873</v>
      </c>
      <c r="E12" s="1455" t="s">
        <v>854</v>
      </c>
      <c r="F12" s="1455"/>
      <c r="N12" s="231"/>
      <c r="R12" s="232"/>
      <c r="AA12" s="230"/>
    </row>
    <row r="13" spans="1:49" s="147" customFormat="1" ht="15.75" customHeight="1">
      <c r="A13" s="1450"/>
      <c r="B13" s="177" t="s">
        <v>869</v>
      </c>
      <c r="C13" s="177" t="s">
        <v>864</v>
      </c>
      <c r="D13" s="177">
        <v>0.15</v>
      </c>
      <c r="E13" s="1454" t="s">
        <v>1010</v>
      </c>
      <c r="F13" s="1454"/>
      <c r="N13" s="231"/>
      <c r="R13" s="232"/>
      <c r="AA13" s="230"/>
    </row>
    <row r="14" spans="1:49" s="147" customFormat="1">
      <c r="A14" s="1450"/>
      <c r="B14" s="177" t="s">
        <v>870</v>
      </c>
      <c r="C14" s="177" t="s">
        <v>865</v>
      </c>
      <c r="D14" s="177">
        <v>0.2</v>
      </c>
      <c r="E14" s="1454"/>
      <c r="F14" s="1454"/>
      <c r="N14" s="231"/>
      <c r="R14" s="232"/>
      <c r="AA14" s="230"/>
    </row>
    <row r="15" spans="1:49" s="147" customFormat="1">
      <c r="A15" s="1450"/>
      <c r="B15" s="177" t="s">
        <v>871</v>
      </c>
      <c r="C15" s="177" t="s">
        <v>866</v>
      </c>
      <c r="D15" s="177">
        <v>0.25</v>
      </c>
      <c r="E15" s="1454"/>
      <c r="F15" s="1454"/>
      <c r="N15" s="231"/>
      <c r="R15" s="232"/>
      <c r="AA15" s="230"/>
    </row>
    <row r="16" spans="1:49" s="147" customFormat="1">
      <c r="A16" s="1450"/>
      <c r="B16" s="177" t="s">
        <v>872</v>
      </c>
      <c r="C16" s="177" t="s">
        <v>867</v>
      </c>
      <c r="D16" s="177">
        <v>0.3</v>
      </c>
      <c r="E16" s="1454"/>
      <c r="F16" s="1454"/>
      <c r="N16" s="231"/>
      <c r="R16" s="232"/>
      <c r="AA16" s="230"/>
    </row>
    <row r="17" spans="1:27" s="147" customFormat="1">
      <c r="A17" s="1450"/>
      <c r="B17" s="177" t="s">
        <v>877</v>
      </c>
      <c r="C17" s="177" t="s">
        <v>864</v>
      </c>
      <c r="D17" s="177">
        <v>0.15</v>
      </c>
      <c r="E17" s="1454"/>
      <c r="F17" s="1454"/>
      <c r="N17" s="231"/>
      <c r="R17" s="232"/>
      <c r="AA17" s="230"/>
    </row>
    <row r="18" spans="1:27" s="147" customFormat="1">
      <c r="A18" s="1450"/>
      <c r="B18" s="177" t="s">
        <v>878</v>
      </c>
      <c r="C18" s="177" t="s">
        <v>865</v>
      </c>
      <c r="D18" s="177">
        <v>0.2</v>
      </c>
      <c r="E18" s="1454"/>
      <c r="F18" s="1454"/>
      <c r="N18" s="231"/>
      <c r="R18" s="232"/>
      <c r="AA18" s="230"/>
    </row>
    <row r="19" spans="1:27" s="147" customFormat="1">
      <c r="A19" s="1450"/>
      <c r="B19" s="177" t="s">
        <v>879</v>
      </c>
      <c r="C19" s="177" t="s">
        <v>866</v>
      </c>
      <c r="D19" s="177">
        <v>0.25</v>
      </c>
      <c r="E19" s="1454"/>
      <c r="F19" s="1454"/>
      <c r="N19" s="231"/>
      <c r="R19" s="232"/>
      <c r="AA19" s="230"/>
    </row>
    <row r="20" spans="1:27" s="147" customFormat="1">
      <c r="A20" s="1450"/>
      <c r="B20" s="177" t="s">
        <v>880</v>
      </c>
      <c r="C20" s="177" t="s">
        <v>867</v>
      </c>
      <c r="D20" s="177">
        <v>0.3</v>
      </c>
      <c r="E20" s="1454"/>
      <c r="F20" s="1454"/>
      <c r="N20" s="231"/>
      <c r="R20" s="232"/>
      <c r="AA20" s="230"/>
    </row>
    <row r="21" spans="1:27" s="147" customFormat="1">
      <c r="N21" s="231"/>
      <c r="R21" s="232"/>
      <c r="AA21" s="230"/>
    </row>
    <row r="22" spans="1:27" s="147" customFormat="1">
      <c r="A22" s="1447" t="s">
        <v>894</v>
      </c>
      <c r="B22" s="178" t="s">
        <v>881</v>
      </c>
      <c r="C22" s="178" t="s">
        <v>882</v>
      </c>
      <c r="D22" s="178" t="s">
        <v>854</v>
      </c>
      <c r="N22" s="231"/>
      <c r="R22" s="232"/>
      <c r="AA22" s="230"/>
    </row>
    <row r="23" spans="1:27" s="147" customFormat="1" ht="15.75" customHeight="1">
      <c r="A23" s="1448"/>
      <c r="B23" s="177" t="s">
        <v>883</v>
      </c>
      <c r="C23" s="177">
        <v>1E-3</v>
      </c>
      <c r="D23" s="1451" t="s">
        <v>1010</v>
      </c>
      <c r="N23" s="231"/>
      <c r="R23" s="232"/>
      <c r="AA23" s="230"/>
    </row>
    <row r="24" spans="1:27" s="147" customFormat="1">
      <c r="A24" s="1448"/>
      <c r="B24" s="177" t="s">
        <v>884</v>
      </c>
      <c r="C24" s="177">
        <v>0.05</v>
      </c>
      <c r="D24" s="1452"/>
      <c r="N24" s="231"/>
      <c r="R24" s="232"/>
      <c r="AA24" s="230"/>
    </row>
    <row r="25" spans="1:27" s="147" customFormat="1">
      <c r="A25" s="1448"/>
      <c r="B25" s="177" t="s">
        <v>885</v>
      </c>
      <c r="C25" s="177">
        <v>0.05</v>
      </c>
      <c r="D25" s="1452"/>
      <c r="N25" s="231"/>
      <c r="R25" s="232"/>
      <c r="AA25" s="230"/>
    </row>
    <row r="26" spans="1:27" s="147" customFormat="1">
      <c r="A26" s="1448"/>
      <c r="B26" s="177" t="s">
        <v>886</v>
      </c>
      <c r="C26" s="177">
        <v>0.4</v>
      </c>
      <c r="D26" s="1452"/>
      <c r="N26" s="231"/>
      <c r="R26" s="232"/>
      <c r="AA26" s="230"/>
    </row>
    <row r="27" spans="1:27" s="147" customFormat="1">
      <c r="A27" s="1448"/>
      <c r="B27" s="177" t="s">
        <v>659</v>
      </c>
      <c r="C27" s="177">
        <v>0.1</v>
      </c>
      <c r="D27" s="1452"/>
      <c r="N27" s="231"/>
      <c r="R27" s="232"/>
      <c r="AA27" s="230"/>
    </row>
    <row r="28" spans="1:27" s="147" customFormat="1">
      <c r="A28" s="1448"/>
      <c r="B28" s="177" t="s">
        <v>388</v>
      </c>
      <c r="C28" s="177">
        <v>0.1</v>
      </c>
      <c r="D28" s="1452"/>
      <c r="N28" s="231"/>
      <c r="R28" s="232"/>
      <c r="AA28" s="230"/>
    </row>
    <row r="29" spans="1:27" s="147" customFormat="1">
      <c r="A29" s="1448"/>
      <c r="B29" s="177" t="s">
        <v>887</v>
      </c>
      <c r="C29" s="177">
        <v>0.15</v>
      </c>
      <c r="D29" s="1452"/>
      <c r="N29" s="231"/>
      <c r="R29" s="232"/>
      <c r="AA29" s="230"/>
    </row>
    <row r="30" spans="1:27" s="147" customFormat="1">
      <c r="A30" s="1448"/>
      <c r="B30" s="177" t="s">
        <v>888</v>
      </c>
      <c r="C30" s="177">
        <v>0.15</v>
      </c>
      <c r="D30" s="1452"/>
      <c r="N30" s="231"/>
      <c r="R30" s="232"/>
      <c r="AA30" s="230"/>
    </row>
    <row r="31" spans="1:27" s="147" customFormat="1">
      <c r="A31" s="1448"/>
      <c r="B31" s="177" t="s">
        <v>903</v>
      </c>
      <c r="C31" s="177">
        <v>0.01</v>
      </c>
      <c r="D31" s="1452"/>
      <c r="N31" s="231"/>
      <c r="R31" s="232"/>
      <c r="AA31" s="230"/>
    </row>
    <row r="32" spans="1:27" s="147" customFormat="1">
      <c r="A32" s="1448"/>
      <c r="B32" s="177" t="s">
        <v>889</v>
      </c>
      <c r="C32" s="177">
        <v>0.05</v>
      </c>
      <c r="D32" s="1452"/>
      <c r="N32" s="231"/>
      <c r="R32" s="232"/>
      <c r="AA32" s="230"/>
    </row>
    <row r="33" spans="1:27" s="147" customFormat="1">
      <c r="A33" s="1448"/>
      <c r="B33" s="177" t="s">
        <v>890</v>
      </c>
      <c r="C33" s="177">
        <v>0.05</v>
      </c>
      <c r="D33" s="1452"/>
      <c r="N33" s="231"/>
      <c r="R33" s="232"/>
      <c r="AA33" s="230"/>
    </row>
    <row r="34" spans="1:27" s="147" customFormat="1">
      <c r="A34" s="1448"/>
      <c r="B34" s="177" t="s">
        <v>891</v>
      </c>
      <c r="C34" s="177">
        <v>0.6</v>
      </c>
      <c r="D34" s="1452"/>
      <c r="N34" s="231"/>
      <c r="R34" s="232"/>
      <c r="AA34" s="230"/>
    </row>
    <row r="35" spans="1:27" s="147" customFormat="1">
      <c r="A35" s="1448"/>
      <c r="B35" s="177" t="s">
        <v>892</v>
      </c>
      <c r="C35" s="177">
        <v>0.25</v>
      </c>
      <c r="D35" s="1452"/>
      <c r="N35" s="231"/>
      <c r="R35" s="232"/>
      <c r="AA35" s="230"/>
    </row>
    <row r="36" spans="1:27" s="147" customFormat="1">
      <c r="A36" s="1449"/>
      <c r="B36" s="177" t="s">
        <v>893</v>
      </c>
      <c r="C36" s="177">
        <v>1</v>
      </c>
      <c r="D36" s="1453"/>
      <c r="N36" s="231"/>
      <c r="R36" s="232"/>
      <c r="AA36" s="230"/>
    </row>
    <row r="37" spans="1:27" s="147" customFormat="1">
      <c r="F37" s="11"/>
      <c r="G37" s="11"/>
      <c r="H37" s="11"/>
      <c r="I37" s="11"/>
      <c r="N37" s="231"/>
      <c r="R37" s="232"/>
      <c r="AA37" s="230"/>
    </row>
    <row r="38" spans="1:27" s="147" customFormat="1">
      <c r="A38" s="1450" t="s">
        <v>896</v>
      </c>
      <c r="B38" s="178" t="s">
        <v>895</v>
      </c>
      <c r="C38" s="178" t="s">
        <v>850</v>
      </c>
      <c r="D38" s="177" t="s">
        <v>897</v>
      </c>
      <c r="E38" s="280" t="s">
        <v>854</v>
      </c>
      <c r="F38" s="11"/>
      <c r="G38" s="11"/>
      <c r="H38" s="11"/>
      <c r="I38" s="11"/>
      <c r="N38" s="231"/>
      <c r="R38" s="232"/>
      <c r="AA38" s="230"/>
    </row>
    <row r="39" spans="1:27" s="147" customFormat="1" ht="15" customHeight="1">
      <c r="A39" s="1450"/>
      <c r="B39" s="177" t="s">
        <v>898</v>
      </c>
      <c r="C39" s="177">
        <v>25</v>
      </c>
      <c r="D39" s="177">
        <v>0.32</v>
      </c>
      <c r="E39" s="281" t="s">
        <v>918</v>
      </c>
      <c r="F39" s="11"/>
      <c r="G39" s="11"/>
      <c r="H39" s="11"/>
      <c r="I39" s="11"/>
      <c r="N39" s="231"/>
      <c r="R39" s="232"/>
      <c r="AA39" s="230"/>
    </row>
    <row r="40" spans="1:27" s="147" customFormat="1">
      <c r="A40" s="1450"/>
      <c r="B40" s="177" t="s">
        <v>899</v>
      </c>
      <c r="C40" s="177">
        <v>22</v>
      </c>
      <c r="D40" s="177">
        <v>0.3</v>
      </c>
      <c r="E40" s="281"/>
      <c r="F40" s="11"/>
      <c r="G40" s="11"/>
      <c r="H40" s="11"/>
      <c r="I40" s="11"/>
      <c r="N40" s="231"/>
      <c r="R40" s="232"/>
      <c r="AA40" s="230"/>
    </row>
    <row r="41" spans="1:27" s="147" customFormat="1">
      <c r="A41" s="1450"/>
      <c r="B41" s="177" t="s">
        <v>900</v>
      </c>
      <c r="C41" s="177">
        <v>15</v>
      </c>
      <c r="D41" s="177">
        <v>0.19</v>
      </c>
      <c r="E41" s="281"/>
      <c r="F41" s="11"/>
      <c r="G41" s="11"/>
      <c r="H41" s="11"/>
      <c r="I41" s="11"/>
      <c r="N41" s="231"/>
      <c r="R41" s="232"/>
      <c r="AA41" s="230"/>
    </row>
    <row r="42" spans="1:27" s="147" customFormat="1">
      <c r="F42" s="11"/>
      <c r="G42" s="11"/>
      <c r="H42" s="11"/>
      <c r="I42" s="11"/>
      <c r="N42" s="231"/>
      <c r="R42" s="232"/>
      <c r="AA42" s="230"/>
    </row>
    <row r="43" spans="1:27" s="147" customFormat="1" ht="47.25" customHeight="1">
      <c r="B43" s="177"/>
      <c r="C43" s="1446" t="s">
        <v>1002</v>
      </c>
      <c r="D43" s="1446"/>
      <c r="E43" s="1446"/>
      <c r="F43" s="1446"/>
      <c r="G43" s="1446"/>
      <c r="H43" s="1446"/>
      <c r="N43" s="231"/>
      <c r="R43" s="232"/>
      <c r="AA43" s="230"/>
    </row>
    <row r="44" spans="1:27" s="282" customFormat="1" ht="16.5" thickBot="1">
      <c r="B44" s="283"/>
      <c r="C44" s="248">
        <v>1</v>
      </c>
      <c r="D44" s="248">
        <v>3</v>
      </c>
      <c r="E44" s="248">
        <v>5</v>
      </c>
      <c r="F44" s="248">
        <v>15</v>
      </c>
      <c r="G44" s="248">
        <v>30</v>
      </c>
      <c r="H44" s="248">
        <v>90</v>
      </c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AA44" s="284"/>
    </row>
    <row r="45" spans="1:27" s="147" customFormat="1" ht="16.5" thickBot="1">
      <c r="B45" s="147" t="s">
        <v>993</v>
      </c>
      <c r="C45" s="249">
        <v>0.3</v>
      </c>
      <c r="D45" s="249">
        <v>0.3</v>
      </c>
      <c r="E45" s="249">
        <v>0.3</v>
      </c>
      <c r="F45" s="249">
        <v>0.49</v>
      </c>
      <c r="G45" s="249">
        <v>0.65</v>
      </c>
      <c r="H45" s="249">
        <v>1.01</v>
      </c>
      <c r="L45" s="285"/>
      <c r="AA45" s="230"/>
    </row>
    <row r="46" spans="1:27" s="147" customFormat="1">
      <c r="B46" s="147" t="s">
        <v>994</v>
      </c>
      <c r="C46" s="249">
        <v>0.52</v>
      </c>
      <c r="D46" s="249">
        <v>0.85</v>
      </c>
      <c r="E46" s="249">
        <v>1.06</v>
      </c>
      <c r="F46" s="249">
        <v>2.2200000000000002</v>
      </c>
      <c r="G46" s="249">
        <v>3.4</v>
      </c>
      <c r="H46" s="249">
        <v>6.68</v>
      </c>
      <c r="AA46" s="230"/>
    </row>
    <row r="47" spans="1:27" s="147" customFormat="1">
      <c r="B47" s="147" t="s">
        <v>995</v>
      </c>
      <c r="C47" s="249">
        <v>0.59</v>
      </c>
      <c r="D47" s="249">
        <v>1.1299999999999999</v>
      </c>
      <c r="E47" s="249">
        <v>1.53</v>
      </c>
      <c r="F47" s="249">
        <v>3.39</v>
      </c>
      <c r="G47" s="249">
        <v>5.34</v>
      </c>
      <c r="H47" s="249">
        <v>11.01</v>
      </c>
      <c r="AA47" s="230"/>
    </row>
    <row r="48" spans="1:27" s="147" customFormat="1">
      <c r="B48" s="147" t="s">
        <v>996</v>
      </c>
      <c r="C48" s="249">
        <v>0.65</v>
      </c>
      <c r="D48" s="249">
        <v>1.38</v>
      </c>
      <c r="E48" s="249">
        <v>1.95</v>
      </c>
      <c r="F48" s="249">
        <v>4.45</v>
      </c>
      <c r="G48" s="249">
        <v>7.14</v>
      </c>
      <c r="H48" s="249">
        <v>15.14</v>
      </c>
      <c r="AA48" s="230"/>
    </row>
    <row r="49" spans="2:27" s="147" customFormat="1">
      <c r="N49" s="231"/>
      <c r="R49" s="232"/>
      <c r="AA49" s="230"/>
    </row>
    <row r="50" spans="2:27" s="147" customFormat="1">
      <c r="N50" s="231"/>
      <c r="R50" s="232"/>
      <c r="AA50" s="230"/>
    </row>
    <row r="51" spans="2:27" s="147" customFormat="1">
      <c r="N51" s="231"/>
      <c r="R51" s="232"/>
      <c r="AA51" s="230"/>
    </row>
    <row r="52" spans="2:27" s="147" customFormat="1">
      <c r="N52" s="231"/>
      <c r="R52" s="232"/>
      <c r="AA52" s="230"/>
    </row>
    <row r="53" spans="2:27" s="147" customFormat="1">
      <c r="N53" s="231"/>
      <c r="R53" s="232"/>
      <c r="AA53" s="230"/>
    </row>
    <row r="54" spans="2:27" s="147" customFormat="1">
      <c r="B54" s="1445" t="s">
        <v>998</v>
      </c>
      <c r="C54" s="1445"/>
      <c r="D54" s="1445"/>
      <c r="E54" s="1445"/>
      <c r="F54" s="1445"/>
      <c r="G54" s="1445"/>
      <c r="H54" s="1445"/>
      <c r="I54" s="1445"/>
      <c r="J54" s="1445"/>
      <c r="K54" s="1445"/>
      <c r="L54" s="1445"/>
      <c r="M54" s="1445"/>
      <c r="N54" s="1445"/>
      <c r="O54" s="1445"/>
      <c r="P54" s="1445"/>
      <c r="Q54" s="1445"/>
      <c r="R54" s="1445"/>
      <c r="S54" s="1445"/>
      <c r="AA54" s="230"/>
    </row>
    <row r="55" spans="2:27" s="147" customFormat="1"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AA55" s="230"/>
    </row>
    <row r="56" spans="2:27" s="147" customFormat="1"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  <c r="P56" s="287"/>
      <c r="Q56" s="287"/>
      <c r="R56" s="287"/>
      <c r="S56" s="287"/>
      <c r="AA56" s="230"/>
    </row>
    <row r="57" spans="2:27" s="232" customFormat="1">
      <c r="B57" s="288" t="s">
        <v>1001</v>
      </c>
      <c r="C57" s="289" t="s">
        <v>999</v>
      </c>
      <c r="D57" s="289">
        <v>6</v>
      </c>
      <c r="E57" s="289">
        <v>9</v>
      </c>
      <c r="F57" s="289">
        <v>12</v>
      </c>
      <c r="G57" s="289">
        <v>15</v>
      </c>
      <c r="H57" s="289">
        <v>25</v>
      </c>
      <c r="I57" s="289">
        <v>50</v>
      </c>
      <c r="J57" s="289">
        <v>75</v>
      </c>
      <c r="K57" s="289">
        <v>100</v>
      </c>
      <c r="L57" s="289">
        <v>150</v>
      </c>
      <c r="M57" s="289">
        <v>200</v>
      </c>
      <c r="N57" s="289">
        <v>250</v>
      </c>
      <c r="O57" s="289">
        <v>300</v>
      </c>
      <c r="P57" s="289">
        <v>400</v>
      </c>
      <c r="Q57" s="289">
        <v>600</v>
      </c>
      <c r="R57" s="289">
        <v>800</v>
      </c>
      <c r="S57" s="290">
        <v>1000</v>
      </c>
      <c r="AA57" s="230"/>
    </row>
    <row r="58" spans="2:27" s="282" customFormat="1">
      <c r="B58" s="291" t="s">
        <v>1000</v>
      </c>
      <c r="C58" s="291">
        <f>3*0.3048</f>
        <v>0.9144000000000001</v>
      </c>
      <c r="D58" s="291">
        <f t="shared" ref="D58:S58" si="0">D57*0.3048</f>
        <v>1.8288000000000002</v>
      </c>
      <c r="E58" s="291">
        <f t="shared" si="0"/>
        <v>2.7432000000000003</v>
      </c>
      <c r="F58" s="291">
        <f t="shared" si="0"/>
        <v>3.6576000000000004</v>
      </c>
      <c r="G58" s="291">
        <f t="shared" si="0"/>
        <v>4.5720000000000001</v>
      </c>
      <c r="H58" s="291">
        <f t="shared" si="0"/>
        <v>7.62</v>
      </c>
      <c r="I58" s="291">
        <f t="shared" si="0"/>
        <v>15.24</v>
      </c>
      <c r="J58" s="291">
        <f t="shared" si="0"/>
        <v>22.86</v>
      </c>
      <c r="K58" s="291">
        <f t="shared" si="0"/>
        <v>30.48</v>
      </c>
      <c r="L58" s="291">
        <f t="shared" si="0"/>
        <v>45.72</v>
      </c>
      <c r="M58" s="291">
        <f t="shared" si="0"/>
        <v>60.96</v>
      </c>
      <c r="N58" s="291">
        <f t="shared" si="0"/>
        <v>76.2</v>
      </c>
      <c r="O58" s="291">
        <f t="shared" si="0"/>
        <v>91.44</v>
      </c>
      <c r="P58" s="291">
        <f t="shared" si="0"/>
        <v>121.92</v>
      </c>
      <c r="Q58" s="291">
        <f t="shared" si="0"/>
        <v>182.88</v>
      </c>
      <c r="R58" s="291">
        <f t="shared" si="0"/>
        <v>243.84</v>
      </c>
      <c r="S58" s="291">
        <f t="shared" si="0"/>
        <v>304.8</v>
      </c>
      <c r="AA58" s="284"/>
    </row>
    <row r="59" spans="2:27" s="147" customFormat="1">
      <c r="B59" s="292" t="s">
        <v>369</v>
      </c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  <c r="P59" s="293"/>
      <c r="Q59" s="293"/>
      <c r="R59" s="293"/>
      <c r="S59" s="293"/>
      <c r="AA59" s="230"/>
    </row>
    <row r="60" spans="2:27" s="147" customFormat="1">
      <c r="B60" s="289">
        <v>0.2</v>
      </c>
      <c r="C60" s="294">
        <v>0.05</v>
      </c>
      <c r="D60" s="294">
        <v>0.05</v>
      </c>
      <c r="E60" s="294">
        <v>0.05</v>
      </c>
      <c r="F60" s="294">
        <v>0.05</v>
      </c>
      <c r="G60" s="294">
        <v>0.05</v>
      </c>
      <c r="H60" s="294">
        <v>0.05</v>
      </c>
      <c r="I60" s="294">
        <v>0.05</v>
      </c>
      <c r="J60" s="294">
        <v>0.05</v>
      </c>
      <c r="K60" s="294">
        <v>0.05</v>
      </c>
      <c r="L60" s="294">
        <v>0.05</v>
      </c>
      <c r="M60" s="294">
        <v>0.05</v>
      </c>
      <c r="N60" s="294">
        <v>0.05</v>
      </c>
      <c r="O60" s="294">
        <v>0.05</v>
      </c>
      <c r="P60" s="294">
        <v>0.05</v>
      </c>
      <c r="Q60" s="294">
        <v>0.06</v>
      </c>
      <c r="R60" s="294">
        <v>0.06</v>
      </c>
      <c r="S60" s="294">
        <v>0.06</v>
      </c>
      <c r="AA60" s="230"/>
    </row>
    <row r="61" spans="2:27" s="147" customFormat="1">
      <c r="B61" s="289">
        <v>0.5</v>
      </c>
      <c r="C61" s="294">
        <v>7.0000000000000007E-2</v>
      </c>
      <c r="D61" s="294">
        <v>7.0000000000000007E-2</v>
      </c>
      <c r="E61" s="294">
        <v>7.0000000000000007E-2</v>
      </c>
      <c r="F61" s="294">
        <v>7.0000000000000007E-2</v>
      </c>
      <c r="G61" s="294">
        <v>7.0000000000000007E-2</v>
      </c>
      <c r="H61" s="294">
        <v>0.08</v>
      </c>
      <c r="I61" s="294">
        <v>0.08</v>
      </c>
      <c r="J61" s="294">
        <v>0.08</v>
      </c>
      <c r="K61" s="294">
        <v>0.09</v>
      </c>
      <c r="L61" s="294">
        <v>0.09</v>
      </c>
      <c r="M61" s="294">
        <v>0.09</v>
      </c>
      <c r="N61" s="294">
        <v>0.09</v>
      </c>
      <c r="O61" s="294">
        <v>0.09</v>
      </c>
      <c r="P61" s="294">
        <v>0.1</v>
      </c>
      <c r="Q61" s="294">
        <v>0.1</v>
      </c>
      <c r="R61" s="294">
        <v>0.1</v>
      </c>
      <c r="S61" s="294">
        <v>0.1</v>
      </c>
      <c r="AA61" s="230"/>
    </row>
    <row r="62" spans="2:27" s="147" customFormat="1">
      <c r="B62" s="289">
        <v>1</v>
      </c>
      <c r="C62" s="294">
        <v>0.11</v>
      </c>
      <c r="D62" s="294">
        <v>0.11</v>
      </c>
      <c r="E62" s="294">
        <v>0.11</v>
      </c>
      <c r="F62" s="294">
        <v>0.11</v>
      </c>
      <c r="G62" s="294">
        <v>0.11</v>
      </c>
      <c r="H62" s="294">
        <v>0.12</v>
      </c>
      <c r="I62" s="294">
        <v>0.13</v>
      </c>
      <c r="J62" s="294">
        <v>0.14000000000000001</v>
      </c>
      <c r="K62" s="294">
        <v>0.14000000000000001</v>
      </c>
      <c r="L62" s="294">
        <v>0.15</v>
      </c>
      <c r="M62" s="294">
        <v>0.16</v>
      </c>
      <c r="N62" s="294">
        <v>0.17</v>
      </c>
      <c r="O62" s="294">
        <v>0.17</v>
      </c>
      <c r="P62" s="294">
        <v>0.18</v>
      </c>
      <c r="Q62" s="294">
        <v>0.19</v>
      </c>
      <c r="R62" s="294">
        <v>0.2</v>
      </c>
      <c r="S62" s="294">
        <v>0.2</v>
      </c>
      <c r="AA62" s="230"/>
    </row>
    <row r="63" spans="2:27" s="147" customFormat="1">
      <c r="B63" s="289">
        <v>2</v>
      </c>
      <c r="C63" s="294">
        <v>0.17</v>
      </c>
      <c r="D63" s="294">
        <v>0.17</v>
      </c>
      <c r="E63" s="294">
        <v>0.17</v>
      </c>
      <c r="F63" s="294">
        <v>0.17</v>
      </c>
      <c r="G63" s="294">
        <v>0.17</v>
      </c>
      <c r="H63" s="294">
        <v>0.19</v>
      </c>
      <c r="I63" s="294">
        <v>0.22</v>
      </c>
      <c r="J63" s="294">
        <v>0.25</v>
      </c>
      <c r="K63" s="294">
        <v>0.27</v>
      </c>
      <c r="L63" s="294">
        <v>0.28999999999999998</v>
      </c>
      <c r="M63" s="294">
        <v>0.31</v>
      </c>
      <c r="N63" s="294">
        <v>0.33</v>
      </c>
      <c r="O63" s="294">
        <v>0.35</v>
      </c>
      <c r="P63" s="294">
        <v>0.37</v>
      </c>
      <c r="Q63" s="294">
        <v>0.41</v>
      </c>
      <c r="R63" s="294">
        <v>0.44</v>
      </c>
      <c r="S63" s="294">
        <v>0.47</v>
      </c>
      <c r="AA63" s="230"/>
    </row>
    <row r="64" spans="2:27" s="147" customFormat="1">
      <c r="B64" s="289">
        <v>3</v>
      </c>
      <c r="C64" s="294">
        <v>0.22</v>
      </c>
      <c r="D64" s="294">
        <v>0.22</v>
      </c>
      <c r="E64" s="294">
        <v>0.22</v>
      </c>
      <c r="F64" s="294">
        <v>0.22</v>
      </c>
      <c r="G64" s="294">
        <v>0.22</v>
      </c>
      <c r="H64" s="294">
        <v>0.25</v>
      </c>
      <c r="I64" s="294">
        <v>0.32</v>
      </c>
      <c r="J64" s="294">
        <v>0.36</v>
      </c>
      <c r="K64" s="294">
        <v>0.39</v>
      </c>
      <c r="L64" s="294">
        <v>0.44</v>
      </c>
      <c r="M64" s="294">
        <v>0.48</v>
      </c>
      <c r="N64" s="294">
        <v>0.52</v>
      </c>
      <c r="O64" s="294">
        <v>0.55000000000000004</v>
      </c>
      <c r="P64" s="294">
        <v>0.6</v>
      </c>
      <c r="Q64" s="294">
        <v>0.68</v>
      </c>
      <c r="R64" s="294">
        <v>0.75</v>
      </c>
      <c r="S64" s="294">
        <v>0.8</v>
      </c>
      <c r="AA64" s="230"/>
    </row>
    <row r="65" spans="2:27" s="147" customFormat="1">
      <c r="B65" s="289">
        <v>4</v>
      </c>
      <c r="C65" s="294">
        <v>0.26</v>
      </c>
      <c r="D65" s="294">
        <v>0.26</v>
      </c>
      <c r="E65" s="294">
        <v>0.26</v>
      </c>
      <c r="F65" s="294">
        <v>0.26</v>
      </c>
      <c r="G65" s="294">
        <v>0.26</v>
      </c>
      <c r="H65" s="294">
        <v>0.31</v>
      </c>
      <c r="I65" s="294">
        <v>0.4</v>
      </c>
      <c r="J65" s="294">
        <v>0.47</v>
      </c>
      <c r="K65" s="294">
        <v>0.52</v>
      </c>
      <c r="L65" s="294">
        <v>0.6</v>
      </c>
      <c r="M65" s="294">
        <v>0.67</v>
      </c>
      <c r="N65" s="294">
        <v>0.72</v>
      </c>
      <c r="O65" s="294">
        <v>0.77</v>
      </c>
      <c r="P65" s="294">
        <v>0.86</v>
      </c>
      <c r="Q65" s="294">
        <v>0.99</v>
      </c>
      <c r="R65" s="294">
        <v>1.1000000000000001</v>
      </c>
      <c r="S65" s="294">
        <v>1.19</v>
      </c>
      <c r="AA65" s="230"/>
    </row>
    <row r="66" spans="2:27" s="147" customFormat="1">
      <c r="B66" s="289">
        <v>5</v>
      </c>
      <c r="C66" s="294">
        <v>0.3</v>
      </c>
      <c r="D66" s="294">
        <v>0.3</v>
      </c>
      <c r="E66" s="294">
        <v>0.3</v>
      </c>
      <c r="F66" s="294">
        <v>0.3</v>
      </c>
      <c r="G66" s="294">
        <v>0.3</v>
      </c>
      <c r="H66" s="294">
        <v>0.37</v>
      </c>
      <c r="I66" s="294">
        <v>0.49</v>
      </c>
      <c r="J66" s="294">
        <v>0.57999999999999996</v>
      </c>
      <c r="K66" s="294">
        <v>0.65</v>
      </c>
      <c r="L66" s="294">
        <v>0.76</v>
      </c>
      <c r="M66" s="294">
        <v>0.85</v>
      </c>
      <c r="N66" s="294">
        <v>0.93</v>
      </c>
      <c r="O66" s="294">
        <v>1.01</v>
      </c>
      <c r="P66" s="294">
        <v>1.1299999999999999</v>
      </c>
      <c r="Q66" s="294">
        <v>1.33</v>
      </c>
      <c r="R66" s="294">
        <v>1.49</v>
      </c>
      <c r="S66" s="294">
        <v>1.63</v>
      </c>
      <c r="AA66" s="230"/>
    </row>
    <row r="67" spans="2:27" s="147" customFormat="1">
      <c r="B67" s="289">
        <v>6</v>
      </c>
      <c r="C67" s="294">
        <v>0.34</v>
      </c>
      <c r="D67" s="294">
        <v>0.34</v>
      </c>
      <c r="E67" s="294">
        <v>0.34</v>
      </c>
      <c r="F67" s="294">
        <v>0.34</v>
      </c>
      <c r="G67" s="294">
        <v>0.34</v>
      </c>
      <c r="H67" s="294">
        <v>0.43</v>
      </c>
      <c r="I67" s="294">
        <v>0.57999999999999996</v>
      </c>
      <c r="J67" s="294">
        <v>0.69</v>
      </c>
      <c r="K67" s="294">
        <v>0.78</v>
      </c>
      <c r="L67" s="294">
        <v>0.93</v>
      </c>
      <c r="M67" s="294">
        <v>1.05</v>
      </c>
      <c r="N67" s="294">
        <v>1.1599999999999999</v>
      </c>
      <c r="O67" s="294">
        <v>1.25</v>
      </c>
      <c r="P67" s="294">
        <v>1.42</v>
      </c>
      <c r="Q67" s="294">
        <v>1.69</v>
      </c>
      <c r="R67" s="294">
        <v>1.91</v>
      </c>
      <c r="S67" s="294">
        <v>2.11</v>
      </c>
      <c r="AA67" s="230"/>
    </row>
    <row r="68" spans="2:27" s="147" customFormat="1">
      <c r="B68" s="289">
        <v>8</v>
      </c>
      <c r="C68" s="294">
        <v>0.42</v>
      </c>
      <c r="D68" s="294">
        <v>0.42</v>
      </c>
      <c r="E68" s="294">
        <v>0.42</v>
      </c>
      <c r="F68" s="294">
        <v>0.42</v>
      </c>
      <c r="G68" s="294">
        <v>0.42</v>
      </c>
      <c r="H68" s="294">
        <v>0.53</v>
      </c>
      <c r="I68" s="294">
        <v>0.74</v>
      </c>
      <c r="J68" s="294">
        <v>0.91</v>
      </c>
      <c r="K68" s="294">
        <v>1.04</v>
      </c>
      <c r="L68" s="294">
        <v>1.26</v>
      </c>
      <c r="M68" s="294">
        <v>1.45</v>
      </c>
      <c r="N68" s="294">
        <v>1.62</v>
      </c>
      <c r="O68" s="294">
        <v>1.77</v>
      </c>
      <c r="P68" s="294">
        <v>2.0299999999999998</v>
      </c>
      <c r="Q68" s="294">
        <v>2.4700000000000002</v>
      </c>
      <c r="R68" s="294">
        <v>2.83</v>
      </c>
      <c r="S68" s="294">
        <v>3.15</v>
      </c>
      <c r="AA68" s="230"/>
    </row>
    <row r="69" spans="2:27" s="147" customFormat="1">
      <c r="B69" s="289">
        <v>10</v>
      </c>
      <c r="C69" s="294">
        <v>0.46</v>
      </c>
      <c r="D69" s="294">
        <v>0.48</v>
      </c>
      <c r="E69" s="294">
        <v>0.5</v>
      </c>
      <c r="F69" s="294">
        <v>0.51</v>
      </c>
      <c r="G69" s="294">
        <v>0.52</v>
      </c>
      <c r="H69" s="294">
        <v>0.67</v>
      </c>
      <c r="I69" s="294">
        <v>0.97</v>
      </c>
      <c r="J69" s="294">
        <v>1.19</v>
      </c>
      <c r="K69" s="294">
        <v>1.38</v>
      </c>
      <c r="L69" s="294">
        <v>1.71</v>
      </c>
      <c r="M69" s="294">
        <v>1.98</v>
      </c>
      <c r="N69" s="294">
        <v>2.2200000000000002</v>
      </c>
      <c r="O69" s="294">
        <v>2.44</v>
      </c>
      <c r="P69" s="294">
        <v>2.84</v>
      </c>
      <c r="Q69" s="294">
        <v>3.5</v>
      </c>
      <c r="R69" s="294">
        <v>4.0599999999999996</v>
      </c>
      <c r="S69" s="294">
        <v>4.5599999999999996</v>
      </c>
      <c r="AA69" s="230"/>
    </row>
    <row r="70" spans="2:27" s="147" customFormat="1">
      <c r="B70" s="289">
        <v>12</v>
      </c>
      <c r="C70" s="294">
        <v>0.47</v>
      </c>
      <c r="D70" s="294">
        <v>0.53</v>
      </c>
      <c r="E70" s="294">
        <v>0.57999999999999996</v>
      </c>
      <c r="F70" s="294">
        <v>0.61</v>
      </c>
      <c r="G70" s="294">
        <v>0.64</v>
      </c>
      <c r="H70" s="294">
        <v>0.84</v>
      </c>
      <c r="I70" s="294">
        <v>1.23</v>
      </c>
      <c r="J70" s="294">
        <v>1.53</v>
      </c>
      <c r="K70" s="294">
        <v>1.79</v>
      </c>
      <c r="L70" s="294">
        <v>2.23</v>
      </c>
      <c r="M70" s="294">
        <v>2.61</v>
      </c>
      <c r="N70" s="294">
        <v>2.95</v>
      </c>
      <c r="O70" s="294">
        <v>3.26</v>
      </c>
      <c r="P70" s="294">
        <v>3.81</v>
      </c>
      <c r="Q70" s="294">
        <v>4.75</v>
      </c>
      <c r="R70" s="294">
        <v>5.56</v>
      </c>
      <c r="S70" s="294">
        <v>6.28</v>
      </c>
      <c r="AA70" s="230"/>
    </row>
    <row r="71" spans="2:27" s="147" customFormat="1">
      <c r="B71" s="289">
        <v>14</v>
      </c>
      <c r="C71" s="294">
        <v>0.48</v>
      </c>
      <c r="D71" s="294">
        <v>0.57999999999999996</v>
      </c>
      <c r="E71" s="294">
        <v>0.65</v>
      </c>
      <c r="F71" s="294">
        <v>0.7</v>
      </c>
      <c r="G71" s="294">
        <v>0.75</v>
      </c>
      <c r="H71" s="294">
        <v>1</v>
      </c>
      <c r="I71" s="294">
        <v>1.48</v>
      </c>
      <c r="J71" s="294">
        <v>1.86</v>
      </c>
      <c r="K71" s="294">
        <v>2.19</v>
      </c>
      <c r="L71" s="294">
        <v>2.76</v>
      </c>
      <c r="M71" s="294">
        <v>3.25</v>
      </c>
      <c r="N71" s="294">
        <v>3.69</v>
      </c>
      <c r="O71" s="294">
        <v>4.09</v>
      </c>
      <c r="P71" s="294">
        <v>4.82</v>
      </c>
      <c r="Q71" s="294">
        <v>6.07</v>
      </c>
      <c r="R71" s="294">
        <v>7.15</v>
      </c>
      <c r="S71" s="294">
        <v>8.11</v>
      </c>
      <c r="AA71" s="230"/>
    </row>
    <row r="72" spans="2:27" s="147" customFormat="1">
      <c r="B72" s="289">
        <v>16</v>
      </c>
      <c r="C72" s="294">
        <v>0.49</v>
      </c>
      <c r="D72" s="294">
        <v>0.63</v>
      </c>
      <c r="E72" s="294">
        <v>0.72</v>
      </c>
      <c r="F72" s="294">
        <v>0.79</v>
      </c>
      <c r="G72" s="294">
        <v>0.85</v>
      </c>
      <c r="H72" s="294">
        <v>1.1499999999999999</v>
      </c>
      <c r="I72" s="294">
        <v>1.73</v>
      </c>
      <c r="J72" s="294">
        <v>2.2000000000000002</v>
      </c>
      <c r="K72" s="294">
        <v>2.6</v>
      </c>
      <c r="L72" s="294">
        <v>3.3</v>
      </c>
      <c r="M72" s="294">
        <v>3.9</v>
      </c>
      <c r="N72" s="294">
        <v>4.45</v>
      </c>
      <c r="O72" s="294">
        <v>4.95</v>
      </c>
      <c r="P72" s="294">
        <v>5.86</v>
      </c>
      <c r="Q72" s="294">
        <v>7.43</v>
      </c>
      <c r="R72" s="294">
        <v>8.7899999999999991</v>
      </c>
      <c r="S72" s="294">
        <v>10.02</v>
      </c>
      <c r="AA72" s="230"/>
    </row>
    <row r="73" spans="2:27" s="147" customFormat="1">
      <c r="B73" s="289">
        <v>20</v>
      </c>
      <c r="C73" s="294">
        <v>0.52</v>
      </c>
      <c r="D73" s="294">
        <v>0.71</v>
      </c>
      <c r="E73" s="294">
        <v>0.85</v>
      </c>
      <c r="F73" s="294">
        <v>0.96</v>
      </c>
      <c r="G73" s="294">
        <v>1.06</v>
      </c>
      <c r="H73" s="294">
        <v>1.45</v>
      </c>
      <c r="I73" s="294">
        <v>2.2200000000000002</v>
      </c>
      <c r="J73" s="294">
        <v>2.85</v>
      </c>
      <c r="K73" s="294">
        <v>3.4</v>
      </c>
      <c r="L73" s="294">
        <v>4.3600000000000003</v>
      </c>
      <c r="M73" s="294">
        <v>5.21</v>
      </c>
      <c r="N73" s="294">
        <v>5.97</v>
      </c>
      <c r="O73" s="294">
        <v>6.68</v>
      </c>
      <c r="P73" s="294">
        <v>7.97</v>
      </c>
      <c r="Q73" s="294">
        <v>10.23</v>
      </c>
      <c r="R73" s="294">
        <v>12.2</v>
      </c>
      <c r="S73" s="294">
        <v>13.99</v>
      </c>
      <c r="AA73" s="230"/>
    </row>
    <row r="74" spans="2:27" s="147" customFormat="1">
      <c r="B74" s="289">
        <v>25</v>
      </c>
      <c r="C74" s="294">
        <v>0.56000000000000005</v>
      </c>
      <c r="D74" s="294">
        <v>0.8</v>
      </c>
      <c r="E74" s="294">
        <v>1</v>
      </c>
      <c r="F74" s="294">
        <v>1.1599999999999999</v>
      </c>
      <c r="G74" s="294">
        <v>1.3</v>
      </c>
      <c r="H74" s="294">
        <v>1.81</v>
      </c>
      <c r="I74" s="294">
        <v>2.82</v>
      </c>
      <c r="J74" s="294">
        <v>3.65</v>
      </c>
      <c r="K74" s="294">
        <v>4.3899999999999997</v>
      </c>
      <c r="L74" s="294">
        <v>5.69</v>
      </c>
      <c r="M74" s="294">
        <v>6.83</v>
      </c>
      <c r="N74" s="294">
        <v>7.88</v>
      </c>
      <c r="O74" s="294">
        <v>8.86</v>
      </c>
      <c r="P74" s="294">
        <v>10.65</v>
      </c>
      <c r="Q74" s="294">
        <v>13.8</v>
      </c>
      <c r="R74" s="294">
        <v>16.579999999999998</v>
      </c>
      <c r="S74" s="294">
        <v>19.13</v>
      </c>
      <c r="AA74" s="230"/>
    </row>
    <row r="75" spans="2:27" s="147" customFormat="1">
      <c r="B75" s="289">
        <v>30</v>
      </c>
      <c r="C75" s="294">
        <v>0.59</v>
      </c>
      <c r="D75" s="294">
        <v>0.89</v>
      </c>
      <c r="E75" s="294">
        <v>1.1299999999999999</v>
      </c>
      <c r="F75" s="294">
        <v>1.34</v>
      </c>
      <c r="G75" s="294">
        <v>1.53</v>
      </c>
      <c r="H75" s="294">
        <v>2.15</v>
      </c>
      <c r="I75" s="294">
        <v>3.39</v>
      </c>
      <c r="J75" s="294">
        <v>4.42</v>
      </c>
      <c r="K75" s="294">
        <v>5.34</v>
      </c>
      <c r="L75" s="294">
        <v>6.98</v>
      </c>
      <c r="M75" s="294">
        <v>8.43</v>
      </c>
      <c r="N75" s="294">
        <v>9.76</v>
      </c>
      <c r="O75" s="294">
        <v>11.01</v>
      </c>
      <c r="P75" s="294">
        <v>13.3</v>
      </c>
      <c r="Q75" s="294">
        <v>17.37</v>
      </c>
      <c r="R75" s="294">
        <v>20.99</v>
      </c>
      <c r="S75" s="294">
        <v>24.31</v>
      </c>
      <c r="AA75" s="230"/>
    </row>
    <row r="76" spans="2:27" s="147" customFormat="1">
      <c r="B76" s="289">
        <v>40</v>
      </c>
      <c r="C76" s="294">
        <v>0.65</v>
      </c>
      <c r="D76" s="294">
        <v>1.05</v>
      </c>
      <c r="E76" s="294">
        <v>1.38</v>
      </c>
      <c r="F76" s="294">
        <v>1.68</v>
      </c>
      <c r="G76" s="294">
        <v>1.95</v>
      </c>
      <c r="H76" s="294">
        <v>2.77</v>
      </c>
      <c r="I76" s="294">
        <v>4.45</v>
      </c>
      <c r="J76" s="294">
        <v>5.87</v>
      </c>
      <c r="K76" s="294">
        <v>7.14</v>
      </c>
      <c r="L76" s="294">
        <v>9.43</v>
      </c>
      <c r="M76" s="294">
        <v>11.47</v>
      </c>
      <c r="N76" s="294">
        <v>13.37</v>
      </c>
      <c r="O76" s="294">
        <v>15.14</v>
      </c>
      <c r="P76" s="294">
        <v>18.43</v>
      </c>
      <c r="Q76" s="294">
        <v>24.32</v>
      </c>
      <c r="R76" s="294">
        <v>29.6</v>
      </c>
      <c r="S76" s="294">
        <v>34.479999999999997</v>
      </c>
      <c r="AA76" s="230"/>
    </row>
    <row r="77" spans="2:27" s="147" customFormat="1">
      <c r="B77" s="289">
        <v>50</v>
      </c>
      <c r="C77" s="294">
        <v>0.71</v>
      </c>
      <c r="D77" s="294">
        <v>1.18</v>
      </c>
      <c r="E77" s="294">
        <v>1.59</v>
      </c>
      <c r="F77" s="294">
        <v>1.97</v>
      </c>
      <c r="G77" s="294">
        <v>2.3199999999999998</v>
      </c>
      <c r="H77" s="294">
        <v>3.32</v>
      </c>
      <c r="I77" s="294">
        <v>5.4</v>
      </c>
      <c r="J77" s="294">
        <v>7.17</v>
      </c>
      <c r="K77" s="294">
        <v>8.7799999999999994</v>
      </c>
      <c r="L77" s="294">
        <v>11.66</v>
      </c>
      <c r="M77" s="294">
        <v>14.26</v>
      </c>
      <c r="N77" s="294">
        <v>16.670000000000002</v>
      </c>
      <c r="O77" s="294">
        <v>18.940000000000001</v>
      </c>
      <c r="P77" s="294">
        <v>23.17</v>
      </c>
      <c r="Q77" s="294">
        <v>30.78</v>
      </c>
      <c r="R77" s="294">
        <v>37.65</v>
      </c>
      <c r="S77" s="294">
        <v>44.02</v>
      </c>
      <c r="AA77" s="230"/>
    </row>
    <row r="78" spans="2:27" s="147" customFormat="1">
      <c r="B78" s="292">
        <v>60</v>
      </c>
      <c r="C78" s="295">
        <v>0.76</v>
      </c>
      <c r="D78" s="295">
        <v>1.3</v>
      </c>
      <c r="E78" s="295">
        <v>1.78</v>
      </c>
      <c r="F78" s="295">
        <v>2.23</v>
      </c>
      <c r="G78" s="295">
        <v>2.65</v>
      </c>
      <c r="H78" s="295">
        <v>3.81</v>
      </c>
      <c r="I78" s="295">
        <v>6.24</v>
      </c>
      <c r="J78" s="295">
        <v>8.33</v>
      </c>
      <c r="K78" s="295">
        <v>10.23</v>
      </c>
      <c r="L78" s="295">
        <v>13.65</v>
      </c>
      <c r="M78" s="295">
        <v>16.760000000000002</v>
      </c>
      <c r="N78" s="295">
        <v>19.64</v>
      </c>
      <c r="O78" s="295">
        <v>22.36</v>
      </c>
      <c r="P78" s="295">
        <v>27.45</v>
      </c>
      <c r="Q78" s="295">
        <v>36.630000000000003</v>
      </c>
      <c r="R78" s="295">
        <v>44.96</v>
      </c>
      <c r="S78" s="295">
        <v>52.7</v>
      </c>
      <c r="AA78" s="230"/>
    </row>
    <row r="79" spans="2:27" s="147" customFormat="1">
      <c r="N79" s="231"/>
      <c r="R79" s="232"/>
      <c r="AA79" s="230"/>
    </row>
  </sheetData>
  <sheetProtection sheet="1" objects="1" scenario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A242"/>
  <sheetViews>
    <sheetView topLeftCell="A52" workbookViewId="0">
      <selection activeCell="B80" sqref="B80"/>
    </sheetView>
  </sheetViews>
  <sheetFormatPr defaultColWidth="11" defaultRowHeight="15.75"/>
  <cols>
    <col min="1" max="1" width="33.375" style="147" customWidth="1"/>
    <col min="2" max="2" width="33.875" style="147" customWidth="1"/>
    <col min="3" max="3" width="21.5" style="147" customWidth="1"/>
    <col min="4" max="4" width="17.375" style="147" customWidth="1"/>
    <col min="5" max="5" width="27.5" style="147" customWidth="1"/>
    <col min="6" max="6" width="13.625" style="147" customWidth="1"/>
    <col min="7" max="7" width="11" style="147" customWidth="1"/>
    <col min="8" max="8" width="12.125" style="147" customWidth="1"/>
    <col min="9" max="12" width="11" style="147" customWidth="1"/>
    <col min="13" max="13" width="13" style="147" customWidth="1"/>
    <col min="14" max="14" width="11" style="231" customWidth="1"/>
    <col min="15" max="15" width="16" style="147" customWidth="1"/>
    <col min="16" max="16" width="10.125" style="147" bestFit="1" customWidth="1"/>
    <col min="17" max="17" width="11" style="147"/>
    <col min="18" max="18" width="15.375" style="232" bestFit="1" customWidth="1"/>
    <col min="19" max="19" width="11" style="147"/>
    <col min="20" max="20" width="11.375" style="147" bestFit="1" customWidth="1"/>
    <col min="21" max="26" width="11" style="147"/>
    <col min="27" max="27" width="15.375" style="230" bestFit="1" customWidth="1"/>
    <col min="28" max="16384" width="11" style="147"/>
  </cols>
  <sheetData>
    <row r="1" spans="1:5">
      <c r="A1" s="147" t="s">
        <v>86</v>
      </c>
    </row>
    <row r="3" spans="1:5">
      <c r="A3" s="147" t="s">
        <v>85</v>
      </c>
    </row>
    <row r="5" spans="1:5">
      <c r="A5" s="155" t="s">
        <v>57</v>
      </c>
      <c r="B5" s="155" t="s">
        <v>84</v>
      </c>
      <c r="C5" s="155" t="s">
        <v>83</v>
      </c>
      <c r="D5" s="155" t="s">
        <v>82</v>
      </c>
      <c r="E5" s="155"/>
    </row>
    <row r="6" spans="1:5">
      <c r="A6" s="155" t="s">
        <v>81</v>
      </c>
      <c r="B6" s="250">
        <v>46</v>
      </c>
      <c r="C6" s="155" t="s">
        <v>59</v>
      </c>
      <c r="D6" s="155" t="s">
        <v>657</v>
      </c>
      <c r="E6" s="155" t="s">
        <v>104</v>
      </c>
    </row>
    <row r="7" spans="1:5">
      <c r="A7" s="155" t="s">
        <v>98</v>
      </c>
      <c r="B7" s="155">
        <v>32</v>
      </c>
      <c r="C7" s="155" t="s">
        <v>59</v>
      </c>
      <c r="D7" s="155" t="s">
        <v>99</v>
      </c>
      <c r="E7" s="155" t="s">
        <v>104</v>
      </c>
    </row>
    <row r="8" spans="1:5">
      <c r="A8" s="155" t="s">
        <v>100</v>
      </c>
      <c r="B8" s="155">
        <v>41</v>
      </c>
      <c r="C8" s="155" t="s">
        <v>59</v>
      </c>
      <c r="D8" s="155" t="s">
        <v>99</v>
      </c>
      <c r="E8" s="155" t="s">
        <v>104</v>
      </c>
    </row>
    <row r="9" spans="1:5">
      <c r="A9" s="155" t="s">
        <v>101</v>
      </c>
      <c r="B9" s="155">
        <v>41</v>
      </c>
      <c r="C9" s="155" t="s">
        <v>59</v>
      </c>
      <c r="D9" s="155" t="s">
        <v>99</v>
      </c>
      <c r="E9" s="155" t="s">
        <v>104</v>
      </c>
    </row>
    <row r="10" spans="1:5">
      <c r="A10" s="155" t="s">
        <v>102</v>
      </c>
      <c r="B10" s="250">
        <v>49</v>
      </c>
      <c r="C10" s="155" t="s">
        <v>59</v>
      </c>
      <c r="D10" s="155" t="s">
        <v>99</v>
      </c>
      <c r="E10" s="155" t="s">
        <v>104</v>
      </c>
    </row>
    <row r="11" spans="1:5">
      <c r="A11" s="155" t="s">
        <v>103</v>
      </c>
      <c r="B11" s="250">
        <v>16</v>
      </c>
      <c r="C11" s="155" t="s">
        <v>59</v>
      </c>
      <c r="D11" s="155" t="s">
        <v>99</v>
      </c>
      <c r="E11" s="155" t="s">
        <v>104</v>
      </c>
    </row>
    <row r="12" spans="1:5">
      <c r="A12" s="155" t="s">
        <v>53</v>
      </c>
      <c r="B12" s="250">
        <v>5</v>
      </c>
      <c r="C12" s="155" t="s">
        <v>59</v>
      </c>
      <c r="D12" s="155" t="s">
        <v>80</v>
      </c>
      <c r="E12" s="155" t="s">
        <v>386</v>
      </c>
    </row>
    <row r="13" spans="1:5">
      <c r="A13" s="155" t="s">
        <v>52</v>
      </c>
      <c r="B13" s="250">
        <v>5</v>
      </c>
      <c r="C13" s="155" t="s">
        <v>59</v>
      </c>
      <c r="D13" s="155" t="s">
        <v>80</v>
      </c>
      <c r="E13" s="155" t="s">
        <v>386</v>
      </c>
    </row>
    <row r="16" spans="1:5">
      <c r="A16" s="155"/>
      <c r="B16" s="228" t="s">
        <v>291</v>
      </c>
    </row>
    <row r="17" spans="1:2">
      <c r="A17" s="1495" t="s">
        <v>399</v>
      </c>
      <c r="B17" s="228" t="s">
        <v>369</v>
      </c>
    </row>
    <row r="18" spans="1:2">
      <c r="A18" s="1496"/>
      <c r="B18" s="1236" t="s">
        <v>401</v>
      </c>
    </row>
    <row r="19" spans="1:2">
      <c r="A19" s="1497"/>
      <c r="B19" s="1237" t="s">
        <v>648</v>
      </c>
    </row>
    <row r="20" spans="1:2">
      <c r="A20" s="228" t="s">
        <v>81</v>
      </c>
      <c r="B20" s="1236">
        <v>6.5</v>
      </c>
    </row>
    <row r="21" spans="1:2">
      <c r="A21" s="228" t="s">
        <v>441</v>
      </c>
      <c r="B21" s="1236">
        <v>3</v>
      </c>
    </row>
    <row r="22" spans="1:2">
      <c r="A22" s="228" t="s">
        <v>646</v>
      </c>
      <c r="B22" s="1236">
        <v>4.5</v>
      </c>
    </row>
    <row r="23" spans="1:2">
      <c r="A23" s="228" t="s">
        <v>647</v>
      </c>
      <c r="B23" s="1236">
        <v>6.5</v>
      </c>
    </row>
    <row r="24" spans="1:2" ht="31.5">
      <c r="A24" s="1161" t="s">
        <v>1681</v>
      </c>
      <c r="B24" s="1238">
        <v>6.5</v>
      </c>
    </row>
    <row r="29" spans="1:2">
      <c r="A29" s="147" t="s">
        <v>79</v>
      </c>
    </row>
    <row r="30" spans="1:2">
      <c r="A30" s="147" t="s">
        <v>78</v>
      </c>
    </row>
    <row r="31" spans="1:2">
      <c r="A31" s="147" t="s">
        <v>77</v>
      </c>
    </row>
    <row r="32" spans="1:2">
      <c r="A32" s="147" t="s">
        <v>59</v>
      </c>
    </row>
    <row r="33" spans="1:22">
      <c r="D33" s="147" t="s">
        <v>76</v>
      </c>
    </row>
    <row r="34" spans="1:22">
      <c r="A34" s="177" t="s">
        <v>75</v>
      </c>
      <c r="B34" s="177" t="s">
        <v>74</v>
      </c>
      <c r="C34" s="228" t="s">
        <v>73</v>
      </c>
      <c r="D34" s="228" t="s">
        <v>72</v>
      </c>
      <c r="E34" s="228"/>
      <c r="F34" s="228"/>
      <c r="G34" s="228"/>
      <c r="H34" s="228"/>
      <c r="I34" s="228" t="s">
        <v>71</v>
      </c>
      <c r="J34" s="228"/>
      <c r="K34" s="228"/>
      <c r="L34" s="227"/>
      <c r="M34" s="228"/>
      <c r="N34" s="228"/>
      <c r="O34" s="228"/>
      <c r="P34" s="228"/>
      <c r="Q34" s="228"/>
      <c r="R34" s="228"/>
      <c r="S34" s="228"/>
      <c r="T34" s="228" t="s">
        <v>70</v>
      </c>
      <c r="U34" s="228"/>
      <c r="V34" s="228"/>
    </row>
    <row r="35" spans="1:22">
      <c r="A35" s="1495" t="s">
        <v>67</v>
      </c>
      <c r="B35" s="1451" t="s">
        <v>66</v>
      </c>
      <c r="C35" s="228"/>
      <c r="D35" s="251" t="s">
        <v>69</v>
      </c>
      <c r="E35" s="228">
        <v>11</v>
      </c>
      <c r="F35" s="228">
        <v>12</v>
      </c>
      <c r="G35" s="228">
        <v>13</v>
      </c>
      <c r="H35" s="228">
        <v>14</v>
      </c>
      <c r="I35" s="228">
        <v>15</v>
      </c>
      <c r="J35" s="228">
        <v>16</v>
      </c>
      <c r="K35" s="228">
        <v>17</v>
      </c>
      <c r="L35" s="228">
        <v>18</v>
      </c>
      <c r="M35" s="228">
        <v>19</v>
      </c>
      <c r="N35" s="228">
        <v>20</v>
      </c>
      <c r="O35" s="228">
        <v>21</v>
      </c>
      <c r="P35" s="228">
        <v>22</v>
      </c>
      <c r="Q35" s="228">
        <v>23</v>
      </c>
      <c r="R35" s="228">
        <v>24</v>
      </c>
      <c r="S35" s="228">
        <v>25</v>
      </c>
      <c r="T35" s="228">
        <v>26</v>
      </c>
      <c r="U35" s="228">
        <v>27</v>
      </c>
      <c r="V35" s="251" t="s">
        <v>68</v>
      </c>
    </row>
    <row r="36" spans="1:22" ht="15" customHeight="1">
      <c r="A36" s="1496"/>
      <c r="B36" s="1452"/>
      <c r="C36" s="228" t="s">
        <v>65</v>
      </c>
      <c r="D36" s="228">
        <v>1</v>
      </c>
      <c r="E36" s="228">
        <v>1</v>
      </c>
      <c r="F36" s="228">
        <v>1</v>
      </c>
      <c r="G36" s="228">
        <v>1</v>
      </c>
      <c r="H36" s="228">
        <v>1</v>
      </c>
      <c r="I36" s="228">
        <v>1</v>
      </c>
      <c r="J36" s="228">
        <v>1</v>
      </c>
      <c r="K36" s="228">
        <v>1</v>
      </c>
      <c r="L36" s="228">
        <v>1</v>
      </c>
      <c r="M36" s="228">
        <v>1</v>
      </c>
      <c r="N36" s="228">
        <v>1</v>
      </c>
      <c r="O36" s="228">
        <v>1</v>
      </c>
      <c r="P36" s="228">
        <v>1</v>
      </c>
      <c r="Q36" s="228">
        <v>1</v>
      </c>
      <c r="R36" s="228">
        <v>1</v>
      </c>
      <c r="S36" s="228">
        <v>1</v>
      </c>
      <c r="T36" s="228">
        <v>1</v>
      </c>
      <c r="U36" s="228">
        <v>1</v>
      </c>
      <c r="V36" s="228">
        <v>1</v>
      </c>
    </row>
    <row r="37" spans="1:22">
      <c r="A37" s="1496"/>
      <c r="B37" s="1452"/>
      <c r="C37" s="228" t="s">
        <v>64</v>
      </c>
      <c r="D37" s="228">
        <v>0</v>
      </c>
      <c r="E37" s="228">
        <v>0</v>
      </c>
      <c r="F37" s="228">
        <v>0</v>
      </c>
      <c r="G37" s="228">
        <v>0</v>
      </c>
      <c r="H37" s="228">
        <v>0</v>
      </c>
      <c r="I37" s="228">
        <v>1</v>
      </c>
      <c r="J37" s="228">
        <v>1</v>
      </c>
      <c r="K37" s="228">
        <v>1</v>
      </c>
      <c r="L37" s="228">
        <v>1</v>
      </c>
      <c r="M37" s="228">
        <v>1</v>
      </c>
      <c r="N37" s="228">
        <v>1</v>
      </c>
      <c r="O37" s="228">
        <v>1</v>
      </c>
      <c r="P37" s="228">
        <v>1</v>
      </c>
      <c r="Q37" s="228">
        <v>1</v>
      </c>
      <c r="R37" s="228">
        <v>1</v>
      </c>
      <c r="S37" s="228">
        <v>1</v>
      </c>
      <c r="T37" s="228">
        <v>1</v>
      </c>
      <c r="U37" s="228">
        <v>1</v>
      </c>
      <c r="V37" s="228">
        <v>1</v>
      </c>
    </row>
    <row r="38" spans="1:22">
      <c r="A38" s="1497"/>
      <c r="B38" s="1453"/>
      <c r="C38" s="228" t="s">
        <v>63</v>
      </c>
      <c r="D38" s="228">
        <v>0</v>
      </c>
      <c r="E38" s="228">
        <v>0</v>
      </c>
      <c r="F38" s="228">
        <v>0</v>
      </c>
      <c r="G38" s="228">
        <v>1</v>
      </c>
      <c r="H38" s="228">
        <v>1</v>
      </c>
      <c r="I38" s="228">
        <v>1</v>
      </c>
      <c r="J38" s="228">
        <v>1</v>
      </c>
      <c r="K38" s="228">
        <v>1</v>
      </c>
      <c r="L38" s="228">
        <v>1</v>
      </c>
      <c r="M38" s="228">
        <v>1</v>
      </c>
      <c r="N38" s="228">
        <v>1</v>
      </c>
      <c r="O38" s="228">
        <v>1</v>
      </c>
      <c r="P38" s="228">
        <v>1</v>
      </c>
      <c r="Q38" s="228">
        <v>1</v>
      </c>
      <c r="R38" s="228">
        <v>1</v>
      </c>
      <c r="S38" s="228">
        <v>1</v>
      </c>
      <c r="T38" s="228">
        <v>1</v>
      </c>
      <c r="U38" s="228">
        <v>1</v>
      </c>
      <c r="V38" s="228">
        <v>2</v>
      </c>
    </row>
    <row r="39" spans="1:22">
      <c r="B39" s="225"/>
    </row>
    <row r="45" spans="1:22">
      <c r="A45" s="147" t="s">
        <v>446</v>
      </c>
    </row>
    <row r="46" spans="1:22" s="156" customFormat="1" ht="63">
      <c r="A46" s="155" t="s">
        <v>442</v>
      </c>
      <c r="B46" s="155" t="s">
        <v>443</v>
      </c>
      <c r="C46" s="155" t="s">
        <v>444</v>
      </c>
      <c r="D46" s="155" t="s">
        <v>445</v>
      </c>
      <c r="N46" s="252"/>
    </row>
    <row r="47" spans="1:22">
      <c r="A47" s="177"/>
      <c r="B47" s="228"/>
      <c r="C47" s="228" t="s">
        <v>128</v>
      </c>
      <c r="D47" s="228" t="s">
        <v>369</v>
      </c>
    </row>
    <row r="48" spans="1:22">
      <c r="A48" s="1466" t="s">
        <v>447</v>
      </c>
      <c r="B48" s="1057" t="s">
        <v>460</v>
      </c>
      <c r="C48" s="1057" t="s">
        <v>131</v>
      </c>
      <c r="D48" s="228"/>
    </row>
    <row r="49" spans="1:6">
      <c r="A49" s="1466"/>
      <c r="B49" s="166" t="s">
        <v>448</v>
      </c>
      <c r="C49" s="226">
        <v>0.28000000000000003</v>
      </c>
      <c r="D49" s="228" t="s">
        <v>450</v>
      </c>
      <c r="E49" s="11"/>
      <c r="F49" s="155"/>
    </row>
    <row r="50" spans="1:6">
      <c r="A50" s="1466"/>
      <c r="B50" s="166" t="s">
        <v>651</v>
      </c>
      <c r="C50" s="226">
        <v>0.2</v>
      </c>
      <c r="D50" s="228" t="s">
        <v>451</v>
      </c>
      <c r="E50" s="11"/>
      <c r="F50" s="155"/>
    </row>
    <row r="51" spans="1:6">
      <c r="A51" s="1466"/>
      <c r="B51" s="166" t="s">
        <v>475</v>
      </c>
      <c r="C51" s="226">
        <v>0.3</v>
      </c>
      <c r="D51" s="228" t="s">
        <v>450</v>
      </c>
      <c r="E51" s="166"/>
      <c r="F51" s="155"/>
    </row>
    <row r="52" spans="1:6">
      <c r="A52" s="1466"/>
      <c r="B52" s="166"/>
      <c r="C52" s="226"/>
      <c r="D52" s="228"/>
      <c r="E52" s="253"/>
      <c r="F52" s="155"/>
    </row>
    <row r="53" spans="1:6">
      <c r="A53" s="1466"/>
      <c r="B53" s="166"/>
      <c r="C53" s="226"/>
      <c r="D53" s="228"/>
      <c r="E53" s="253"/>
      <c r="F53" s="155"/>
    </row>
    <row r="54" spans="1:6">
      <c r="A54" s="1466"/>
      <c r="B54" s="166"/>
      <c r="C54" s="226"/>
      <c r="D54" s="228"/>
      <c r="E54" s="253"/>
      <c r="F54" s="1076"/>
    </row>
    <row r="55" spans="1:6">
      <c r="A55" s="1466"/>
      <c r="B55" s="166" t="s">
        <v>449</v>
      </c>
      <c r="C55" s="226">
        <v>7.0000000000000007E-2</v>
      </c>
      <c r="D55" s="228" t="s">
        <v>452</v>
      </c>
      <c r="E55" s="253"/>
    </row>
    <row r="56" spans="1:6">
      <c r="A56" s="1495" t="s">
        <v>453</v>
      </c>
      <c r="B56" s="1068" t="s">
        <v>651</v>
      </c>
      <c r="C56" s="226">
        <v>0.3</v>
      </c>
      <c r="D56" s="228" t="s">
        <v>455</v>
      </c>
      <c r="E56" s="253"/>
    </row>
    <row r="57" spans="1:6">
      <c r="A57" s="1496"/>
      <c r="B57" s="1068" t="s">
        <v>475</v>
      </c>
      <c r="C57" s="226">
        <v>0.45</v>
      </c>
      <c r="D57" s="228" t="s">
        <v>456</v>
      </c>
    </row>
    <row r="58" spans="1:6">
      <c r="A58" s="1497"/>
      <c r="B58" s="1068" t="s">
        <v>454</v>
      </c>
      <c r="C58" s="226">
        <v>0.3</v>
      </c>
      <c r="D58" s="228" t="s">
        <v>457</v>
      </c>
    </row>
    <row r="59" spans="1:6">
      <c r="A59" s="177" t="s">
        <v>458</v>
      </c>
      <c r="B59" s="177"/>
      <c r="C59" s="254"/>
      <c r="D59" s="177"/>
    </row>
    <row r="62" spans="1:6">
      <c r="A62" s="147" t="s">
        <v>62</v>
      </c>
    </row>
    <row r="63" spans="1:6">
      <c r="A63" s="147" t="s">
        <v>61</v>
      </c>
    </row>
    <row r="64" spans="1:6">
      <c r="A64" s="147" t="s">
        <v>60</v>
      </c>
    </row>
    <row r="65" spans="1:4">
      <c r="A65" s="147" t="s">
        <v>59</v>
      </c>
    </row>
    <row r="66" spans="1:4">
      <c r="A66" s="229"/>
      <c r="B66" s="1503" t="s">
        <v>58</v>
      </c>
      <c r="C66" s="1504"/>
      <c r="D66" s="1505"/>
    </row>
    <row r="67" spans="1:4">
      <c r="A67" s="229" t="s">
        <v>57</v>
      </c>
      <c r="B67" s="229" t="s">
        <v>56</v>
      </c>
      <c r="C67" s="229" t="s">
        <v>55</v>
      </c>
      <c r="D67" s="229" t="s">
        <v>54</v>
      </c>
    </row>
    <row r="68" spans="1:4">
      <c r="A68" s="229" t="s">
        <v>459</v>
      </c>
      <c r="B68" s="229"/>
      <c r="C68" s="229"/>
      <c r="D68" s="229"/>
    </row>
    <row r="69" spans="1:4">
      <c r="A69" s="229" t="s">
        <v>53</v>
      </c>
      <c r="B69" s="229">
        <v>0.1</v>
      </c>
      <c r="C69" s="229">
        <v>0.15</v>
      </c>
      <c r="D69" s="229">
        <v>0.2</v>
      </c>
    </row>
    <row r="70" spans="1:4">
      <c r="A70" s="229" t="s">
        <v>52</v>
      </c>
      <c r="B70" s="229">
        <v>0.11</v>
      </c>
      <c r="C70" s="229">
        <v>0.17</v>
      </c>
      <c r="D70" s="229">
        <v>0.22</v>
      </c>
    </row>
    <row r="71" spans="1:4">
      <c r="A71" s="229" t="s">
        <v>51</v>
      </c>
      <c r="B71" s="229">
        <v>1.28</v>
      </c>
      <c r="C71" s="229">
        <v>1.92</v>
      </c>
      <c r="D71" s="229">
        <v>2.56</v>
      </c>
    </row>
    <row r="72" spans="1:4">
      <c r="A72" s="229" t="s">
        <v>50</v>
      </c>
      <c r="B72" s="229">
        <v>1.0900000000000001</v>
      </c>
      <c r="C72" s="229">
        <v>1.64</v>
      </c>
      <c r="D72" s="229">
        <v>2.19</v>
      </c>
    </row>
    <row r="73" spans="1:4">
      <c r="A73" s="229" t="s">
        <v>49</v>
      </c>
      <c r="B73" s="229">
        <v>0.6</v>
      </c>
      <c r="C73" s="229">
        <v>0.9</v>
      </c>
      <c r="D73" s="229">
        <v>1.2</v>
      </c>
    </row>
    <row r="74" spans="1:4">
      <c r="A74" s="229" t="s">
        <v>48</v>
      </c>
      <c r="B74" s="229">
        <v>0.01</v>
      </c>
      <c r="C74" s="229">
        <v>0.02</v>
      </c>
      <c r="D74" s="229">
        <v>0.02</v>
      </c>
    </row>
    <row r="76" spans="1:4">
      <c r="A76" s="147" t="s">
        <v>47</v>
      </c>
    </row>
    <row r="77" spans="1:4">
      <c r="A77" s="255" t="s">
        <v>718</v>
      </c>
    </row>
    <row r="79" spans="1:4">
      <c r="A79" s="166" t="s">
        <v>475</v>
      </c>
      <c r="B79" s="171" t="s">
        <v>650</v>
      </c>
    </row>
    <row r="80" spans="1:4">
      <c r="A80" s="166" t="s">
        <v>651</v>
      </c>
      <c r="B80" s="171" t="s">
        <v>652</v>
      </c>
    </row>
    <row r="81" spans="1:23">
      <c r="A81" s="166" t="s">
        <v>719</v>
      </c>
      <c r="B81" s="171" t="s">
        <v>653</v>
      </c>
    </row>
    <row r="82" spans="1:23">
      <c r="A82" s="171"/>
    </row>
    <row r="87" spans="1:23">
      <c r="A87" s="147" t="s">
        <v>462</v>
      </c>
    </row>
    <row r="90" spans="1:23" s="156" customFormat="1" ht="31.5" customHeight="1">
      <c r="A90" s="1454" t="s">
        <v>463</v>
      </c>
      <c r="B90" s="1499" t="s">
        <v>467</v>
      </c>
      <c r="C90" s="1500"/>
      <c r="D90" s="1500"/>
      <c r="E90" s="1500"/>
      <c r="F90" s="1500"/>
      <c r="G90" s="1500"/>
      <c r="H90" s="1500"/>
      <c r="I90" s="1500"/>
      <c r="J90" s="1500"/>
      <c r="K90" s="1500"/>
      <c r="L90" s="1500"/>
      <c r="M90" s="1500"/>
      <c r="N90" s="1500"/>
      <c r="O90" s="1500"/>
      <c r="P90" s="1500"/>
      <c r="Q90" s="1500"/>
      <c r="R90" s="1500"/>
      <c r="S90" s="1500"/>
      <c r="T90" s="1500"/>
      <c r="U90" s="1500"/>
      <c r="V90" s="1501"/>
    </row>
    <row r="91" spans="1:23" s="230" customFormat="1">
      <c r="A91" s="1454"/>
      <c r="B91" s="1454" t="s">
        <v>464</v>
      </c>
      <c r="C91" s="1454"/>
      <c r="D91" s="1454"/>
      <c r="E91" s="1454"/>
      <c r="F91" s="1454"/>
      <c r="G91" s="1466" t="s">
        <v>71</v>
      </c>
      <c r="H91" s="1466"/>
      <c r="I91" s="1466"/>
      <c r="J91" s="1466"/>
      <c r="K91" s="1466"/>
      <c r="L91" s="1466"/>
      <c r="M91" s="1466"/>
      <c r="N91" s="1466"/>
      <c r="O91" s="1466"/>
      <c r="P91" s="1466"/>
      <c r="Q91" s="1466"/>
      <c r="R91" s="1466"/>
      <c r="S91" s="1466"/>
      <c r="T91" s="1466" t="s">
        <v>468</v>
      </c>
      <c r="U91" s="1466"/>
      <c r="V91" s="1466"/>
    </row>
    <row r="92" spans="1:23" s="230" customFormat="1">
      <c r="A92" s="1454"/>
      <c r="B92" s="155" t="s">
        <v>465</v>
      </c>
      <c r="C92" s="155">
        <v>11</v>
      </c>
      <c r="D92" s="155">
        <v>12</v>
      </c>
      <c r="E92" s="155">
        <v>13</v>
      </c>
      <c r="F92" s="155">
        <v>14</v>
      </c>
      <c r="G92" s="155">
        <v>15</v>
      </c>
      <c r="H92" s="228">
        <v>16</v>
      </c>
      <c r="I92" s="228">
        <v>17</v>
      </c>
      <c r="J92" s="228">
        <v>18</v>
      </c>
      <c r="K92" s="228">
        <v>19</v>
      </c>
      <c r="L92" s="228"/>
      <c r="M92" s="228"/>
      <c r="N92" s="227">
        <v>20</v>
      </c>
      <c r="O92" s="228">
        <v>21</v>
      </c>
      <c r="P92" s="228">
        <v>22</v>
      </c>
      <c r="Q92" s="228">
        <v>23</v>
      </c>
      <c r="R92" s="228">
        <v>24</v>
      </c>
      <c r="S92" s="228">
        <v>25</v>
      </c>
      <c r="T92" s="228">
        <v>26</v>
      </c>
      <c r="U92" s="228">
        <v>27</v>
      </c>
      <c r="V92" s="228" t="s">
        <v>469</v>
      </c>
    </row>
    <row r="93" spans="1:23">
      <c r="A93" s="155" t="s">
        <v>466</v>
      </c>
      <c r="B93" s="1498">
        <v>1</v>
      </c>
      <c r="C93" s="1498"/>
      <c r="D93" s="1498"/>
      <c r="E93" s="1498"/>
      <c r="F93" s="1498"/>
      <c r="G93" s="497">
        <v>1.5</v>
      </c>
      <c r="H93" s="497"/>
      <c r="I93" s="497"/>
      <c r="J93" s="497"/>
      <c r="K93" s="497"/>
      <c r="L93" s="497"/>
      <c r="M93" s="497"/>
      <c r="N93" s="497"/>
      <c r="O93" s="497"/>
      <c r="P93" s="497"/>
      <c r="Q93" s="497"/>
      <c r="R93" s="497"/>
      <c r="S93" s="497"/>
      <c r="T93" s="1502">
        <v>2</v>
      </c>
      <c r="U93" s="1502"/>
      <c r="V93" s="1502"/>
    </row>
    <row r="94" spans="1:23">
      <c r="A94" s="155" t="s">
        <v>449</v>
      </c>
      <c r="B94" s="1506">
        <v>0.1</v>
      </c>
      <c r="C94" s="1507"/>
      <c r="D94" s="1507"/>
      <c r="E94" s="1507"/>
      <c r="F94" s="1508"/>
      <c r="G94" s="852">
        <v>0.5</v>
      </c>
      <c r="H94" s="858"/>
      <c r="I94" s="858"/>
      <c r="J94" s="858"/>
      <c r="K94" s="858"/>
      <c r="L94" s="858"/>
      <c r="M94" s="858"/>
      <c r="N94" s="858"/>
      <c r="O94" s="858"/>
      <c r="P94" s="858"/>
      <c r="Q94" s="858"/>
      <c r="R94" s="858"/>
      <c r="S94" s="1075"/>
      <c r="T94" s="1472">
        <v>1</v>
      </c>
      <c r="U94" s="1473"/>
      <c r="V94" s="1474"/>
    </row>
    <row r="95" spans="1:23">
      <c r="A95" s="155" t="s">
        <v>470</v>
      </c>
      <c r="B95" s="1506">
        <v>2</v>
      </c>
      <c r="C95" s="1507"/>
      <c r="D95" s="1507"/>
      <c r="E95" s="1507"/>
      <c r="F95" s="1508"/>
      <c r="G95" s="852">
        <v>4</v>
      </c>
      <c r="H95" s="858"/>
      <c r="I95" s="858"/>
      <c r="J95" s="858"/>
      <c r="K95" s="858"/>
      <c r="L95" s="858"/>
      <c r="M95" s="858"/>
      <c r="N95" s="858"/>
      <c r="O95" s="858"/>
      <c r="P95" s="858"/>
      <c r="Q95" s="858"/>
      <c r="R95" s="858"/>
      <c r="S95" s="1075"/>
      <c r="T95" s="1475">
        <v>5</v>
      </c>
      <c r="U95" s="1476"/>
      <c r="V95" s="1477"/>
      <c r="W95" s="189"/>
    </row>
    <row r="96" spans="1:23">
      <c r="A96" s="155" t="s">
        <v>129</v>
      </c>
      <c r="B96" s="1506">
        <v>1</v>
      </c>
      <c r="C96" s="1507"/>
      <c r="D96" s="1507"/>
      <c r="E96" s="1507"/>
      <c r="F96" s="1508"/>
      <c r="G96" s="852">
        <v>1.5</v>
      </c>
      <c r="H96" s="858"/>
      <c r="I96" s="858"/>
      <c r="J96" s="858"/>
      <c r="K96" s="858"/>
      <c r="L96" s="858"/>
      <c r="M96" s="858"/>
      <c r="N96" s="858"/>
      <c r="O96" s="858"/>
      <c r="P96" s="858"/>
      <c r="Q96" s="858"/>
      <c r="R96" s="858"/>
      <c r="S96" s="1075"/>
      <c r="T96" s="1475">
        <v>2</v>
      </c>
      <c r="U96" s="1476"/>
      <c r="V96" s="1477"/>
      <c r="W96" s="189"/>
    </row>
    <row r="97" spans="1:2">
      <c r="A97" s="177"/>
      <c r="B97" s="177"/>
    </row>
    <row r="98" spans="1:2">
      <c r="A98" s="1454" t="s">
        <v>463</v>
      </c>
      <c r="B98" s="177" t="s">
        <v>467</v>
      </c>
    </row>
    <row r="99" spans="1:2">
      <c r="A99" s="1454"/>
      <c r="B99" s="177"/>
    </row>
    <row r="100" spans="1:2">
      <c r="A100" s="1454"/>
      <c r="B100" s="177"/>
    </row>
    <row r="101" spans="1:2">
      <c r="A101" s="155" t="s">
        <v>466</v>
      </c>
      <c r="B101" s="1093">
        <v>1.4999999999999999E-2</v>
      </c>
    </row>
    <row r="102" spans="1:2">
      <c r="A102" s="155" t="s">
        <v>470</v>
      </c>
      <c r="B102" s="1095">
        <v>0.04</v>
      </c>
    </row>
    <row r="103" spans="1:2">
      <c r="A103" s="155" t="s">
        <v>129</v>
      </c>
      <c r="B103" s="1094">
        <v>1.4999999999999999E-2</v>
      </c>
    </row>
    <row r="104" spans="1:2">
      <c r="A104" s="156"/>
      <c r="B104" s="189"/>
    </row>
    <row r="105" spans="1:2">
      <c r="A105" s="256" t="s">
        <v>461</v>
      </c>
    </row>
    <row r="106" spans="1:2">
      <c r="A106" s="1495" t="s">
        <v>399</v>
      </c>
      <c r="B106" s="155" t="s">
        <v>293</v>
      </c>
    </row>
    <row r="107" spans="1:2">
      <c r="A107" s="1496"/>
      <c r="B107" s="155" t="s">
        <v>299</v>
      </c>
    </row>
    <row r="108" spans="1:2">
      <c r="A108" s="1496"/>
      <c r="B108" s="155" t="s">
        <v>300</v>
      </c>
    </row>
    <row r="109" spans="1:2">
      <c r="A109" s="1497"/>
      <c r="B109" s="155" t="s">
        <v>104</v>
      </c>
    </row>
    <row r="110" spans="1:2">
      <c r="A110" s="228" t="s">
        <v>396</v>
      </c>
      <c r="B110" s="228" t="s">
        <v>400</v>
      </c>
    </row>
    <row r="111" spans="1:2">
      <c r="A111" s="228" t="s">
        <v>81</v>
      </c>
      <c r="B111" s="228">
        <v>0.6</v>
      </c>
    </row>
    <row r="112" spans="1:2">
      <c r="A112" s="228" t="s">
        <v>112</v>
      </c>
      <c r="B112" s="228">
        <v>0.63</v>
      </c>
    </row>
    <row r="114" spans="1:27">
      <c r="A114" s="171" t="s">
        <v>471</v>
      </c>
    </row>
    <row r="115" spans="1:27" ht="31.5">
      <c r="A115" s="1451" t="s">
        <v>472</v>
      </c>
      <c r="B115" s="155" t="s">
        <v>473</v>
      </c>
    </row>
    <row r="116" spans="1:27">
      <c r="A116" s="1452"/>
      <c r="B116" s="155" t="s">
        <v>474</v>
      </c>
    </row>
    <row r="117" spans="1:27">
      <c r="A117" s="1453"/>
      <c r="B117" s="155" t="s">
        <v>408</v>
      </c>
    </row>
    <row r="118" spans="1:27">
      <c r="A118" s="155" t="s">
        <v>466</v>
      </c>
      <c r="B118" s="1079">
        <v>0.01</v>
      </c>
      <c r="D118" s="156"/>
      <c r="E118" s="481"/>
    </row>
    <row r="119" spans="1:27">
      <c r="A119" s="155" t="s">
        <v>470</v>
      </c>
      <c r="B119" s="257">
        <v>5.0000000000000001E-3</v>
      </c>
      <c r="D119" s="156"/>
      <c r="E119" s="1080"/>
    </row>
    <row r="120" spans="1:27">
      <c r="A120" s="155" t="s">
        <v>129</v>
      </c>
      <c r="B120" s="257">
        <v>0.02</v>
      </c>
      <c r="D120" s="156"/>
      <c r="E120" s="1080"/>
    </row>
    <row r="123" spans="1:27">
      <c r="A123" s="147" t="s">
        <v>46</v>
      </c>
    </row>
    <row r="124" spans="1:27">
      <c r="A124" s="147" t="s">
        <v>45</v>
      </c>
    </row>
    <row r="125" spans="1:27">
      <c r="A125" s="1"/>
    </row>
    <row r="126" spans="1:27">
      <c r="O126" s="147" t="s">
        <v>44</v>
      </c>
    </row>
    <row r="127" spans="1:27" s="225" customFormat="1">
      <c r="A127" s="28" t="s">
        <v>43</v>
      </c>
      <c r="B127" s="257" t="s">
        <v>42</v>
      </c>
      <c r="C127" s="257" t="s">
        <v>41</v>
      </c>
      <c r="D127" s="28" t="s">
        <v>40</v>
      </c>
      <c r="E127" s="155" t="s">
        <v>39</v>
      </c>
      <c r="N127" s="258"/>
      <c r="R127" s="259"/>
      <c r="AA127" s="156"/>
    </row>
    <row r="128" spans="1:27" ht="31.5">
      <c r="A128" s="228" t="s">
        <v>38</v>
      </c>
      <c r="B128" s="166" t="s">
        <v>18</v>
      </c>
      <c r="C128" s="257" t="s">
        <v>37</v>
      </c>
      <c r="D128" s="228">
        <v>0.01</v>
      </c>
      <c r="E128" s="228" t="s">
        <v>28</v>
      </c>
    </row>
    <row r="129" spans="1:6" ht="63">
      <c r="A129" s="228" t="s">
        <v>36</v>
      </c>
      <c r="B129" s="166" t="s">
        <v>35</v>
      </c>
      <c r="C129" s="257" t="s">
        <v>34</v>
      </c>
      <c r="D129" s="228">
        <v>16</v>
      </c>
      <c r="E129" s="228" t="s">
        <v>33</v>
      </c>
    </row>
    <row r="130" spans="1:6" ht="94.5">
      <c r="A130" s="228" t="s">
        <v>32</v>
      </c>
      <c r="B130" s="166" t="s">
        <v>18</v>
      </c>
      <c r="C130" s="257" t="s">
        <v>29</v>
      </c>
      <c r="D130" s="228">
        <v>0.02</v>
      </c>
      <c r="E130" s="228" t="s">
        <v>31</v>
      </c>
    </row>
    <row r="131" spans="1:6" ht="94.5">
      <c r="A131" s="228" t="s">
        <v>30</v>
      </c>
      <c r="B131" s="166" t="s">
        <v>18</v>
      </c>
      <c r="C131" s="257" t="s">
        <v>29</v>
      </c>
      <c r="D131" s="228">
        <v>0.01</v>
      </c>
      <c r="E131" s="228" t="s">
        <v>28</v>
      </c>
    </row>
    <row r="132" spans="1:6" ht="78.75">
      <c r="A132" s="228" t="s">
        <v>27</v>
      </c>
      <c r="B132" s="166" t="s">
        <v>26</v>
      </c>
      <c r="C132" s="257" t="s">
        <v>25</v>
      </c>
      <c r="D132" s="228">
        <v>0.01</v>
      </c>
      <c r="E132" s="228" t="s">
        <v>24</v>
      </c>
    </row>
    <row r="133" spans="1:6" ht="47.25">
      <c r="A133" s="228" t="s">
        <v>23</v>
      </c>
      <c r="B133" s="166" t="s">
        <v>22</v>
      </c>
      <c r="C133" s="257" t="s">
        <v>21</v>
      </c>
      <c r="D133" s="228">
        <v>7.4999999999999997E-3</v>
      </c>
      <c r="E133" s="228" t="s">
        <v>20</v>
      </c>
    </row>
    <row r="134" spans="1:6" ht="47.25">
      <c r="A134" s="228" t="s">
        <v>19</v>
      </c>
      <c r="B134" s="166" t="s">
        <v>18</v>
      </c>
      <c r="C134" s="257" t="s">
        <v>17</v>
      </c>
      <c r="D134" s="228">
        <v>3.0000000000000001E-3</v>
      </c>
      <c r="E134" s="228" t="s">
        <v>16</v>
      </c>
    </row>
    <row r="135" spans="1:6">
      <c r="A135" s="228"/>
      <c r="B135" s="166"/>
      <c r="C135" s="257"/>
      <c r="D135" s="228"/>
      <c r="E135" s="228"/>
    </row>
    <row r="136" spans="1:6" ht="63">
      <c r="A136" s="228" t="s">
        <v>15</v>
      </c>
      <c r="B136" s="166" t="s">
        <v>14</v>
      </c>
      <c r="C136" s="257" t="s">
        <v>13</v>
      </c>
      <c r="D136" s="228">
        <v>0.1</v>
      </c>
      <c r="E136" s="228" t="s">
        <v>12</v>
      </c>
    </row>
    <row r="137" spans="1:6" ht="126">
      <c r="A137" s="228" t="s">
        <v>11</v>
      </c>
      <c r="B137" s="166" t="s">
        <v>10</v>
      </c>
      <c r="C137" s="257" t="s">
        <v>9</v>
      </c>
      <c r="D137" s="228">
        <v>0.2</v>
      </c>
      <c r="E137" s="228" t="s">
        <v>8</v>
      </c>
    </row>
    <row r="138" spans="1:6" ht="110.25">
      <c r="A138" s="228" t="s">
        <v>7</v>
      </c>
      <c r="B138" s="166" t="s">
        <v>6</v>
      </c>
      <c r="C138" s="257" t="s">
        <v>5</v>
      </c>
      <c r="D138" s="228">
        <v>0.3</v>
      </c>
      <c r="E138" s="155" t="s">
        <v>4</v>
      </c>
    </row>
    <row r="139" spans="1:6">
      <c r="A139" s="228"/>
      <c r="B139" s="166"/>
      <c r="C139" s="166"/>
      <c r="D139" s="228">
        <v>0</v>
      </c>
      <c r="E139" s="228" t="s">
        <v>3</v>
      </c>
    </row>
    <row r="140" spans="1:6">
      <c r="A140" s="234" t="s">
        <v>633</v>
      </c>
    </row>
    <row r="141" spans="1:6">
      <c r="B141" s="147" t="s">
        <v>557</v>
      </c>
      <c r="C141" s="147" t="s">
        <v>565</v>
      </c>
    </row>
    <row r="142" spans="1:6">
      <c r="A142" s="1459" t="s">
        <v>530</v>
      </c>
      <c r="B142" s="1460"/>
      <c r="C142" s="1460"/>
      <c r="D142" s="1460"/>
      <c r="E142" s="1461"/>
    </row>
    <row r="143" spans="1:6" ht="16.5" thickBot="1">
      <c r="A143" s="233" t="s">
        <v>531</v>
      </c>
      <c r="B143" s="233" t="s">
        <v>532</v>
      </c>
      <c r="C143" s="233" t="s">
        <v>535</v>
      </c>
      <c r="D143" s="233" t="s">
        <v>533</v>
      </c>
      <c r="F143" s="233" t="s">
        <v>534</v>
      </c>
    </row>
    <row r="144" spans="1:6">
      <c r="A144" s="1463" t="s">
        <v>559</v>
      </c>
      <c r="B144" s="1462" t="s">
        <v>536</v>
      </c>
      <c r="C144" s="235" t="s">
        <v>537</v>
      </c>
      <c r="D144" s="235" t="s">
        <v>540</v>
      </c>
      <c r="E144" s="147" t="s">
        <v>720</v>
      </c>
      <c r="F144" s="236">
        <v>0.8</v>
      </c>
    </row>
    <row r="145" spans="1:6">
      <c r="A145" s="1464"/>
      <c r="B145" s="1452"/>
      <c r="C145" s="155"/>
      <c r="D145" s="155" t="s">
        <v>541</v>
      </c>
      <c r="E145" s="147" t="s">
        <v>721</v>
      </c>
      <c r="F145" s="237">
        <v>0.69</v>
      </c>
    </row>
    <row r="146" spans="1:6">
      <c r="A146" s="1464"/>
      <c r="B146" s="1452"/>
      <c r="C146" s="1451" t="s">
        <v>538</v>
      </c>
      <c r="D146" s="155" t="s">
        <v>540</v>
      </c>
      <c r="E146" s="147" t="s">
        <v>722</v>
      </c>
      <c r="F146" s="237">
        <v>0.57999999999999996</v>
      </c>
    </row>
    <row r="147" spans="1:6">
      <c r="A147" s="1464"/>
      <c r="B147" s="1452"/>
      <c r="C147" s="1453"/>
      <c r="D147" s="155" t="s">
        <v>542</v>
      </c>
      <c r="E147" s="147" t="s">
        <v>723</v>
      </c>
      <c r="F147" s="237">
        <v>0.48</v>
      </c>
    </row>
    <row r="148" spans="1:6">
      <c r="A148" s="1464"/>
      <c r="B148" s="1453"/>
      <c r="C148" s="155" t="s">
        <v>539</v>
      </c>
      <c r="D148" s="155" t="s">
        <v>543</v>
      </c>
      <c r="E148" s="147" t="s">
        <v>724</v>
      </c>
      <c r="F148" s="237">
        <v>0.64</v>
      </c>
    </row>
    <row r="149" spans="1:6">
      <c r="A149" s="1464"/>
      <c r="B149" s="228" t="s">
        <v>544</v>
      </c>
      <c r="C149" s="228" t="s">
        <v>545</v>
      </c>
      <c r="D149" s="155" t="s">
        <v>546</v>
      </c>
      <c r="E149" s="238" t="s">
        <v>544</v>
      </c>
      <c r="F149" s="239">
        <v>1.1000000000000001</v>
      </c>
    </row>
    <row r="150" spans="1:6">
      <c r="A150" s="1464"/>
      <c r="B150" s="155" t="s">
        <v>547</v>
      </c>
      <c r="C150" s="155" t="s">
        <v>545</v>
      </c>
      <c r="D150" s="155" t="s">
        <v>546</v>
      </c>
      <c r="E150" s="238" t="s">
        <v>725</v>
      </c>
      <c r="F150" s="237">
        <v>1</v>
      </c>
    </row>
    <row r="151" spans="1:6">
      <c r="A151" s="1464"/>
      <c r="B151" s="1451" t="s">
        <v>548</v>
      </c>
      <c r="C151" s="1454" t="s">
        <v>550</v>
      </c>
      <c r="D151" s="155" t="s">
        <v>540</v>
      </c>
      <c r="E151" s="147" t="s">
        <v>726</v>
      </c>
      <c r="F151" s="237">
        <v>0.93</v>
      </c>
    </row>
    <row r="152" spans="1:6">
      <c r="A152" s="1464"/>
      <c r="B152" s="1452"/>
      <c r="C152" s="1454"/>
      <c r="D152" s="155" t="s">
        <v>549</v>
      </c>
      <c r="E152" s="147" t="s">
        <v>727</v>
      </c>
      <c r="F152" s="237">
        <v>0.82</v>
      </c>
    </row>
    <row r="153" spans="1:6" ht="16.5" thickBot="1">
      <c r="A153" s="1464"/>
      <c r="B153" s="1452"/>
      <c r="C153" s="233" t="s">
        <v>551</v>
      </c>
      <c r="D153" s="233" t="s">
        <v>543</v>
      </c>
      <c r="E153" s="147" t="s">
        <v>728</v>
      </c>
      <c r="F153" s="240">
        <v>0.88</v>
      </c>
    </row>
    <row r="154" spans="1:6">
      <c r="A154" s="1469" t="s">
        <v>552</v>
      </c>
      <c r="B154" s="245" t="s">
        <v>553</v>
      </c>
      <c r="C154" s="235" t="s">
        <v>545</v>
      </c>
      <c r="D154" s="235" t="s">
        <v>546</v>
      </c>
      <c r="E154" s="147" t="s">
        <v>553</v>
      </c>
      <c r="F154" s="241">
        <v>1</v>
      </c>
    </row>
    <row r="155" spans="1:6">
      <c r="A155" s="1470"/>
      <c r="B155" s="1454" t="s">
        <v>554</v>
      </c>
      <c r="C155" s="1454" t="s">
        <v>555</v>
      </c>
      <c r="D155" s="155" t="s">
        <v>540</v>
      </c>
      <c r="E155" s="147" t="s">
        <v>729</v>
      </c>
      <c r="F155" s="239">
        <v>1.02</v>
      </c>
    </row>
    <row r="156" spans="1:6">
      <c r="A156" s="1470"/>
      <c r="B156" s="1454"/>
      <c r="C156" s="1454"/>
      <c r="D156" s="155" t="s">
        <v>541</v>
      </c>
      <c r="E156" s="147" t="s">
        <v>730</v>
      </c>
      <c r="F156" s="239">
        <v>1.08</v>
      </c>
    </row>
    <row r="157" spans="1:6">
      <c r="A157" s="1470"/>
      <c r="B157" s="1454"/>
      <c r="C157" s="1454" t="s">
        <v>556</v>
      </c>
      <c r="D157" s="155" t="s">
        <v>540</v>
      </c>
      <c r="E157" s="147" t="s">
        <v>731</v>
      </c>
      <c r="F157" s="239">
        <v>1.0900000000000001</v>
      </c>
    </row>
    <row r="158" spans="1:6">
      <c r="A158" s="1470"/>
      <c r="B158" s="1454"/>
      <c r="C158" s="1454"/>
      <c r="D158" s="155" t="s">
        <v>542</v>
      </c>
      <c r="E158" s="147" t="s">
        <v>732</v>
      </c>
      <c r="F158" s="239">
        <v>1.1499999999999999</v>
      </c>
    </row>
    <row r="159" spans="1:6">
      <c r="A159" s="1470"/>
      <c r="B159" s="1454"/>
      <c r="C159" s="155" t="s">
        <v>539</v>
      </c>
      <c r="D159" s="155" t="s">
        <v>543</v>
      </c>
      <c r="E159" s="147" t="s">
        <v>733</v>
      </c>
      <c r="F159" s="239">
        <v>1.0900000000000001</v>
      </c>
    </row>
    <row r="160" spans="1:6">
      <c r="A160" s="1470"/>
      <c r="B160" s="1454" t="s">
        <v>558</v>
      </c>
      <c r="C160" s="1454" t="s">
        <v>555</v>
      </c>
      <c r="D160" s="155" t="s">
        <v>540</v>
      </c>
      <c r="E160" s="147" t="s">
        <v>734</v>
      </c>
      <c r="F160" s="239">
        <v>1.1000000000000001</v>
      </c>
    </row>
    <row r="161" spans="1:6">
      <c r="A161" s="1470"/>
      <c r="B161" s="1454"/>
      <c r="C161" s="1454"/>
      <c r="D161" s="155" t="s">
        <v>541</v>
      </c>
      <c r="E161" s="147" t="s">
        <v>735</v>
      </c>
      <c r="F161" s="239">
        <v>1.1499999999999999</v>
      </c>
    </row>
    <row r="162" spans="1:6">
      <c r="A162" s="1470"/>
      <c r="B162" s="1454"/>
      <c r="C162" s="1454" t="s">
        <v>556</v>
      </c>
      <c r="D162" s="155" t="s">
        <v>540</v>
      </c>
      <c r="E162" s="147" t="s">
        <v>736</v>
      </c>
      <c r="F162" s="239">
        <v>1.17</v>
      </c>
    </row>
    <row r="163" spans="1:6">
      <c r="A163" s="1470"/>
      <c r="B163" s="1454"/>
      <c r="C163" s="1454"/>
      <c r="D163" s="155" t="s">
        <v>542</v>
      </c>
      <c r="E163" s="147" t="s">
        <v>737</v>
      </c>
      <c r="F163" s="239">
        <v>1.22</v>
      </c>
    </row>
    <row r="164" spans="1:6" ht="16.5" thickBot="1">
      <c r="A164" s="1471"/>
      <c r="B164" s="1451"/>
      <c r="C164" s="233" t="s">
        <v>539</v>
      </c>
      <c r="D164" s="233" t="s">
        <v>543</v>
      </c>
      <c r="E164" s="147" t="s">
        <v>738</v>
      </c>
      <c r="F164" s="242">
        <v>1.1599999999999999</v>
      </c>
    </row>
    <row r="165" spans="1:6">
      <c r="A165" s="1469" t="s">
        <v>560</v>
      </c>
      <c r="B165" s="1465" t="s">
        <v>561</v>
      </c>
      <c r="C165" s="1514" t="s">
        <v>555</v>
      </c>
      <c r="D165" s="235" t="s">
        <v>540</v>
      </c>
      <c r="E165" s="147" t="s">
        <v>739</v>
      </c>
      <c r="F165" s="241">
        <v>0.95</v>
      </c>
    </row>
    <row r="166" spans="1:6">
      <c r="A166" s="1470"/>
      <c r="B166" s="1466"/>
      <c r="C166" s="1461"/>
      <c r="D166" s="155" t="s">
        <v>541</v>
      </c>
      <c r="E166" s="147" t="s">
        <v>740</v>
      </c>
      <c r="F166" s="239">
        <v>0.92</v>
      </c>
    </row>
    <row r="167" spans="1:6">
      <c r="A167" s="1470"/>
      <c r="B167" s="1466"/>
      <c r="C167" s="1454" t="s">
        <v>556</v>
      </c>
      <c r="D167" s="155" t="s">
        <v>540</v>
      </c>
      <c r="E167" s="147" t="s">
        <v>741</v>
      </c>
      <c r="F167" s="239">
        <v>0.95</v>
      </c>
    </row>
    <row r="168" spans="1:6">
      <c r="A168" s="1470"/>
      <c r="B168" s="1466"/>
      <c r="C168" s="1454"/>
      <c r="D168" s="155" t="s">
        <v>542</v>
      </c>
      <c r="E168" s="147" t="s">
        <v>742</v>
      </c>
      <c r="F168" s="239">
        <v>0.92</v>
      </c>
    </row>
    <row r="169" spans="1:6">
      <c r="A169" s="1470"/>
      <c r="B169" s="1466"/>
      <c r="C169" s="155" t="s">
        <v>539</v>
      </c>
      <c r="D169" s="155" t="s">
        <v>543</v>
      </c>
      <c r="E169" s="147" t="s">
        <v>743</v>
      </c>
      <c r="F169" s="239">
        <v>0.94</v>
      </c>
    </row>
    <row r="170" spans="1:6">
      <c r="A170" s="1470"/>
      <c r="B170" s="155" t="s">
        <v>562</v>
      </c>
      <c r="C170" s="228" t="s">
        <v>545</v>
      </c>
      <c r="D170" s="155" t="s">
        <v>546</v>
      </c>
      <c r="E170" s="147" t="s">
        <v>744</v>
      </c>
      <c r="F170" s="239">
        <v>1</v>
      </c>
    </row>
    <row r="171" spans="1:6">
      <c r="A171" s="1470"/>
      <c r="B171" s="1454" t="s">
        <v>563</v>
      </c>
      <c r="C171" s="1454" t="s">
        <v>550</v>
      </c>
      <c r="D171" s="155" t="s">
        <v>540</v>
      </c>
      <c r="E171" s="147" t="s">
        <v>745</v>
      </c>
      <c r="F171" s="239">
        <v>1.04</v>
      </c>
    </row>
    <row r="172" spans="1:6">
      <c r="A172" s="1470"/>
      <c r="B172" s="1454"/>
      <c r="C172" s="1454"/>
      <c r="D172" s="155" t="s">
        <v>549</v>
      </c>
      <c r="E172" s="147" t="s">
        <v>746</v>
      </c>
      <c r="F172" s="239">
        <v>1.1100000000000001</v>
      </c>
    </row>
    <row r="173" spans="1:6">
      <c r="A173" s="1470"/>
      <c r="B173" s="1454"/>
      <c r="C173" s="260" t="s">
        <v>551</v>
      </c>
      <c r="D173" s="233" t="s">
        <v>543</v>
      </c>
      <c r="E173" s="147" t="s">
        <v>747</v>
      </c>
      <c r="F173" s="239">
        <v>1.08</v>
      </c>
    </row>
    <row r="174" spans="1:6">
      <c r="A174" s="1470"/>
      <c r="B174" s="1454" t="s">
        <v>564</v>
      </c>
      <c r="C174" s="1461" t="s">
        <v>550</v>
      </c>
      <c r="D174" s="155" t="s">
        <v>540</v>
      </c>
      <c r="E174" s="147" t="s">
        <v>749</v>
      </c>
      <c r="F174" s="239">
        <v>1.37</v>
      </c>
    </row>
    <row r="175" spans="1:6">
      <c r="A175" s="1470"/>
      <c r="B175" s="1454"/>
      <c r="C175" s="1461"/>
      <c r="D175" s="155" t="s">
        <v>549</v>
      </c>
      <c r="E175" s="147" t="s">
        <v>748</v>
      </c>
      <c r="F175" s="239">
        <v>1.44</v>
      </c>
    </row>
    <row r="176" spans="1:6" ht="16.5" thickBot="1">
      <c r="A176" s="1509"/>
      <c r="B176" s="1513"/>
      <c r="C176" s="261" t="s">
        <v>551</v>
      </c>
      <c r="D176" s="243" t="s">
        <v>543</v>
      </c>
      <c r="E176" s="147" t="s">
        <v>750</v>
      </c>
      <c r="F176" s="244">
        <v>1.41</v>
      </c>
    </row>
    <row r="179" spans="1:8">
      <c r="B179" s="147" t="s">
        <v>566</v>
      </c>
      <c r="C179" s="147" t="s">
        <v>567</v>
      </c>
    </row>
    <row r="180" spans="1:8">
      <c r="A180" s="1454" t="s">
        <v>569</v>
      </c>
      <c r="B180" s="1454"/>
      <c r="C180" s="1454"/>
      <c r="D180" s="1454"/>
      <c r="E180" s="1454"/>
      <c r="F180" s="1454"/>
    </row>
    <row r="181" spans="1:8" ht="16.5" thickBot="1">
      <c r="A181" s="262" t="s">
        <v>571</v>
      </c>
      <c r="B181" s="262" t="s">
        <v>572</v>
      </c>
      <c r="C181" s="262" t="s">
        <v>573</v>
      </c>
      <c r="E181" s="262" t="s">
        <v>574</v>
      </c>
      <c r="G181" s="1486" t="s">
        <v>584</v>
      </c>
      <c r="H181" s="1487"/>
    </row>
    <row r="182" spans="1:8" ht="16.5" thickBot="1">
      <c r="A182" s="263" t="s">
        <v>570</v>
      </c>
      <c r="B182" s="264" t="s">
        <v>545</v>
      </c>
      <c r="C182" s="264" t="s">
        <v>545</v>
      </c>
      <c r="E182" s="265">
        <v>1</v>
      </c>
      <c r="G182" s="1492" t="s">
        <v>576</v>
      </c>
      <c r="H182" s="1493"/>
    </row>
    <row r="183" spans="1:8" ht="15.75" customHeight="1">
      <c r="A183" s="1463" t="s">
        <v>580</v>
      </c>
      <c r="B183" s="235" t="s">
        <v>581</v>
      </c>
      <c r="C183" s="245" t="s">
        <v>545</v>
      </c>
      <c r="D183" s="147" t="s">
        <v>752</v>
      </c>
      <c r="E183" s="266">
        <v>1</v>
      </c>
      <c r="G183" s="1490" t="s">
        <v>577</v>
      </c>
      <c r="H183" s="1491"/>
    </row>
    <row r="184" spans="1:8" ht="15.75" customHeight="1">
      <c r="A184" s="1464"/>
      <c r="B184" s="1454" t="s">
        <v>578</v>
      </c>
      <c r="C184" s="155" t="s">
        <v>555</v>
      </c>
      <c r="D184" s="147" t="s">
        <v>753</v>
      </c>
      <c r="E184" s="267">
        <v>0.95</v>
      </c>
      <c r="G184" s="1478" t="s">
        <v>582</v>
      </c>
      <c r="H184" s="1479"/>
    </row>
    <row r="185" spans="1:8">
      <c r="A185" s="1464"/>
      <c r="B185" s="1454"/>
      <c r="C185" s="155" t="s">
        <v>556</v>
      </c>
      <c r="D185" s="147" t="s">
        <v>755</v>
      </c>
      <c r="E185" s="267">
        <v>0.97</v>
      </c>
      <c r="G185" s="1480"/>
      <c r="H185" s="1481"/>
    </row>
    <row r="186" spans="1:8">
      <c r="A186" s="1464"/>
      <c r="B186" s="1454"/>
      <c r="C186" s="155" t="s">
        <v>539</v>
      </c>
      <c r="D186" s="147" t="s">
        <v>754</v>
      </c>
      <c r="E186" s="226">
        <v>0.96</v>
      </c>
      <c r="G186" s="1488"/>
      <c r="H186" s="1489"/>
    </row>
    <row r="187" spans="1:8" ht="15.75" customHeight="1">
      <c r="A187" s="1464"/>
      <c r="B187" s="155" t="s">
        <v>579</v>
      </c>
      <c r="C187" s="228" t="s">
        <v>545</v>
      </c>
      <c r="D187" s="147" t="s">
        <v>756</v>
      </c>
      <c r="E187" s="226">
        <v>0.7</v>
      </c>
      <c r="G187" s="1459" t="s">
        <v>583</v>
      </c>
      <c r="H187" s="1494"/>
    </row>
    <row r="188" spans="1:8" ht="15.75" customHeight="1">
      <c r="A188" s="1464"/>
      <c r="B188" s="1451" t="s">
        <v>585</v>
      </c>
      <c r="C188" s="228" t="s">
        <v>555</v>
      </c>
      <c r="D188" s="147" t="s">
        <v>757</v>
      </c>
      <c r="E188" s="228">
        <v>1.1399999999999999</v>
      </c>
      <c r="G188" s="1478" t="s">
        <v>587</v>
      </c>
      <c r="H188" s="1479"/>
    </row>
    <row r="189" spans="1:8">
      <c r="A189" s="1464"/>
      <c r="B189" s="1452"/>
      <c r="C189" s="228" t="s">
        <v>586</v>
      </c>
      <c r="D189" s="147" t="s">
        <v>758</v>
      </c>
      <c r="E189" s="228">
        <v>1.17</v>
      </c>
      <c r="G189" s="1480"/>
      <c r="H189" s="1481"/>
    </row>
    <row r="190" spans="1:8" ht="16.5" thickBot="1">
      <c r="A190" s="1516"/>
      <c r="B190" s="1515"/>
      <c r="C190" s="246" t="s">
        <v>551</v>
      </c>
      <c r="D190" s="147" t="s">
        <v>760</v>
      </c>
      <c r="E190" s="246">
        <v>1.1599999999999999</v>
      </c>
      <c r="G190" s="1482"/>
      <c r="H190" s="1483"/>
    </row>
    <row r="191" spans="1:8" ht="15.75" customHeight="1">
      <c r="A191" s="1467" t="s">
        <v>588</v>
      </c>
      <c r="B191" s="245" t="s">
        <v>562</v>
      </c>
      <c r="C191" s="245" t="s">
        <v>545</v>
      </c>
      <c r="D191" s="147" t="s">
        <v>759</v>
      </c>
      <c r="E191" s="245">
        <v>1</v>
      </c>
      <c r="G191" s="1484" t="s">
        <v>751</v>
      </c>
      <c r="H191" s="1485"/>
    </row>
    <row r="192" spans="1:8" ht="16.5" thickBot="1">
      <c r="A192" s="1468"/>
      <c r="B192" s="246" t="s">
        <v>589</v>
      </c>
      <c r="C192" s="246" t="s">
        <v>545</v>
      </c>
      <c r="D192" s="147" t="s">
        <v>589</v>
      </c>
      <c r="E192" s="246">
        <v>1.1100000000000001</v>
      </c>
      <c r="G192" s="1482"/>
      <c r="H192" s="1483"/>
    </row>
    <row r="193" spans="1:5">
      <c r="D193" s="147" t="s">
        <v>761</v>
      </c>
      <c r="E193" s="232">
        <v>1</v>
      </c>
    </row>
    <row r="195" spans="1:5">
      <c r="A195" s="256" t="s">
        <v>633</v>
      </c>
    </row>
    <row r="196" spans="1:5">
      <c r="B196" s="147" t="s">
        <v>591</v>
      </c>
    </row>
    <row r="197" spans="1:5">
      <c r="A197" s="1459" t="s">
        <v>592</v>
      </c>
      <c r="B197" s="1460"/>
      <c r="C197" s="1460"/>
      <c r="D197" s="1460"/>
      <c r="E197" s="1461"/>
    </row>
    <row r="198" spans="1:5">
      <c r="A198" s="228" t="s">
        <v>602</v>
      </c>
      <c r="B198" s="155" t="s">
        <v>572</v>
      </c>
      <c r="C198" s="228" t="s">
        <v>593</v>
      </c>
      <c r="D198" s="228" t="s">
        <v>594</v>
      </c>
      <c r="E198" s="228" t="s">
        <v>595</v>
      </c>
    </row>
    <row r="199" spans="1:5">
      <c r="A199" s="1466" t="s">
        <v>596</v>
      </c>
      <c r="B199" s="1454" t="s">
        <v>597</v>
      </c>
      <c r="C199" s="228" t="s">
        <v>575</v>
      </c>
      <c r="D199" s="228">
        <v>1</v>
      </c>
      <c r="E199" s="1451" t="s">
        <v>600</v>
      </c>
    </row>
    <row r="200" spans="1:5">
      <c r="A200" s="1466"/>
      <c r="B200" s="1454"/>
      <c r="C200" s="228" t="s">
        <v>586</v>
      </c>
      <c r="D200" s="228">
        <v>1</v>
      </c>
      <c r="E200" s="1453"/>
    </row>
    <row r="201" spans="1:5">
      <c r="A201" s="1466"/>
      <c r="B201" s="155" t="s">
        <v>598</v>
      </c>
      <c r="C201" s="228" t="s">
        <v>538</v>
      </c>
      <c r="D201" s="228">
        <v>0.64</v>
      </c>
      <c r="E201" s="1451" t="s">
        <v>601</v>
      </c>
    </row>
    <row r="202" spans="1:5">
      <c r="A202" s="1466"/>
      <c r="B202" s="155" t="s">
        <v>599</v>
      </c>
      <c r="C202" s="228" t="s">
        <v>538</v>
      </c>
      <c r="D202" s="228">
        <v>0.8</v>
      </c>
      <c r="E202" s="1453"/>
    </row>
    <row r="204" spans="1:5">
      <c r="A204" s="256" t="s">
        <v>632</v>
      </c>
    </row>
    <row r="205" spans="1:5">
      <c r="A205" s="1510" t="s">
        <v>216</v>
      </c>
      <c r="B205" s="1510"/>
      <c r="C205" s="228">
        <v>1.3</v>
      </c>
    </row>
    <row r="207" spans="1:5">
      <c r="A207" s="147" t="s">
        <v>157</v>
      </c>
      <c r="B207" s="147" t="s">
        <v>193</v>
      </c>
    </row>
    <row r="208" spans="1:5">
      <c r="C208" s="177" t="s">
        <v>191</v>
      </c>
      <c r="D208" s="177" t="s">
        <v>192</v>
      </c>
    </row>
    <row r="209" spans="1:4">
      <c r="B209" s="147" t="s">
        <v>684</v>
      </c>
      <c r="C209" s="177" t="s">
        <v>190</v>
      </c>
      <c r="D209" s="177" t="s">
        <v>190</v>
      </c>
    </row>
    <row r="210" spans="1:4">
      <c r="A210" s="1466" t="s">
        <v>182</v>
      </c>
      <c r="B210" s="268" t="s">
        <v>184</v>
      </c>
      <c r="C210" s="1495">
        <v>0.78</v>
      </c>
      <c r="D210" s="229">
        <v>1</v>
      </c>
    </row>
    <row r="211" spans="1:4">
      <c r="A211" s="1466"/>
      <c r="B211" s="268" t="s">
        <v>185</v>
      </c>
      <c r="C211" s="1496"/>
      <c r="D211" s="229">
        <v>0.6</v>
      </c>
    </row>
    <row r="212" spans="1:4">
      <c r="A212" s="1466"/>
      <c r="B212" s="268" t="s">
        <v>186</v>
      </c>
      <c r="C212" s="1497"/>
      <c r="D212" s="229">
        <v>0.52</v>
      </c>
    </row>
    <row r="213" spans="1:4">
      <c r="A213" s="1454" t="s">
        <v>183</v>
      </c>
      <c r="B213" s="268" t="s">
        <v>187</v>
      </c>
      <c r="C213" s="1495">
        <v>0.27</v>
      </c>
      <c r="D213" s="229">
        <v>0.28000000000000003</v>
      </c>
    </row>
    <row r="214" spans="1:4">
      <c r="A214" s="1454"/>
      <c r="B214" s="268" t="s">
        <v>188</v>
      </c>
      <c r="C214" s="1496"/>
      <c r="D214" s="229">
        <v>0.25</v>
      </c>
    </row>
    <row r="215" spans="1:4">
      <c r="A215" s="1454"/>
      <c r="B215" s="268" t="s">
        <v>189</v>
      </c>
      <c r="C215" s="1497"/>
      <c r="D215" s="229">
        <v>0.31</v>
      </c>
    </row>
    <row r="216" spans="1:4">
      <c r="A216" s="1511" t="s">
        <v>141</v>
      </c>
      <c r="B216" s="1512"/>
      <c r="C216" s="229">
        <v>0</v>
      </c>
      <c r="D216" s="229">
        <v>0</v>
      </c>
    </row>
    <row r="219" spans="1:4">
      <c r="A219" s="147" t="s">
        <v>200</v>
      </c>
    </row>
    <row r="220" spans="1:4">
      <c r="A220" s="147" t="s">
        <v>201</v>
      </c>
      <c r="C220" s="177" t="s">
        <v>191</v>
      </c>
      <c r="D220" s="177" t="s">
        <v>192</v>
      </c>
    </row>
    <row r="221" spans="1:4">
      <c r="B221" s="247" t="s">
        <v>195</v>
      </c>
      <c r="C221" s="177" t="s">
        <v>194</v>
      </c>
      <c r="D221" s="177" t="s">
        <v>194</v>
      </c>
    </row>
    <row r="222" spans="1:4" ht="31.5">
      <c r="B222" s="247" t="s">
        <v>198</v>
      </c>
      <c r="C222" s="1495">
        <v>1.22</v>
      </c>
      <c r="D222" s="228">
        <v>1</v>
      </c>
    </row>
    <row r="223" spans="1:4" ht="47.25">
      <c r="B223" s="247" t="s">
        <v>199</v>
      </c>
      <c r="C223" s="1496"/>
      <c r="D223" s="228">
        <v>0.68</v>
      </c>
    </row>
    <row r="224" spans="1:4">
      <c r="B224" s="247" t="s">
        <v>196</v>
      </c>
      <c r="C224" s="1497"/>
      <c r="D224" s="228">
        <v>1.9</v>
      </c>
    </row>
    <row r="226" spans="1:27">
      <c r="B226" s="147" t="s">
        <v>197</v>
      </c>
    </row>
    <row r="228" spans="1:27">
      <c r="A228" s="147" t="s">
        <v>202</v>
      </c>
    </row>
    <row r="229" spans="1:27">
      <c r="A229" s="147" t="s">
        <v>203</v>
      </c>
    </row>
    <row r="231" spans="1:27">
      <c r="B231" s="177" t="s">
        <v>210</v>
      </c>
      <c r="C231" s="269" t="s">
        <v>204</v>
      </c>
    </row>
    <row r="232" spans="1:27" ht="31.5">
      <c r="B232" s="247" t="s">
        <v>205</v>
      </c>
      <c r="C232" s="228">
        <v>1</v>
      </c>
    </row>
    <row r="233" spans="1:27" ht="31.5">
      <c r="B233" s="247" t="s">
        <v>206</v>
      </c>
      <c r="C233" s="228">
        <v>0.28999999999999998</v>
      </c>
    </row>
    <row r="234" spans="1:27">
      <c r="B234" s="247" t="s">
        <v>207</v>
      </c>
      <c r="C234" s="228">
        <v>0.05</v>
      </c>
    </row>
    <row r="235" spans="1:27">
      <c r="B235" s="247" t="s">
        <v>208</v>
      </c>
      <c r="C235" s="228">
        <v>0.14000000000000001</v>
      </c>
    </row>
    <row r="236" spans="1:27">
      <c r="B236" s="177" t="s">
        <v>209</v>
      </c>
      <c r="C236" s="228">
        <v>0.5</v>
      </c>
    </row>
    <row r="237" spans="1:27">
      <c r="B237" s="247" t="s">
        <v>212</v>
      </c>
      <c r="C237" s="228">
        <v>0</v>
      </c>
    </row>
    <row r="239" spans="1:27">
      <c r="A239" s="1456" t="s">
        <v>805</v>
      </c>
      <c r="B239" s="301" t="s">
        <v>904</v>
      </c>
      <c r="C239" s="302">
        <v>1</v>
      </c>
      <c r="D239" s="299"/>
    </row>
    <row r="240" spans="1:27" s="11" customFormat="1">
      <c r="A240" s="1457"/>
      <c r="B240" s="301" t="s">
        <v>905</v>
      </c>
      <c r="C240" s="301">
        <v>0.03</v>
      </c>
      <c r="D240" s="299"/>
      <c r="E240" s="147"/>
      <c r="F240" s="147"/>
      <c r="G240" s="147"/>
      <c r="H240" s="147"/>
      <c r="I240" s="147"/>
      <c r="N240" s="275"/>
      <c r="R240" s="276"/>
      <c r="AA240" s="277"/>
    </row>
    <row r="241" spans="1:27" s="11" customFormat="1">
      <c r="A241" s="1458"/>
      <c r="B241" s="303" t="s">
        <v>845</v>
      </c>
      <c r="C241" s="303">
        <v>0.7</v>
      </c>
      <c r="D241" s="299"/>
      <c r="E241" s="147"/>
      <c r="F241" s="147"/>
      <c r="G241" s="147"/>
      <c r="H241" s="147"/>
      <c r="I241" s="147"/>
      <c r="N241" s="275"/>
      <c r="R241" s="276"/>
      <c r="AA241" s="277"/>
    </row>
    <row r="242" spans="1:27">
      <c r="A242" s="299"/>
      <c r="B242" s="299"/>
      <c r="C242" s="299"/>
      <c r="D242" s="299"/>
    </row>
  </sheetData>
  <sortState ref="B240:U309">
    <sortCondition ref="B240:B309"/>
  </sortState>
  <mergeCells count="68">
    <mergeCell ref="A197:E197"/>
    <mergeCell ref="B188:B190"/>
    <mergeCell ref="A183:A190"/>
    <mergeCell ref="E199:E200"/>
    <mergeCell ref="A199:A202"/>
    <mergeCell ref="B199:B200"/>
    <mergeCell ref="B184:B186"/>
    <mergeCell ref="C155:C156"/>
    <mergeCell ref="A165:A176"/>
    <mergeCell ref="C222:C224"/>
    <mergeCell ref="A205:B205"/>
    <mergeCell ref="A210:A212"/>
    <mergeCell ref="A213:A215"/>
    <mergeCell ref="A216:B216"/>
    <mergeCell ref="C210:C212"/>
    <mergeCell ref="C213:C215"/>
    <mergeCell ref="B174:B176"/>
    <mergeCell ref="A180:F180"/>
    <mergeCell ref="C165:C166"/>
    <mergeCell ref="C167:C168"/>
    <mergeCell ref="B155:B159"/>
    <mergeCell ref="C157:C158"/>
    <mergeCell ref="E201:E202"/>
    <mergeCell ref="A106:A109"/>
    <mergeCell ref="B94:F94"/>
    <mergeCell ref="B96:F96"/>
    <mergeCell ref="B95:F95"/>
    <mergeCell ref="A115:A117"/>
    <mergeCell ref="A98:A100"/>
    <mergeCell ref="A17:A19"/>
    <mergeCell ref="A48:A55"/>
    <mergeCell ref="A56:A58"/>
    <mergeCell ref="B93:F93"/>
    <mergeCell ref="A90:A92"/>
    <mergeCell ref="B91:F91"/>
    <mergeCell ref="B90:V90"/>
    <mergeCell ref="G91:S91"/>
    <mergeCell ref="T91:V91"/>
    <mergeCell ref="T93:V93"/>
    <mergeCell ref="B66:D66"/>
    <mergeCell ref="A35:A38"/>
    <mergeCell ref="B35:B38"/>
    <mergeCell ref="T94:V94"/>
    <mergeCell ref="T95:V95"/>
    <mergeCell ref="G188:H190"/>
    <mergeCell ref="G191:H192"/>
    <mergeCell ref="G181:H181"/>
    <mergeCell ref="G184:H186"/>
    <mergeCell ref="T96:V96"/>
    <mergeCell ref="G183:H183"/>
    <mergeCell ref="G182:H182"/>
    <mergeCell ref="G187:H187"/>
    <mergeCell ref="A239:A241"/>
    <mergeCell ref="A142:E142"/>
    <mergeCell ref="B144:B148"/>
    <mergeCell ref="C146:C147"/>
    <mergeCell ref="C151:C152"/>
    <mergeCell ref="B151:B153"/>
    <mergeCell ref="A144:A153"/>
    <mergeCell ref="B165:B169"/>
    <mergeCell ref="B171:B173"/>
    <mergeCell ref="C160:C161"/>
    <mergeCell ref="C162:C163"/>
    <mergeCell ref="B160:B164"/>
    <mergeCell ref="A191:A192"/>
    <mergeCell ref="C171:C172"/>
    <mergeCell ref="C174:C175"/>
    <mergeCell ref="A154:A164"/>
  </mergeCells>
  <phoneticPr fontId="43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BP47"/>
  <sheetViews>
    <sheetView zoomScale="80" zoomScaleNormal="80" workbookViewId="0">
      <selection activeCell="D44" sqref="D44"/>
    </sheetView>
  </sheetViews>
  <sheetFormatPr defaultColWidth="8.875" defaultRowHeight="15.75"/>
  <cols>
    <col min="1" max="1" width="20.5" bestFit="1" customWidth="1"/>
    <col min="4" max="4" width="13.25" bestFit="1" customWidth="1"/>
    <col min="5" max="5" width="8.875" style="39"/>
    <col min="8" max="8" width="13.25" bestFit="1" customWidth="1"/>
    <col min="21" max="21" width="11.875" bestFit="1" customWidth="1"/>
    <col min="22" max="22" width="9.625" customWidth="1"/>
    <col min="23" max="27" width="8.875" customWidth="1"/>
  </cols>
  <sheetData>
    <row r="1" spans="1:68">
      <c r="B1" s="1517" t="s">
        <v>1168</v>
      </c>
      <c r="C1" s="1517"/>
      <c r="D1" s="1517"/>
    </row>
    <row r="2" spans="1:68" ht="94.5">
      <c r="A2" s="476" t="s">
        <v>642</v>
      </c>
      <c r="B2" s="477" t="s">
        <v>1025</v>
      </c>
      <c r="C2" s="477" t="s">
        <v>1024</v>
      </c>
      <c r="D2" s="477" t="s">
        <v>1026</v>
      </c>
      <c r="E2" s="478" t="s">
        <v>662</v>
      </c>
      <c r="F2" s="477" t="s">
        <v>1027</v>
      </c>
      <c r="G2" s="477" t="s">
        <v>1033</v>
      </c>
      <c r="H2" s="477" t="s">
        <v>1028</v>
      </c>
      <c r="I2" s="477" t="s">
        <v>1031</v>
      </c>
      <c r="J2" s="477" t="s">
        <v>1029</v>
      </c>
      <c r="K2" s="477" t="s">
        <v>1032</v>
      </c>
      <c r="L2" s="477" t="s">
        <v>793</v>
      </c>
      <c r="M2" s="477" t="s">
        <v>1030</v>
      </c>
      <c r="N2" s="477" t="s">
        <v>982</v>
      </c>
      <c r="O2" s="477" t="s">
        <v>1034</v>
      </c>
      <c r="P2" s="477" t="s">
        <v>983</v>
      </c>
      <c r="Q2" s="477" t="s">
        <v>981</v>
      </c>
      <c r="R2" s="17" t="s">
        <v>1317</v>
      </c>
      <c r="S2" s="17" t="s">
        <v>1318</v>
      </c>
      <c r="T2" s="13" t="s">
        <v>1319</v>
      </c>
      <c r="U2" s="247" t="s">
        <v>1320</v>
      </c>
      <c r="V2" s="104" t="s">
        <v>1460</v>
      </c>
      <c r="W2" s="104" t="s">
        <v>1461</v>
      </c>
      <c r="X2" s="104" t="s">
        <v>1462</v>
      </c>
      <c r="Y2" s="104" t="s">
        <v>1463</v>
      </c>
      <c r="Z2" s="104" t="s">
        <v>1464</v>
      </c>
    </row>
    <row r="3" spans="1:68" ht="16.5">
      <c r="A3" s="1322" t="s">
        <v>1752</v>
      </c>
      <c r="B3" s="741">
        <v>90</v>
      </c>
      <c r="C3" s="741">
        <v>0.22</v>
      </c>
      <c r="D3" s="1231">
        <f>B3*C3</f>
        <v>19.8</v>
      </c>
      <c r="E3" s="1325">
        <v>0.9</v>
      </c>
      <c r="F3" s="1234">
        <f t="shared" ref="F3:F35" si="0">IFERROR(B3*((1-E3)/E3), "")</f>
        <v>9.9999999999999964</v>
      </c>
      <c r="G3" s="741">
        <v>0</v>
      </c>
      <c r="H3" s="738">
        <f>F3*G3</f>
        <v>0</v>
      </c>
      <c r="I3" s="738">
        <f t="shared" ref="I3:I4" si="1">K3*(H3*1000)</f>
        <v>0</v>
      </c>
      <c r="J3" s="1355">
        <f>(8.8/6.25)/100</f>
        <v>1.4080000000000002E-2</v>
      </c>
      <c r="K3" s="928">
        <v>0</v>
      </c>
      <c r="L3" s="928">
        <v>0.01</v>
      </c>
      <c r="M3" s="747">
        <v>0</v>
      </c>
      <c r="N3" s="928"/>
      <c r="O3" s="739"/>
      <c r="P3" s="738">
        <v>0</v>
      </c>
      <c r="Q3" s="1297"/>
      <c r="R3" s="929">
        <v>0.6</v>
      </c>
      <c r="S3" s="929">
        <v>1.1000000000000001</v>
      </c>
      <c r="T3" s="746">
        <v>1.05</v>
      </c>
      <c r="U3" s="40">
        <f>IFERROR(AVERAGE(R3:T3)," " )</f>
        <v>0.91666666666666663</v>
      </c>
      <c r="V3" s="72" t="s">
        <v>1450</v>
      </c>
    </row>
    <row r="4" spans="1:68" ht="16.5" hidden="1">
      <c r="A4" s="1323" t="s">
        <v>1753</v>
      </c>
      <c r="B4" s="741">
        <v>45</v>
      </c>
      <c r="C4" s="741">
        <v>0.3</v>
      </c>
      <c r="D4" s="1231">
        <f>B4*C4</f>
        <v>13.5</v>
      </c>
      <c r="E4" s="737">
        <v>0.9</v>
      </c>
      <c r="F4" s="1234">
        <f t="shared" si="0"/>
        <v>4.9999999999999982</v>
      </c>
      <c r="G4" s="741">
        <v>0</v>
      </c>
      <c r="H4" s="738" t="str">
        <f>IFERROR(#REF!*#REF!+#REF!*#REF!,"")</f>
        <v/>
      </c>
      <c r="I4" s="738" t="e">
        <f t="shared" si="1"/>
        <v>#VALUE!</v>
      </c>
      <c r="J4" s="1327">
        <f>(7.1/6.25)/100</f>
        <v>1.1359999999999999E-2</v>
      </c>
      <c r="K4" s="1320">
        <v>0</v>
      </c>
      <c r="L4" s="739">
        <v>0.01</v>
      </c>
      <c r="M4" s="747">
        <v>0</v>
      </c>
      <c r="N4" s="928"/>
      <c r="O4" s="739"/>
      <c r="P4" s="738">
        <v>0</v>
      </c>
      <c r="Q4" s="1297"/>
      <c r="R4" s="929">
        <v>0.6</v>
      </c>
      <c r="S4" s="929">
        <v>1.1000000000000001</v>
      </c>
      <c r="T4" s="746">
        <v>1.05</v>
      </c>
      <c r="U4" s="40">
        <f t="shared" ref="U4:U35" si="2">IFERROR(AVERAGE(R4:T4)," " )</f>
        <v>0.91666666666666663</v>
      </c>
      <c r="V4" s="72" t="s">
        <v>1450</v>
      </c>
    </row>
    <row r="5" spans="1:68" ht="16.5" hidden="1">
      <c r="A5" s="1298" t="s">
        <v>1700</v>
      </c>
      <c r="B5" s="1307">
        <v>27</v>
      </c>
      <c r="C5" s="1307">
        <v>0.31</v>
      </c>
      <c r="D5" s="1231">
        <f t="shared" ref="D5" si="3">B5*C5</f>
        <v>8.3699999999999992</v>
      </c>
      <c r="E5" s="1312">
        <v>0.9</v>
      </c>
      <c r="F5" s="1234">
        <f t="shared" si="0"/>
        <v>2.9999999999999991</v>
      </c>
      <c r="G5" s="1311">
        <v>0</v>
      </c>
      <c r="H5" s="738" t="str">
        <f>IFERROR(#REF!*#REF!+#REF!*#REF!,"")</f>
        <v/>
      </c>
      <c r="I5" s="738">
        <v>0</v>
      </c>
      <c r="J5" s="1316">
        <f>(9.8/6.25)/100</f>
        <v>1.5679999999999999E-2</v>
      </c>
      <c r="K5" s="1313">
        <v>0</v>
      </c>
      <c r="L5" s="1306">
        <v>0.01</v>
      </c>
      <c r="M5" s="747"/>
      <c r="N5" s="929"/>
      <c r="O5" s="746"/>
      <c r="P5" s="738"/>
      <c r="Q5" s="1297"/>
      <c r="R5" s="1308">
        <v>0.55000000000000004</v>
      </c>
      <c r="S5" s="1308">
        <v>1</v>
      </c>
      <c r="T5" s="1309">
        <v>0.85</v>
      </c>
      <c r="U5" s="40">
        <f t="shared" si="2"/>
        <v>0.79999999999999993</v>
      </c>
      <c r="V5" s="42" t="s">
        <v>1450</v>
      </c>
    </row>
    <row r="6" spans="1:68" hidden="1">
      <c r="A6" s="935" t="s">
        <v>1690</v>
      </c>
      <c r="B6" s="924"/>
      <c r="C6" s="925"/>
      <c r="D6" s="1231" t="e">
        <f>#REF!*#REF!+#REF!*#REF!</f>
        <v>#REF!</v>
      </c>
      <c r="E6" s="737"/>
      <c r="F6" s="1234" t="str">
        <f t="shared" si="0"/>
        <v/>
      </c>
      <c r="G6" s="741"/>
      <c r="H6" s="738" t="str">
        <f>IFERROR(#REF!*#REF!+#REF!*#REF!,"")</f>
        <v/>
      </c>
      <c r="I6" s="738" t="e">
        <f>K6*(D6*1000)</f>
        <v>#REF!</v>
      </c>
      <c r="J6" s="929">
        <f>0.22/6.25</f>
        <v>3.5200000000000002E-2</v>
      </c>
      <c r="K6" s="929">
        <f>0.22/6.25</f>
        <v>3.5200000000000002E-2</v>
      </c>
      <c r="L6" s="739"/>
      <c r="M6" s="747">
        <v>40</v>
      </c>
      <c r="N6" s="929"/>
      <c r="O6" s="739"/>
      <c r="P6" s="738"/>
      <c r="Q6" s="1297"/>
      <c r="R6" s="929">
        <v>0.15</v>
      </c>
      <c r="S6" s="929">
        <v>1.1000000000000001</v>
      </c>
      <c r="T6" s="739">
        <v>0.25</v>
      </c>
      <c r="U6" s="40">
        <f t="shared" si="2"/>
        <v>0.5</v>
      </c>
      <c r="BP6">
        <f>VLOOKUP(INPUTS!$D$78,'Crop parameters'!A3:H3,8,TRUE)*1000</f>
        <v>0</v>
      </c>
    </row>
    <row r="7" spans="1:68" s="147" customFormat="1" ht="16.5">
      <c r="A7" s="1323" t="s">
        <v>1143</v>
      </c>
      <c r="B7" s="743">
        <v>54</v>
      </c>
      <c r="C7" s="743">
        <v>0.25</v>
      </c>
      <c r="D7" s="1231">
        <f>B7*C7</f>
        <v>13.5</v>
      </c>
      <c r="E7" s="737">
        <v>0.9</v>
      </c>
      <c r="F7" s="1234">
        <f t="shared" si="0"/>
        <v>5.9999999999999982</v>
      </c>
      <c r="G7" s="741">
        <v>0</v>
      </c>
      <c r="H7" s="738">
        <f>F7*G7</f>
        <v>0</v>
      </c>
      <c r="I7" s="738">
        <f t="shared" ref="I7" si="4">K7*(H7*1000)</f>
        <v>0</v>
      </c>
      <c r="J7" s="1356">
        <f>(9/6.25)/100</f>
        <v>1.44E-2</v>
      </c>
      <c r="K7" s="928">
        <v>0</v>
      </c>
      <c r="L7" s="928">
        <v>0.01</v>
      </c>
      <c r="M7" s="747">
        <v>0</v>
      </c>
      <c r="N7" s="739"/>
      <c r="O7" s="739"/>
      <c r="P7" s="738">
        <f>(N7*100)/(100-O7)</f>
        <v>0</v>
      </c>
      <c r="Q7" s="1297"/>
      <c r="R7" s="929">
        <v>0.6</v>
      </c>
      <c r="S7" s="929">
        <v>1.1000000000000001</v>
      </c>
      <c r="T7" s="746">
        <v>1.05</v>
      </c>
      <c r="U7" s="40">
        <f t="shared" si="2"/>
        <v>0.91666666666666663</v>
      </c>
      <c r="V7" s="499" t="s">
        <v>1450</v>
      </c>
    </row>
    <row r="8" spans="1:68" s="147" customFormat="1" hidden="1">
      <c r="A8" s="933" t="s">
        <v>1009</v>
      </c>
      <c r="B8" s="743">
        <v>0.95</v>
      </c>
      <c r="C8" s="743">
        <v>0.89900000000000002</v>
      </c>
      <c r="D8" s="1231" t="e">
        <f>#REF!*#REF!+#REF!*#REF!</f>
        <v>#REF!</v>
      </c>
      <c r="E8" s="737">
        <v>0.21990000000000001</v>
      </c>
      <c r="F8" s="1234">
        <f t="shared" si="0"/>
        <v>3.370145520691223</v>
      </c>
      <c r="G8" s="741">
        <f>1-(O8/100)</f>
        <v>0.88050000000000006</v>
      </c>
      <c r="H8" s="738" t="str">
        <f>IFERROR(#REF!*#REF!+#REF!*#REF!,"")</f>
        <v/>
      </c>
      <c r="I8" s="738" t="e">
        <f>K8*(H8*1000)</f>
        <v>#VALUE!</v>
      </c>
      <c r="J8" s="1148">
        <v>3.7999999999999999E-2</v>
      </c>
      <c r="K8" s="739">
        <v>2.3E-2</v>
      </c>
      <c r="L8" s="739">
        <v>0.11700000000000001</v>
      </c>
      <c r="M8" s="747" t="e">
        <f>0.5*(K8*H8+J8*D8)*1000</f>
        <v>#VALUE!</v>
      </c>
      <c r="N8" s="739">
        <v>336</v>
      </c>
      <c r="O8" s="739">
        <v>11.95</v>
      </c>
      <c r="P8" s="738">
        <f>(N8*100)/(100-O8)</f>
        <v>381.60136286201021</v>
      </c>
      <c r="Q8" s="1297">
        <v>16062</v>
      </c>
      <c r="R8" s="1148">
        <v>0.15</v>
      </c>
      <c r="S8" s="739">
        <v>1.05</v>
      </c>
      <c r="T8" s="739">
        <v>0.6</v>
      </c>
      <c r="U8" s="40">
        <f t="shared" si="2"/>
        <v>0.6</v>
      </c>
    </row>
    <row r="9" spans="1:68" hidden="1">
      <c r="A9" s="935" t="s">
        <v>1692</v>
      </c>
      <c r="B9" s="924"/>
      <c r="C9" s="925">
        <f>4*3.5</f>
        <v>14</v>
      </c>
      <c r="D9" s="1231" t="e">
        <f>#REF!*#REF!+#REF!*#REF!</f>
        <v>#REF!</v>
      </c>
      <c r="E9" s="737"/>
      <c r="F9" s="1234" t="str">
        <f t="shared" si="0"/>
        <v/>
      </c>
      <c r="G9" s="1296"/>
      <c r="H9" s="738" t="str">
        <f>IFERROR(#REF!*#REF!+#REF!*#REF!,"")</f>
        <v/>
      </c>
      <c r="I9" s="738" t="e">
        <f>K9*(D9*1000)</f>
        <v>#REF!</v>
      </c>
      <c r="J9" s="929">
        <f>0.24/6.25</f>
        <v>3.8399999999999997E-2</v>
      </c>
      <c r="K9" s="929">
        <f>0.24/6.25</f>
        <v>3.8399999999999997E-2</v>
      </c>
      <c r="L9" s="746"/>
      <c r="M9" s="747"/>
      <c r="N9" s="929"/>
      <c r="O9" s="746"/>
      <c r="P9" s="738"/>
      <c r="Q9" s="1297"/>
      <c r="R9" s="929">
        <v>1.05</v>
      </c>
      <c r="S9" s="929">
        <v>1.1000000000000001</v>
      </c>
      <c r="T9" s="746">
        <v>1.1000000000000001</v>
      </c>
      <c r="U9" s="40">
        <f t="shared" si="2"/>
        <v>1.0833333333333335</v>
      </c>
      <c r="V9" t="s">
        <v>1455</v>
      </c>
      <c r="W9">
        <v>400</v>
      </c>
      <c r="X9">
        <v>18</v>
      </c>
      <c r="Y9">
        <v>25</v>
      </c>
    </row>
    <row r="10" spans="1:68" hidden="1">
      <c r="A10" s="742" t="s">
        <v>1174</v>
      </c>
      <c r="B10" s="743">
        <v>1.33</v>
      </c>
      <c r="C10" s="743">
        <v>0.8</v>
      </c>
      <c r="D10" s="1231" t="e">
        <f>#REF!*#REF!+#REF!*#REF!</f>
        <v>#REF!</v>
      </c>
      <c r="E10" s="737">
        <v>0.47</v>
      </c>
      <c r="F10" s="1234">
        <f t="shared" si="0"/>
        <v>1.4997872340425535</v>
      </c>
      <c r="G10" s="741">
        <f>1-(O10/100)</f>
        <v>0.89629999999999999</v>
      </c>
      <c r="H10" s="738" t="str">
        <f>IFERROR(#REF!*#REF!+#REF!*#REF!,"")</f>
        <v/>
      </c>
      <c r="I10" s="738" t="e">
        <f>K10*(H10*1000)</f>
        <v>#VALUE!</v>
      </c>
      <c r="J10" s="744">
        <v>1.7000000000000001E-2</v>
      </c>
      <c r="K10" s="745">
        <v>7.0000000000000001E-3</v>
      </c>
      <c r="L10" s="739">
        <v>0.05</v>
      </c>
      <c r="M10" s="747">
        <v>0</v>
      </c>
      <c r="N10" s="745">
        <v>365</v>
      </c>
      <c r="O10" s="739">
        <v>10.37</v>
      </c>
      <c r="P10" s="738">
        <f>(N10*100)/(100-O10)</f>
        <v>407.22972219123062</v>
      </c>
      <c r="Q10" s="1297">
        <v>20314</v>
      </c>
      <c r="R10" s="744">
        <v>0.15</v>
      </c>
      <c r="S10" s="745">
        <v>1.1499999999999999</v>
      </c>
      <c r="T10" s="739">
        <v>0.3</v>
      </c>
      <c r="U10" s="40">
        <f t="shared" si="2"/>
        <v>0.53333333333333333</v>
      </c>
    </row>
    <row r="11" spans="1:68" hidden="1">
      <c r="A11" s="933" t="s">
        <v>1693</v>
      </c>
      <c r="B11" s="743"/>
      <c r="C11" s="743"/>
      <c r="D11" s="1231" t="e">
        <f>#REF!*#REF!+#REF!*#REF!</f>
        <v>#REF!</v>
      </c>
      <c r="E11" s="737"/>
      <c r="F11" s="1234" t="str">
        <f t="shared" si="0"/>
        <v/>
      </c>
      <c r="G11" s="741">
        <f>1-(O11/100)</f>
        <v>1</v>
      </c>
      <c r="H11" s="738" t="str">
        <f>IFERROR(#REF!*#REF!+#REF!*#REF!,"")</f>
        <v/>
      </c>
      <c r="I11" s="738" t="e">
        <f>K11*(H11*1000)</f>
        <v>#VALUE!</v>
      </c>
      <c r="J11" s="929">
        <v>3.56E-2</v>
      </c>
      <c r="K11" s="929">
        <v>3.56E-2</v>
      </c>
      <c r="L11" s="739"/>
      <c r="M11" s="747" t="e">
        <f>0.5*(K11*H11+J11*D11)*1000</f>
        <v>#VALUE!</v>
      </c>
      <c r="N11" s="929"/>
      <c r="O11" s="739"/>
      <c r="P11" s="738"/>
      <c r="Q11" s="1297"/>
      <c r="R11" s="929">
        <v>1.05</v>
      </c>
      <c r="S11" s="929">
        <v>1.1000000000000001</v>
      </c>
      <c r="T11" s="739">
        <v>1.1000000000000001</v>
      </c>
      <c r="U11" s="40">
        <f t="shared" si="2"/>
        <v>1.0833333333333335</v>
      </c>
      <c r="V11" t="s">
        <v>1455</v>
      </c>
      <c r="W11">
        <v>400</v>
      </c>
      <c r="X11">
        <v>18</v>
      </c>
      <c r="Y11">
        <v>25</v>
      </c>
    </row>
    <row r="12" spans="1:68" hidden="1">
      <c r="A12" s="934" t="s">
        <v>661</v>
      </c>
      <c r="B12" s="736">
        <v>1.22</v>
      </c>
      <c r="C12" s="741">
        <v>0.95</v>
      </c>
      <c r="D12" s="1231" t="e">
        <f>#REF!*#REF!+#REF!*#REF!</f>
        <v>#REF!</v>
      </c>
      <c r="E12" s="737">
        <v>0.28999999999999998</v>
      </c>
      <c r="F12" s="1234">
        <f t="shared" si="0"/>
        <v>2.9868965517241381</v>
      </c>
      <c r="G12" s="741">
        <f>1-(O12/100)</f>
        <v>0.93500000000000005</v>
      </c>
      <c r="H12" s="738" t="str">
        <f>IFERROR(#REF!*#REF!+#REF!*#REF!,"")</f>
        <v/>
      </c>
      <c r="I12" s="738" t="e">
        <f>K12*(H12*1000)</f>
        <v>#VALUE!</v>
      </c>
      <c r="J12" s="928">
        <v>3.6999999999999998E-2</v>
      </c>
      <c r="K12" s="928">
        <v>1.2E-2</v>
      </c>
      <c r="L12" s="739">
        <v>0.11700000000000001</v>
      </c>
      <c r="M12" s="747" t="e">
        <f>0.5*(K12*H12+J12*D12)*1000</f>
        <v>#VALUE!</v>
      </c>
      <c r="N12" s="928">
        <v>567</v>
      </c>
      <c r="O12" s="739">
        <v>6.5</v>
      </c>
      <c r="P12" s="738">
        <f>(N12*100)/(100-O12)</f>
        <v>606.4171122994652</v>
      </c>
      <c r="Q12" s="1297">
        <v>16067</v>
      </c>
      <c r="R12" s="928">
        <v>0.15</v>
      </c>
      <c r="S12" s="928">
        <v>1.1499999999999999</v>
      </c>
      <c r="T12" s="739">
        <v>0.6</v>
      </c>
      <c r="U12" s="40">
        <f t="shared" si="2"/>
        <v>0.6333333333333333</v>
      </c>
    </row>
    <row r="13" spans="1:68" hidden="1">
      <c r="A13" s="935" t="s">
        <v>1694</v>
      </c>
      <c r="B13" s="736"/>
      <c r="C13" s="925"/>
      <c r="D13" s="1231" t="e">
        <f>#REF!*#REF!+#REF!*#REF!</f>
        <v>#REF!</v>
      </c>
      <c r="E13" s="737"/>
      <c r="F13" s="1234" t="str">
        <f t="shared" si="0"/>
        <v/>
      </c>
      <c r="G13" s="741">
        <f>1-(O13/100)</f>
        <v>0.19200000000000006</v>
      </c>
      <c r="H13" s="738" t="str">
        <f>IFERROR(#REF!*#REF!+#REF!*#REF!,"")</f>
        <v/>
      </c>
      <c r="I13" s="738" t="e">
        <f>K13*(D13*1000)</f>
        <v>#REF!</v>
      </c>
      <c r="J13" s="930">
        <v>2E-3</v>
      </c>
      <c r="K13" s="739">
        <v>2.8000000000000001E-2</v>
      </c>
      <c r="L13" s="739">
        <v>0.14599999999999999</v>
      </c>
      <c r="M13" s="747">
        <v>0</v>
      </c>
      <c r="N13" s="739">
        <v>68</v>
      </c>
      <c r="O13" s="739">
        <v>80.8</v>
      </c>
      <c r="P13" s="738">
        <f>(N13*100)/(100-O13)</f>
        <v>354.16666666666663</v>
      </c>
      <c r="Q13" s="1297">
        <v>9139</v>
      </c>
      <c r="R13" s="930"/>
      <c r="S13" s="739"/>
      <c r="T13" s="739"/>
      <c r="U13" s="40" t="str">
        <f t="shared" si="2"/>
        <v xml:space="preserve"> </v>
      </c>
    </row>
    <row r="14" spans="1:68" hidden="1">
      <c r="A14" s="934" t="s">
        <v>1695</v>
      </c>
      <c r="B14" s="741"/>
      <c r="C14" s="741"/>
      <c r="D14" s="1231" t="e">
        <f>#REF!*#REF!+#REF!*#REF!</f>
        <v>#REF!</v>
      </c>
      <c r="E14" s="737"/>
      <c r="F14" s="1234" t="str">
        <f t="shared" si="0"/>
        <v/>
      </c>
      <c r="G14" s="741"/>
      <c r="H14" s="738" t="str">
        <f>IFERROR(#REF!*#REF!+#REF!*#REF!,"")</f>
        <v/>
      </c>
      <c r="I14" s="738" t="e">
        <f>K14*(D14*1000)</f>
        <v>#REF!</v>
      </c>
      <c r="J14" s="930">
        <v>8.0000000000000002E-3</v>
      </c>
      <c r="K14" s="739">
        <v>8.0000000000000002E-3</v>
      </c>
      <c r="L14" s="739"/>
      <c r="M14" s="747"/>
      <c r="N14" s="739"/>
      <c r="O14" s="739"/>
      <c r="P14" s="738"/>
      <c r="Q14" s="1297"/>
      <c r="R14" s="930">
        <v>0.3</v>
      </c>
      <c r="S14" s="739">
        <v>0.75</v>
      </c>
      <c r="T14" s="739">
        <v>0.75</v>
      </c>
      <c r="U14" s="40">
        <f t="shared" si="2"/>
        <v>0.6</v>
      </c>
      <c r="V14" t="s">
        <v>1450</v>
      </c>
    </row>
    <row r="15" spans="1:68" hidden="1">
      <c r="A15" s="934" t="s">
        <v>1696</v>
      </c>
      <c r="B15" s="743"/>
      <c r="C15" s="743"/>
      <c r="D15" s="1231" t="e">
        <f>#REF!*#REF!+#REF!*#REF!</f>
        <v>#REF!</v>
      </c>
      <c r="E15" s="737"/>
      <c r="F15" s="1234" t="str">
        <f t="shared" si="0"/>
        <v/>
      </c>
      <c r="G15" s="741"/>
      <c r="H15" s="738" t="str">
        <f>IFERROR(#REF!*#REF!+#REF!*#REF!,"")</f>
        <v/>
      </c>
      <c r="I15" s="738" t="e">
        <f>K15*(D15*1000)</f>
        <v>#REF!</v>
      </c>
      <c r="J15" s="930">
        <v>8.0000000000000002E-3</v>
      </c>
      <c r="K15" s="931">
        <v>8.0000000000000002E-3</v>
      </c>
      <c r="L15" s="739"/>
      <c r="M15" s="747"/>
      <c r="N15" s="931"/>
      <c r="O15" s="739"/>
      <c r="P15" s="738"/>
      <c r="Q15" s="1297"/>
      <c r="R15" s="930">
        <v>0.3</v>
      </c>
      <c r="S15" s="931">
        <v>0.75</v>
      </c>
      <c r="T15" s="739">
        <v>0.75</v>
      </c>
      <c r="U15" s="40">
        <f t="shared" si="2"/>
        <v>0.6</v>
      </c>
      <c r="V15" t="s">
        <v>1450</v>
      </c>
    </row>
    <row r="16" spans="1:68" hidden="1">
      <c r="A16" s="933" t="s">
        <v>1629</v>
      </c>
      <c r="B16" s="743">
        <v>1.843</v>
      </c>
      <c r="C16" s="743">
        <v>0.88</v>
      </c>
      <c r="D16" s="1231" t="e">
        <f>#REF!*#REF!+#REF!*#REF!</f>
        <v>#REF!</v>
      </c>
      <c r="E16" s="737">
        <v>0.5</v>
      </c>
      <c r="F16" s="1234">
        <f t="shared" si="0"/>
        <v>1.843</v>
      </c>
      <c r="G16" s="741">
        <f>1-(O16/100)</f>
        <v>0.89410000000000001</v>
      </c>
      <c r="H16" s="738" t="str">
        <f>IFERROR(#REF!*#REF!+#REF!*#REF!,"")</f>
        <v/>
      </c>
      <c r="I16" s="738" t="e">
        <f t="shared" ref="I16:I21" si="5">K16*(H16*1000)</f>
        <v>#VALUE!</v>
      </c>
      <c r="J16" s="930">
        <v>4.0000000000000001E-3</v>
      </c>
      <c r="K16" s="931">
        <v>0.04</v>
      </c>
      <c r="L16" s="739"/>
      <c r="M16" s="747" t="e">
        <f>0.5*(K16*H16+J16*D16)*1000</f>
        <v>#VALUE!</v>
      </c>
      <c r="N16" s="931">
        <v>343</v>
      </c>
      <c r="O16" s="739">
        <v>10.59</v>
      </c>
      <c r="P16" s="738">
        <f t="shared" ref="P16:P21" si="6">(N16*100)/(100-O16)</f>
        <v>383.62599261827535</v>
      </c>
      <c r="Q16" s="1297">
        <v>16101</v>
      </c>
      <c r="R16" s="930">
        <v>0.15</v>
      </c>
      <c r="S16" s="931">
        <v>1.1000000000000001</v>
      </c>
      <c r="T16" s="739">
        <v>0.25</v>
      </c>
      <c r="U16" s="40">
        <f t="shared" si="2"/>
        <v>0.5</v>
      </c>
    </row>
    <row r="17" spans="1:25" hidden="1">
      <c r="A17" s="742" t="s">
        <v>935</v>
      </c>
      <c r="B17" s="741"/>
      <c r="C17" s="741"/>
      <c r="D17" s="1231" t="e">
        <f>#REF!*#REF!+#REF!*#REF!</f>
        <v>#REF!</v>
      </c>
      <c r="E17" s="737"/>
      <c r="F17" s="1234" t="str">
        <f t="shared" si="0"/>
        <v/>
      </c>
      <c r="G17" s="741">
        <f>1-(O17/100)</f>
        <v>1</v>
      </c>
      <c r="H17" s="738" t="str">
        <f>IFERROR(#REF!*#REF!+#REF!*#REF!,"")</f>
        <v/>
      </c>
      <c r="I17" s="738" t="e">
        <f t="shared" si="5"/>
        <v>#VALUE!</v>
      </c>
      <c r="J17" s="930">
        <v>3.4000000000000002E-2</v>
      </c>
      <c r="K17" s="739">
        <v>3.4000000000000002E-2</v>
      </c>
      <c r="L17" s="739"/>
      <c r="M17" s="747" t="e">
        <f>0.5*(K17*H17+J17*D17)*1000</f>
        <v>#VALUE!</v>
      </c>
      <c r="N17" s="739"/>
      <c r="O17" s="739"/>
      <c r="P17" s="738">
        <f t="shared" si="6"/>
        <v>0</v>
      </c>
      <c r="Q17" s="1297"/>
      <c r="R17" s="930">
        <v>1.05</v>
      </c>
      <c r="S17" s="739">
        <v>1.1000000000000001</v>
      </c>
      <c r="T17" s="739">
        <v>1.1000000000000001</v>
      </c>
      <c r="U17" s="40">
        <f t="shared" si="2"/>
        <v>1.0833333333333335</v>
      </c>
      <c r="V17" t="s">
        <v>1455</v>
      </c>
      <c r="W17">
        <v>400</v>
      </c>
      <c r="X17">
        <v>18</v>
      </c>
      <c r="Y17">
        <v>25</v>
      </c>
    </row>
    <row r="18" spans="1:25">
      <c r="A18" s="934" t="s">
        <v>388</v>
      </c>
      <c r="B18" s="741">
        <v>4.33</v>
      </c>
      <c r="C18" s="741">
        <v>0.3</v>
      </c>
      <c r="D18" s="1231">
        <f t="shared" ref="D18:D20" si="7">B18*C18</f>
        <v>1.2989999999999999</v>
      </c>
      <c r="E18" s="737">
        <v>0.52</v>
      </c>
      <c r="F18" s="1234">
        <f t="shared" si="0"/>
        <v>3.9969230769230766</v>
      </c>
      <c r="G18" s="1326">
        <f>1-(O18/100)</f>
        <v>0.89629999999999999</v>
      </c>
      <c r="H18" s="738">
        <f t="shared" ref="H18:H20" si="8">F18*G18</f>
        <v>3.5824421538461535</v>
      </c>
      <c r="I18" s="738">
        <f t="shared" si="5"/>
        <v>21.208057550769229</v>
      </c>
      <c r="J18" s="1357">
        <f>(8/6.25)/100</f>
        <v>1.2800000000000001E-2</v>
      </c>
      <c r="K18" s="1355">
        <f>(3.7/6.25)/100</f>
        <v>5.9200000000000008E-3</v>
      </c>
      <c r="L18" s="928">
        <v>0.1</v>
      </c>
      <c r="M18" s="747">
        <v>0</v>
      </c>
      <c r="N18" s="748">
        <v>365</v>
      </c>
      <c r="O18" s="743">
        <v>10.37</v>
      </c>
      <c r="P18" s="738">
        <f t="shared" si="6"/>
        <v>407.22972219123062</v>
      </c>
      <c r="Q18" s="1297">
        <v>20314</v>
      </c>
      <c r="R18" s="930">
        <v>0.15</v>
      </c>
      <c r="S18" s="739">
        <v>1.2</v>
      </c>
      <c r="T18" s="739">
        <v>0.6</v>
      </c>
      <c r="U18" s="40">
        <f t="shared" si="2"/>
        <v>0.64999999999999991</v>
      </c>
      <c r="V18" s="72" t="s">
        <v>1450</v>
      </c>
    </row>
    <row r="19" spans="1:25">
      <c r="A19" s="1324" t="s">
        <v>780</v>
      </c>
      <c r="B19" s="924">
        <v>105</v>
      </c>
      <c r="C19" s="743">
        <v>0.21</v>
      </c>
      <c r="D19" s="1231">
        <f t="shared" si="7"/>
        <v>22.05</v>
      </c>
      <c r="E19" s="737">
        <v>0.9</v>
      </c>
      <c r="F19" s="1234">
        <f t="shared" si="0"/>
        <v>11.666666666666663</v>
      </c>
      <c r="G19" s="741">
        <v>0</v>
      </c>
      <c r="H19" s="738">
        <f t="shared" si="8"/>
        <v>0</v>
      </c>
      <c r="I19" s="738">
        <f t="shared" si="5"/>
        <v>0</v>
      </c>
      <c r="J19" s="1357">
        <f>(8/6.25)/100</f>
        <v>1.2800000000000001E-2</v>
      </c>
      <c r="K19" s="929">
        <v>0</v>
      </c>
      <c r="L19" s="928">
        <v>0.01</v>
      </c>
      <c r="M19" s="747">
        <v>0</v>
      </c>
      <c r="N19" s="932"/>
      <c r="O19" s="924"/>
      <c r="P19" s="927">
        <f t="shared" si="6"/>
        <v>0</v>
      </c>
      <c r="Q19" s="926"/>
      <c r="R19" s="930">
        <v>0.6</v>
      </c>
      <c r="S19" s="931">
        <v>1.1000000000000001</v>
      </c>
      <c r="T19" s="739">
        <v>1.05</v>
      </c>
      <c r="U19" s="40">
        <f t="shared" si="2"/>
        <v>0.91666666666666663</v>
      </c>
      <c r="V19" s="72" t="s">
        <v>1450</v>
      </c>
    </row>
    <row r="20" spans="1:25" ht="16.5">
      <c r="A20" s="1323" t="s">
        <v>1142</v>
      </c>
      <c r="B20" s="743">
        <v>45</v>
      </c>
      <c r="C20" s="741">
        <v>0.28999999999999998</v>
      </c>
      <c r="D20" s="1231">
        <f t="shared" si="7"/>
        <v>13.049999999999999</v>
      </c>
      <c r="E20" s="737">
        <v>0.9</v>
      </c>
      <c r="F20" s="1234">
        <f t="shared" si="0"/>
        <v>4.9999999999999982</v>
      </c>
      <c r="G20" s="741">
        <v>0</v>
      </c>
      <c r="H20" s="738">
        <f t="shared" si="8"/>
        <v>0</v>
      </c>
      <c r="I20" s="738">
        <f t="shared" si="5"/>
        <v>0</v>
      </c>
      <c r="J20" s="1357">
        <v>0.01</v>
      </c>
      <c r="K20" s="929">
        <v>0</v>
      </c>
      <c r="L20" s="1358">
        <v>0.05</v>
      </c>
      <c r="M20" s="747">
        <v>0</v>
      </c>
      <c r="N20" s="931"/>
      <c r="O20" s="746"/>
      <c r="P20" s="738">
        <f t="shared" si="6"/>
        <v>0</v>
      </c>
      <c r="Q20" s="1297"/>
      <c r="R20" s="930">
        <v>0.3</v>
      </c>
      <c r="S20" s="931">
        <v>0.75</v>
      </c>
      <c r="T20" s="746">
        <v>0.75</v>
      </c>
      <c r="U20" s="40">
        <f t="shared" si="2"/>
        <v>0.6</v>
      </c>
      <c r="V20" s="72" t="s">
        <v>1450</v>
      </c>
    </row>
    <row r="21" spans="1:25" hidden="1">
      <c r="A21" s="742" t="s">
        <v>1697</v>
      </c>
      <c r="B21" s="748"/>
      <c r="C21" s="748"/>
      <c r="D21" s="1231" t="e">
        <f>#REF!*#REF!+#REF!*#REF!</f>
        <v>#REF!</v>
      </c>
      <c r="E21" s="737"/>
      <c r="F21" s="1234" t="str">
        <f t="shared" si="0"/>
        <v/>
      </c>
      <c r="G21" s="741">
        <f>1-(O21/100)</f>
        <v>1</v>
      </c>
      <c r="H21" s="738" t="str">
        <f>IFERROR(#REF!*#REF!+#REF!*#REF!,"")</f>
        <v/>
      </c>
      <c r="I21" s="738" t="e">
        <f t="shared" si="5"/>
        <v>#VALUE!</v>
      </c>
      <c r="J21" s="930">
        <v>5.0000000000000001E-3</v>
      </c>
      <c r="K21" s="931">
        <v>5.0000000000000001E-3</v>
      </c>
      <c r="L21" s="739">
        <v>0.73</v>
      </c>
      <c r="M21" s="747">
        <v>0</v>
      </c>
      <c r="N21" s="932"/>
      <c r="O21" s="739"/>
      <c r="P21" s="738">
        <f t="shared" si="6"/>
        <v>0</v>
      </c>
      <c r="Q21" s="737"/>
      <c r="R21" s="930">
        <v>1.05</v>
      </c>
      <c r="S21" s="931">
        <v>1.1000000000000001</v>
      </c>
      <c r="T21" s="739">
        <v>1.1000000000000001</v>
      </c>
      <c r="U21" s="40">
        <f t="shared" si="2"/>
        <v>1.0833333333333335</v>
      </c>
    </row>
    <row r="22" spans="1:25" hidden="1">
      <c r="A22" s="935" t="s">
        <v>1294</v>
      </c>
      <c r="B22" s="1307">
        <v>60</v>
      </c>
      <c r="C22" s="1307">
        <v>0.23</v>
      </c>
      <c r="D22" s="1231">
        <f>B22*C22</f>
        <v>13.8</v>
      </c>
      <c r="E22" s="1312">
        <v>0.95</v>
      </c>
      <c r="F22" s="1234">
        <f t="shared" si="0"/>
        <v>3.1578947368421084</v>
      </c>
      <c r="G22" s="1311">
        <v>0</v>
      </c>
      <c r="H22" s="738" t="str">
        <f>IFERROR(#REF!*#REF!+#REF!*#REF!,"")</f>
        <v/>
      </c>
      <c r="I22" s="738">
        <v>0</v>
      </c>
      <c r="J22" s="1317">
        <f>(11.2/6.25)/100</f>
        <v>1.7919999999999998E-2</v>
      </c>
      <c r="K22" s="1313">
        <v>0</v>
      </c>
      <c r="L22" s="1306">
        <v>0.01</v>
      </c>
      <c r="M22" s="747"/>
      <c r="N22" s="931"/>
      <c r="O22" s="739"/>
      <c r="P22" s="738"/>
      <c r="Q22" s="1297"/>
      <c r="R22" s="930">
        <v>0.6</v>
      </c>
      <c r="S22" s="931">
        <v>1.1000000000000001</v>
      </c>
      <c r="T22" s="739">
        <v>1.05</v>
      </c>
      <c r="U22" s="40">
        <f t="shared" si="2"/>
        <v>0.91666666666666663</v>
      </c>
      <c r="V22" s="42" t="s">
        <v>1450</v>
      </c>
    </row>
    <row r="23" spans="1:25" hidden="1">
      <c r="A23" s="933" t="s">
        <v>1295</v>
      </c>
      <c r="B23" s="743"/>
      <c r="C23" s="743"/>
      <c r="D23" s="1231" t="e">
        <f>#REF!*#REF!+#REF!*#REF!</f>
        <v>#REF!</v>
      </c>
      <c r="E23" s="737"/>
      <c r="F23" s="1234" t="str">
        <f t="shared" si="0"/>
        <v/>
      </c>
      <c r="G23" s="741"/>
      <c r="H23" s="738" t="str">
        <f>IFERROR(#REF!*#REF!+#REF!*#REF!,"")</f>
        <v/>
      </c>
      <c r="I23" s="738" t="e">
        <f>K23*(D23*1000)</f>
        <v>#REF!</v>
      </c>
      <c r="J23" s="930">
        <f>0.1/6.25</f>
        <v>1.6E-2</v>
      </c>
      <c r="K23" s="739">
        <f>0.1/6.25</f>
        <v>1.6E-2</v>
      </c>
      <c r="L23" s="739"/>
      <c r="M23" s="747"/>
      <c r="N23" s="739"/>
      <c r="O23" s="739"/>
      <c r="P23" s="738"/>
      <c r="Q23" s="1297"/>
      <c r="R23" s="930">
        <v>0.3</v>
      </c>
      <c r="S23" s="739">
        <v>0.75</v>
      </c>
      <c r="T23" s="739">
        <v>0.75</v>
      </c>
      <c r="U23" s="40">
        <f t="shared" si="2"/>
        <v>0.6</v>
      </c>
      <c r="V23" t="s">
        <v>1450</v>
      </c>
    </row>
    <row r="24" spans="1:25" hidden="1">
      <c r="A24" s="933" t="s">
        <v>1297</v>
      </c>
      <c r="B24" s="743">
        <v>0.95</v>
      </c>
      <c r="C24" s="743">
        <v>0.90300000000000002</v>
      </c>
      <c r="D24" s="1231" t="e">
        <f>#REF!*#REF!+#REF!*#REF!</f>
        <v>#REF!</v>
      </c>
      <c r="E24" s="737">
        <v>0.26</v>
      </c>
      <c r="F24" s="1234">
        <f t="shared" si="0"/>
        <v>2.7038461538461536</v>
      </c>
      <c r="G24" s="741">
        <f>1-(O24/100)</f>
        <v>0.89410000000000001</v>
      </c>
      <c r="H24" s="738" t="str">
        <f>IFERROR(#REF!*#REF!+#REF!*#REF!,"")</f>
        <v/>
      </c>
      <c r="I24" s="738" t="e">
        <f>K24*(H24*1000)</f>
        <v>#VALUE!</v>
      </c>
      <c r="J24" s="930">
        <v>3.5000000000000003E-2</v>
      </c>
      <c r="K24" s="739">
        <v>1.7999999999999999E-2</v>
      </c>
      <c r="L24" s="739">
        <v>0.11600000000000001</v>
      </c>
      <c r="M24" s="747" t="e">
        <f>0.5*(K24*H24+J24*D24)*1000</f>
        <v>#VALUE!</v>
      </c>
      <c r="N24" s="739">
        <v>343</v>
      </c>
      <c r="O24" s="739">
        <v>10.59</v>
      </c>
      <c r="P24" s="738">
        <f>(N24*100)/(100-O24)</f>
        <v>383.62599261827535</v>
      </c>
      <c r="Q24" s="1297">
        <v>16101</v>
      </c>
      <c r="R24" s="930"/>
      <c r="S24" s="739"/>
      <c r="T24" s="739"/>
      <c r="U24" s="40" t="str">
        <f t="shared" si="2"/>
        <v xml:space="preserve"> </v>
      </c>
      <c r="V24" t="s">
        <v>1455</v>
      </c>
      <c r="W24">
        <v>5000</v>
      </c>
      <c r="X24">
        <v>10</v>
      </c>
      <c r="Y24">
        <v>25</v>
      </c>
    </row>
    <row r="25" spans="1:25">
      <c r="A25" s="933" t="s">
        <v>1149</v>
      </c>
      <c r="B25" s="743">
        <v>0</v>
      </c>
      <c r="C25" s="743">
        <v>0</v>
      </c>
      <c r="D25" s="1231">
        <f>B25*C25</f>
        <v>0</v>
      </c>
      <c r="E25" s="737">
        <v>0</v>
      </c>
      <c r="F25" s="1234">
        <v>0</v>
      </c>
      <c r="G25" s="741">
        <v>0</v>
      </c>
      <c r="H25" s="738">
        <f>F25*G25</f>
        <v>0</v>
      </c>
      <c r="I25" s="738">
        <f t="shared" ref="I25" si="9">K25*(H25*1000)</f>
        <v>0</v>
      </c>
      <c r="J25" s="1357">
        <v>0</v>
      </c>
      <c r="K25" s="928">
        <v>0</v>
      </c>
      <c r="L25" s="928">
        <v>0</v>
      </c>
      <c r="M25" s="747">
        <v>0</v>
      </c>
      <c r="N25" s="739">
        <v>0</v>
      </c>
      <c r="O25" s="739">
        <v>0</v>
      </c>
      <c r="P25" s="738">
        <v>0</v>
      </c>
      <c r="Q25" s="1297"/>
      <c r="R25" s="930">
        <v>0</v>
      </c>
      <c r="S25" s="739">
        <v>0</v>
      </c>
      <c r="T25" s="739">
        <v>0</v>
      </c>
      <c r="U25" s="40">
        <f t="shared" si="2"/>
        <v>0</v>
      </c>
    </row>
    <row r="26" spans="1:25" hidden="1">
      <c r="A26" s="933" t="s">
        <v>1698</v>
      </c>
      <c r="B26" s="743">
        <v>7.8</v>
      </c>
      <c r="C26" s="743">
        <f>1-0.92</f>
        <v>7.999999999999996E-2</v>
      </c>
      <c r="D26" s="1231" t="e">
        <f>#REF!*#REF!+#REF!*#REF!</f>
        <v>#REF!</v>
      </c>
      <c r="E26" s="737">
        <v>0.9</v>
      </c>
      <c r="F26" s="1234">
        <f t="shared" si="0"/>
        <v>0.86666666666666636</v>
      </c>
      <c r="G26" s="741">
        <f>1-(O26/100)</f>
        <v>7.790000000000008E-2</v>
      </c>
      <c r="H26" s="738" t="str">
        <f>IFERROR(#REF!*#REF!+#REF!*#REF!,"")</f>
        <v/>
      </c>
      <c r="I26" s="738" t="e">
        <f>K26*(H26*1000)</f>
        <v>#VALUE!</v>
      </c>
      <c r="J26" s="930">
        <v>8.9999999999999993E-3</v>
      </c>
      <c r="K26" s="739">
        <v>3.0000000000000001E-3</v>
      </c>
      <c r="L26" s="739">
        <v>0.1</v>
      </c>
      <c r="M26" s="747">
        <v>0</v>
      </c>
      <c r="N26" s="739">
        <v>31</v>
      </c>
      <c r="O26" s="739">
        <v>92.21</v>
      </c>
      <c r="P26" s="738">
        <f>(N26*100)/(100-O26)</f>
        <v>397.94608472400483</v>
      </c>
      <c r="Q26" s="1297">
        <v>11821</v>
      </c>
      <c r="R26" s="930"/>
      <c r="S26" s="739"/>
      <c r="T26" s="739"/>
      <c r="U26" s="40" t="str">
        <f t="shared" si="2"/>
        <v xml:space="preserve"> </v>
      </c>
    </row>
    <row r="27" spans="1:25" hidden="1">
      <c r="A27" s="935" t="s">
        <v>660</v>
      </c>
      <c r="B27" s="924">
        <v>2</v>
      </c>
      <c r="C27" s="925">
        <v>0.8</v>
      </c>
      <c r="D27" s="1231" t="e">
        <f>#REF!*#REF!+#REF!*#REF!</f>
        <v>#REF!</v>
      </c>
      <c r="E27" s="737">
        <v>0.42</v>
      </c>
      <c r="F27" s="1234">
        <f t="shared" si="0"/>
        <v>2.7619047619047623</v>
      </c>
      <c r="G27" s="741">
        <f>1-(O27/100)</f>
        <v>0.87109999999999999</v>
      </c>
      <c r="H27" s="738" t="str">
        <f>IFERROR(#REF!*#REF!+#REF!*#REF!,"")</f>
        <v/>
      </c>
      <c r="I27" s="1152" t="e">
        <f>K27*(H27*1000)</f>
        <v>#VALUE!</v>
      </c>
      <c r="J27" s="930">
        <v>8.9999999999999993E-3</v>
      </c>
      <c r="K27" s="739">
        <v>6.0000000000000001E-3</v>
      </c>
      <c r="L27" s="739"/>
      <c r="M27" s="1151" t="e">
        <f>0.5*(K27*H27+J27*D27)*1000</f>
        <v>#VALUE!</v>
      </c>
      <c r="N27" s="739">
        <v>360</v>
      </c>
      <c r="O27" s="739">
        <v>12.89</v>
      </c>
      <c r="P27" s="738">
        <f>(N27*100)/(100-O27)</f>
        <v>413.27057743083458</v>
      </c>
      <c r="Q27" s="1297">
        <v>20450</v>
      </c>
      <c r="R27" s="930">
        <v>1.05</v>
      </c>
      <c r="S27" s="739">
        <v>1.2</v>
      </c>
      <c r="T27" s="739">
        <v>0.75</v>
      </c>
      <c r="U27" s="40">
        <f t="shared" si="2"/>
        <v>1</v>
      </c>
    </row>
    <row r="28" spans="1:25" hidden="1">
      <c r="A28" s="742" t="s">
        <v>659</v>
      </c>
      <c r="B28" s="743">
        <v>4.3</v>
      </c>
      <c r="C28" s="743">
        <v>0.93</v>
      </c>
      <c r="D28" s="1231" t="e">
        <f>#REF!*#REF!+#REF!*#REF!</f>
        <v>#REF!</v>
      </c>
      <c r="E28" s="737">
        <v>0.3</v>
      </c>
      <c r="F28" s="1234">
        <f t="shared" si="0"/>
        <v>10.033333333333333</v>
      </c>
      <c r="G28" s="741">
        <f>1-(O28/100)</f>
        <v>0.876</v>
      </c>
      <c r="H28" s="738" t="str">
        <f>IFERROR(#REF!*#REF!+#REF!*#REF!,"")</f>
        <v/>
      </c>
      <c r="I28" s="1152" t="e">
        <f>K28*(D28*1000)</f>
        <v>#REF!</v>
      </c>
      <c r="J28" s="930">
        <v>0.02</v>
      </c>
      <c r="K28" s="739">
        <v>6.0000000000000001E-3</v>
      </c>
      <c r="L28" s="739">
        <v>0.05</v>
      </c>
      <c r="M28" s="1151">
        <v>0</v>
      </c>
      <c r="N28" s="739">
        <v>329</v>
      </c>
      <c r="O28" s="739">
        <v>12.4</v>
      </c>
      <c r="P28" s="738">
        <f>(N28*100)/(100-O28)</f>
        <v>375.57077625570781</v>
      </c>
      <c r="Q28" s="1297">
        <v>20067</v>
      </c>
      <c r="R28" s="930">
        <v>0.1</v>
      </c>
      <c r="S28" s="739">
        <v>1.1000000000000001</v>
      </c>
      <c r="T28" s="739">
        <v>0.55000000000000004</v>
      </c>
      <c r="U28" s="40">
        <f t="shared" si="2"/>
        <v>0.58333333333333337</v>
      </c>
    </row>
    <row r="29" spans="1:25" hidden="1">
      <c r="A29" s="742" t="s">
        <v>1144</v>
      </c>
      <c r="B29" s="743">
        <v>10.8</v>
      </c>
      <c r="C29" s="743">
        <f>1- ( (0.63+0.73)/2)</f>
        <v>0.32000000000000006</v>
      </c>
      <c r="D29" s="1231" t="e">
        <f>#REF!*#REF!+#REF!*#REF!</f>
        <v>#REF!</v>
      </c>
      <c r="E29" s="737">
        <v>0.71399999999999997</v>
      </c>
      <c r="F29" s="1234">
        <f t="shared" si="0"/>
        <v>4.3260504201680687</v>
      </c>
      <c r="G29" s="741">
        <f>1-(O29/100)</f>
        <v>0.31999999999999995</v>
      </c>
      <c r="H29" s="738" t="str">
        <f>IFERROR(#REF!*#REF!+#REF!*#REF!,"")</f>
        <v/>
      </c>
      <c r="I29" s="1152" t="e">
        <f>K29*(H29*1000)</f>
        <v>#VALUE!</v>
      </c>
      <c r="J29" s="930">
        <v>1E-3</v>
      </c>
      <c r="K29" s="739">
        <v>1E-3</v>
      </c>
      <c r="L29" s="739">
        <v>0.17100000000000001</v>
      </c>
      <c r="M29" s="1151">
        <v>0</v>
      </c>
      <c r="N29" s="739"/>
      <c r="O29" s="739">
        <f>(1-0.32)*100</f>
        <v>68</v>
      </c>
      <c r="P29" s="1152">
        <f>(N29*100)/(100-O29)</f>
        <v>0</v>
      </c>
      <c r="Q29" s="1297"/>
      <c r="R29" s="930">
        <v>0.15</v>
      </c>
      <c r="S29" s="739">
        <v>1.2</v>
      </c>
      <c r="T29" s="739">
        <v>0.7</v>
      </c>
      <c r="U29" s="40">
        <f t="shared" si="2"/>
        <v>0.68333333333333324</v>
      </c>
    </row>
    <row r="30" spans="1:25">
      <c r="A30" s="742" t="str">
        <f>'Feed parameters'!I33</f>
        <v>N/A</v>
      </c>
      <c r="B30" s="743">
        <v>0</v>
      </c>
      <c r="C30" s="743">
        <v>0</v>
      </c>
      <c r="D30" s="1232">
        <v>0</v>
      </c>
      <c r="E30" s="743">
        <v>0</v>
      </c>
      <c r="F30" s="1234">
        <f>IFERROR(B30*((1-E30)/E30), 0)</f>
        <v>0</v>
      </c>
      <c r="G30" s="743">
        <v>0</v>
      </c>
      <c r="H30" s="738">
        <f>F30*G30</f>
        <v>0</v>
      </c>
      <c r="I30" s="1150">
        <v>0</v>
      </c>
      <c r="J30" s="1359">
        <v>0</v>
      </c>
      <c r="K30" s="1359">
        <v>0</v>
      </c>
      <c r="L30" s="1359">
        <v>0</v>
      </c>
      <c r="M30" s="1150">
        <v>0</v>
      </c>
      <c r="N30" s="743">
        <v>0</v>
      </c>
      <c r="O30" s="743">
        <v>0</v>
      </c>
      <c r="P30" s="1150">
        <v>0</v>
      </c>
      <c r="Q30" s="743">
        <v>0</v>
      </c>
      <c r="R30" s="743">
        <v>0</v>
      </c>
      <c r="S30" s="743">
        <v>0</v>
      </c>
      <c r="T30" s="743">
        <v>0</v>
      </c>
      <c r="U30" s="40">
        <f t="shared" si="2"/>
        <v>0</v>
      </c>
    </row>
    <row r="31" spans="1:25" hidden="1">
      <c r="A31" s="742"/>
      <c r="B31" s="743"/>
      <c r="C31" s="743"/>
      <c r="D31" s="1233">
        <f>B31*C31</f>
        <v>0</v>
      </c>
      <c r="E31" s="737"/>
      <c r="F31" s="1234" t="str">
        <f t="shared" si="0"/>
        <v/>
      </c>
      <c r="G31" s="741"/>
      <c r="H31" s="738" t="str">
        <f>IFERROR(#REF!*#REF!+#REF!*#REF!,"")</f>
        <v/>
      </c>
      <c r="I31" s="1152" t="e">
        <f>K31*(H31*1000)</f>
        <v>#VALUE!</v>
      </c>
      <c r="J31" s="930"/>
      <c r="K31" s="739"/>
      <c r="L31" s="739"/>
      <c r="M31" s="1151" t="e">
        <f>0.5*(K31*H31+J31*D31)*1000</f>
        <v>#VALUE!</v>
      </c>
      <c r="N31" s="739"/>
      <c r="O31" s="739"/>
      <c r="P31" s="1152"/>
      <c r="Q31" s="1297"/>
      <c r="R31" s="930"/>
      <c r="S31" s="739"/>
      <c r="T31" s="739"/>
      <c r="U31" s="40" t="str">
        <f t="shared" si="2"/>
        <v xml:space="preserve"> </v>
      </c>
    </row>
    <row r="32" spans="1:25" hidden="1">
      <c r="A32" s="742"/>
      <c r="B32" s="743"/>
      <c r="C32" s="743"/>
      <c r="D32" s="1233">
        <f>B32*C32</f>
        <v>0</v>
      </c>
      <c r="E32" s="737"/>
      <c r="F32" s="1234" t="str">
        <f t="shared" si="0"/>
        <v/>
      </c>
      <c r="G32" s="741"/>
      <c r="H32" s="738" t="str">
        <f>IFERROR(#REF!*#REF!+#REF!*#REF!,"")</f>
        <v/>
      </c>
      <c r="I32" s="738" t="e">
        <f>K32*(H32*1000)</f>
        <v>#VALUE!</v>
      </c>
      <c r="J32" s="930"/>
      <c r="K32" s="739"/>
      <c r="L32" s="739"/>
      <c r="M32" s="747" t="e">
        <f>0.5*(K32*H32+J32*D32)*1000</f>
        <v>#VALUE!</v>
      </c>
      <c r="N32" s="739"/>
      <c r="O32" s="739"/>
      <c r="P32" s="738"/>
      <c r="Q32" s="1297"/>
      <c r="R32" s="930"/>
      <c r="S32" s="739"/>
      <c r="T32" s="739"/>
      <c r="U32" s="40" t="str">
        <f t="shared" si="2"/>
        <v xml:space="preserve"> </v>
      </c>
    </row>
    <row r="33" spans="1:21" hidden="1">
      <c r="A33" s="742"/>
      <c r="B33" s="743"/>
      <c r="C33" s="743"/>
      <c r="D33" s="1231">
        <f>B33*C33</f>
        <v>0</v>
      </c>
      <c r="E33" s="737"/>
      <c r="F33" s="1234" t="str">
        <f t="shared" si="0"/>
        <v/>
      </c>
      <c r="G33" s="741"/>
      <c r="H33" s="738" t="str">
        <f>IFERROR(#REF!*#REF!+#REF!*#REF!,"")</f>
        <v/>
      </c>
      <c r="I33" s="738" t="e">
        <f>K33*(H33*1000)</f>
        <v>#VALUE!</v>
      </c>
      <c r="J33" s="930"/>
      <c r="K33" s="739"/>
      <c r="L33" s="739"/>
      <c r="M33" s="747" t="e">
        <f>0.5*(K33*H33+J33*D33)*1000</f>
        <v>#VALUE!</v>
      </c>
      <c r="N33" s="739"/>
      <c r="O33" s="739"/>
      <c r="P33" s="738"/>
      <c r="Q33" s="1297"/>
      <c r="R33" s="930"/>
      <c r="S33" s="739"/>
      <c r="T33" s="739"/>
      <c r="U33" s="40" t="str">
        <f t="shared" si="2"/>
        <v xml:space="preserve"> </v>
      </c>
    </row>
    <row r="34" spans="1:21" hidden="1">
      <c r="A34" s="742"/>
      <c r="B34" s="743"/>
      <c r="C34" s="743"/>
      <c r="D34" s="1231">
        <f>B34*C34</f>
        <v>0</v>
      </c>
      <c r="E34" s="737"/>
      <c r="F34" s="1234" t="str">
        <f t="shared" si="0"/>
        <v/>
      </c>
      <c r="G34" s="741"/>
      <c r="H34" s="738" t="str">
        <f>IFERROR(#REF!*#REF!+#REF!*#REF!,"")</f>
        <v/>
      </c>
      <c r="I34" s="738" t="e">
        <f>K34*(H34*1000)</f>
        <v>#VALUE!</v>
      </c>
      <c r="J34" s="930"/>
      <c r="K34" s="739"/>
      <c r="L34" s="739"/>
      <c r="M34" s="747" t="e">
        <f>0.5*(K34*H34+J34*D34)*1000</f>
        <v>#VALUE!</v>
      </c>
      <c r="N34" s="739"/>
      <c r="O34" s="739"/>
      <c r="P34" s="738"/>
      <c r="Q34" s="1297"/>
      <c r="R34" s="930"/>
      <c r="S34" s="739"/>
      <c r="T34" s="739"/>
      <c r="U34" s="40" t="str">
        <f t="shared" si="2"/>
        <v xml:space="preserve"> </v>
      </c>
    </row>
    <row r="35" spans="1:21" hidden="1">
      <c r="A35" s="742"/>
      <c r="B35" s="743"/>
      <c r="C35" s="743"/>
      <c r="D35" s="1231">
        <f>B35*C35</f>
        <v>0</v>
      </c>
      <c r="E35" s="737"/>
      <c r="F35" s="1234" t="str">
        <f t="shared" si="0"/>
        <v/>
      </c>
      <c r="G35" s="741"/>
      <c r="H35" s="738" t="str">
        <f>IFERROR(#REF!*#REF!+#REF!*#REF!,"")</f>
        <v/>
      </c>
      <c r="I35" s="738" t="e">
        <f>K35*(H35*1000)</f>
        <v>#VALUE!</v>
      </c>
      <c r="J35" s="930"/>
      <c r="K35" s="739"/>
      <c r="L35" s="739"/>
      <c r="M35" s="747" t="e">
        <f>0.5*(K35*H35+J35*D35)*1000</f>
        <v>#VALUE!</v>
      </c>
      <c r="N35" s="739"/>
      <c r="O35" s="739"/>
      <c r="P35" s="738"/>
      <c r="Q35" s="1297"/>
      <c r="R35" s="930"/>
      <c r="S35" s="739"/>
      <c r="T35" s="739"/>
      <c r="U35" s="40" t="str">
        <f t="shared" si="2"/>
        <v xml:space="preserve"> </v>
      </c>
    </row>
    <row r="36" spans="1:21">
      <c r="D36" s="1321"/>
    </row>
    <row r="37" spans="1:21">
      <c r="A37" s="171" t="s">
        <v>1149</v>
      </c>
      <c r="C37" s="1321"/>
      <c r="D37" s="1321"/>
    </row>
    <row r="38" spans="1:21">
      <c r="A38" s="171" t="s">
        <v>1130</v>
      </c>
      <c r="C38" s="1321"/>
    </row>
    <row r="39" spans="1:21">
      <c r="A39" s="171" t="s">
        <v>1131</v>
      </c>
      <c r="C39" s="1321"/>
    </row>
    <row r="40" spans="1:21">
      <c r="C40" s="1321"/>
    </row>
    <row r="41" spans="1:21">
      <c r="C41" s="1321"/>
    </row>
    <row r="42" spans="1:21">
      <c r="C42" s="1321"/>
    </row>
    <row r="45" spans="1:21">
      <c r="A45" s="367" t="s">
        <v>475</v>
      </c>
    </row>
    <row r="46" spans="1:21">
      <c r="A46" s="367" t="s">
        <v>651</v>
      </c>
    </row>
    <row r="47" spans="1:21">
      <c r="A47" s="166" t="s">
        <v>719</v>
      </c>
    </row>
  </sheetData>
  <sheetProtection selectLockedCells="1"/>
  <autoFilter ref="A2:Q35">
    <filterColumn colId="0">
      <filters>
        <filter val="Guatemala"/>
        <filter val="Maize"/>
        <filter val="N/A"/>
        <filter val="Napier"/>
        <filter val="Natural pasture"/>
        <filter val="Purchased"/>
        <filter val="Rhodes"/>
      </filters>
    </filterColumn>
  </autoFilter>
  <sortState ref="A2:Q71">
    <sortCondition ref="A2:A71"/>
  </sortState>
  <mergeCells count="1">
    <mergeCell ref="B1:D1"/>
  </mergeCells>
  <pageMargins left="0.7" right="0.7" top="0.75" bottom="0.75" header="0.3" footer="0.3"/>
  <pageSetup paperSize="9" orientation="portrait" r:id="rId1"/>
  <ignoredErrors>
    <ignoredError sqref="D7 D25" formula="1"/>
    <ignoredError sqref="U18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A45:A47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 tint="-0.499984740745262"/>
    <pageSetUpPr fitToPage="1"/>
  </sheetPr>
  <dimension ref="A1:R152"/>
  <sheetViews>
    <sheetView workbookViewId="0">
      <selection activeCell="D131" sqref="D131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21.625" style="72" customWidth="1"/>
    <col min="10" max="20" width="11" style="72" customWidth="1"/>
    <col min="21" max="16384" width="11" style="72"/>
  </cols>
  <sheetData>
    <row r="1" spans="1:18">
      <c r="A1" s="789" t="s">
        <v>1289</v>
      </c>
      <c r="B1" s="499" t="s">
        <v>937</v>
      </c>
      <c r="C1" s="499"/>
      <c r="D1" s="499"/>
      <c r="E1" s="499" t="s">
        <v>1399</v>
      </c>
      <c r="F1" s="499"/>
      <c r="G1" s="499"/>
      <c r="H1" s="499"/>
      <c r="I1" s="499"/>
    </row>
    <row r="2" spans="1:18" ht="94.5">
      <c r="A2" s="619" t="s">
        <v>829</v>
      </c>
      <c r="B2" s="740" t="s">
        <v>643</v>
      </c>
      <c r="C2" s="740" t="s">
        <v>936</v>
      </c>
      <c r="D2" s="740" t="s">
        <v>924</v>
      </c>
      <c r="E2" s="740" t="s">
        <v>1203</v>
      </c>
      <c r="F2" s="740" t="s">
        <v>1202</v>
      </c>
      <c r="G2" s="740" t="s">
        <v>834</v>
      </c>
      <c r="H2" s="477" t="s">
        <v>1140</v>
      </c>
      <c r="I2" s="740" t="s">
        <v>1141</v>
      </c>
      <c r="J2" s="790" t="s">
        <v>1372</v>
      </c>
      <c r="K2" s="790" t="s">
        <v>82</v>
      </c>
      <c r="L2" s="790"/>
    </row>
    <row r="3" spans="1:18" ht="16.5">
      <c r="A3" s="1328" t="s">
        <v>1755</v>
      </c>
      <c r="B3" s="922">
        <v>22</v>
      </c>
      <c r="C3" s="922">
        <v>8.1999999999999993</v>
      </c>
      <c r="D3" s="923">
        <v>8.4</v>
      </c>
      <c r="E3" s="922">
        <v>5.5</v>
      </c>
      <c r="F3" s="923">
        <v>8.8000000000000007</v>
      </c>
      <c r="G3" s="922">
        <v>0.56999999999999995</v>
      </c>
      <c r="H3" s="921">
        <v>0</v>
      </c>
      <c r="I3" s="1329" t="s">
        <v>1752</v>
      </c>
      <c r="J3" s="72">
        <v>150</v>
      </c>
    </row>
    <row r="4" spans="1:18" ht="16.5" hidden="1">
      <c r="A4" s="1319" t="s">
        <v>1699</v>
      </c>
      <c r="B4" s="919">
        <v>30.3</v>
      </c>
      <c r="C4" s="919">
        <v>9.6715079999999993</v>
      </c>
      <c r="D4" s="497">
        <v>2.9304669239999996</v>
      </c>
      <c r="E4" s="919">
        <v>12.6</v>
      </c>
      <c r="F4" s="923">
        <f t="shared" ref="F4:F67" si="0">E4*B4/100</f>
        <v>3.8177999999999996</v>
      </c>
      <c r="G4" s="922">
        <f t="shared" ref="G4:G67" si="1">C4*6.6/100</f>
        <v>0.63831952799999991</v>
      </c>
      <c r="H4" s="177">
        <v>0</v>
      </c>
      <c r="I4" s="1230" t="s">
        <v>1700</v>
      </c>
      <c r="J4" s="72">
        <v>180</v>
      </c>
      <c r="M4" s="426" t="s">
        <v>1364</v>
      </c>
      <c r="N4" s="426" t="s">
        <v>1365</v>
      </c>
      <c r="O4" s="426" t="s">
        <v>1363</v>
      </c>
      <c r="P4" s="426" t="s">
        <v>1366</v>
      </c>
    </row>
    <row r="5" spans="1:18" ht="16.5" hidden="1">
      <c r="A5" s="177" t="s">
        <v>1701</v>
      </c>
      <c r="B5" s="919">
        <v>93</v>
      </c>
      <c r="C5" s="919">
        <v>7.4106360000000002</v>
      </c>
      <c r="D5" s="497">
        <v>6.8918914800000008</v>
      </c>
      <c r="E5" s="919">
        <v>7.6</v>
      </c>
      <c r="F5" s="923">
        <f t="shared" si="0"/>
        <v>7.0679999999999996</v>
      </c>
      <c r="G5" s="922">
        <f t="shared" si="1"/>
        <v>0.48910197599999994</v>
      </c>
      <c r="H5" s="177"/>
      <c r="I5" s="1230" t="s">
        <v>1700</v>
      </c>
      <c r="J5" s="72">
        <v>100</v>
      </c>
      <c r="M5" s="72">
        <v>1.5</v>
      </c>
      <c r="N5" s="791">
        <f>M5*4.2</f>
        <v>6.3000000000000007</v>
      </c>
      <c r="O5" s="72">
        <v>41.6</v>
      </c>
      <c r="P5" s="791">
        <f>(N5*100)/O5</f>
        <v>15.144230769230772</v>
      </c>
      <c r="Q5" s="791">
        <f>P5/N5</f>
        <v>2.4038461538461542</v>
      </c>
      <c r="R5" s="72">
        <f>O5/N5</f>
        <v>6.6031746031746028</v>
      </c>
    </row>
    <row r="6" spans="1:18" ht="16.5" hidden="1">
      <c r="A6" s="476" t="s">
        <v>1754</v>
      </c>
      <c r="B6" s="919">
        <v>30.1</v>
      </c>
      <c r="C6" s="919">
        <v>8.1</v>
      </c>
      <c r="D6" s="497">
        <v>8</v>
      </c>
      <c r="E6" s="919">
        <v>9</v>
      </c>
      <c r="F6" s="923">
        <v>7.1</v>
      </c>
      <c r="G6" s="922">
        <v>0.54</v>
      </c>
      <c r="H6" s="177">
        <v>0</v>
      </c>
      <c r="I6" s="1330" t="s">
        <v>1753</v>
      </c>
      <c r="J6" s="72">
        <v>180</v>
      </c>
      <c r="K6" s="72" t="s">
        <v>1371</v>
      </c>
      <c r="M6" s="72">
        <f>M5+0.1</f>
        <v>1.6</v>
      </c>
      <c r="N6" s="791">
        <f t="shared" ref="N6:N18" si="2">M6*4.2</f>
        <v>6.7200000000000006</v>
      </c>
      <c r="O6" s="72">
        <v>44.3</v>
      </c>
      <c r="P6" s="791">
        <f t="shared" ref="P6:P18" si="3">(N6*100)/O6</f>
        <v>15.169300225733638</v>
      </c>
      <c r="Q6" s="791">
        <f t="shared" ref="Q6:Q18" si="4">P6/N6</f>
        <v>2.2573363431151243</v>
      </c>
    </row>
    <row r="7" spans="1:18" hidden="1">
      <c r="A7" s="177" t="s">
        <v>1275</v>
      </c>
      <c r="B7" s="919">
        <v>26</v>
      </c>
      <c r="C7" s="919">
        <v>7.2547945205479447</v>
      </c>
      <c r="D7" s="497">
        <v>1.886246575342466</v>
      </c>
      <c r="E7" s="919">
        <v>8.2547945205479447</v>
      </c>
      <c r="F7" s="923">
        <f t="shared" si="0"/>
        <v>2.1462465753424653</v>
      </c>
      <c r="G7" s="922">
        <f t="shared" si="1"/>
        <v>0.47881643835616428</v>
      </c>
      <c r="H7" s="177"/>
      <c r="I7" s="1235" t="s">
        <v>1185</v>
      </c>
      <c r="J7" s="72">
        <v>180</v>
      </c>
      <c r="K7" s="72" t="s">
        <v>1371</v>
      </c>
      <c r="M7" s="72">
        <f t="shared" ref="M7:M18" si="5">M6+0.1</f>
        <v>1.7000000000000002</v>
      </c>
      <c r="N7" s="791">
        <f t="shared" si="2"/>
        <v>7.1400000000000015</v>
      </c>
      <c r="O7" s="72">
        <v>47.1</v>
      </c>
      <c r="P7" s="791">
        <f t="shared" si="3"/>
        <v>15.15923566878981</v>
      </c>
      <c r="Q7" s="791">
        <f t="shared" si="4"/>
        <v>2.1231422505307851</v>
      </c>
    </row>
    <row r="8" spans="1:18" ht="16.5" hidden="1">
      <c r="A8" s="177" t="s">
        <v>1702</v>
      </c>
      <c r="B8" s="919">
        <v>30</v>
      </c>
      <c r="C8" s="919">
        <v>12.1</v>
      </c>
      <c r="D8" s="497">
        <v>3.63</v>
      </c>
      <c r="E8" s="919">
        <v>22</v>
      </c>
      <c r="F8" s="923">
        <f t="shared" si="0"/>
        <v>6.6</v>
      </c>
      <c r="G8" s="922">
        <f t="shared" si="1"/>
        <v>0.79859999999999998</v>
      </c>
      <c r="H8" s="177"/>
      <c r="I8" s="1230" t="s">
        <v>1690</v>
      </c>
      <c r="J8" s="72">
        <v>140</v>
      </c>
      <c r="M8" s="72">
        <f t="shared" si="5"/>
        <v>1.8000000000000003</v>
      </c>
      <c r="N8" s="791">
        <f t="shared" si="2"/>
        <v>7.5600000000000014</v>
      </c>
      <c r="O8" s="72">
        <v>49.9</v>
      </c>
      <c r="P8" s="791">
        <f t="shared" si="3"/>
        <v>15.150300601202408</v>
      </c>
      <c r="Q8" s="791">
        <f t="shared" si="4"/>
        <v>2.0040080160320644</v>
      </c>
    </row>
    <row r="9" spans="1:18" ht="16.5" hidden="1">
      <c r="A9" s="177" t="s">
        <v>1703</v>
      </c>
      <c r="B9" s="919">
        <v>16.100000000000001</v>
      </c>
      <c r="C9" s="919">
        <v>10.006451999999999</v>
      </c>
      <c r="D9" s="497">
        <v>1.6110387719999997</v>
      </c>
      <c r="E9" s="919">
        <v>19.940000000000001</v>
      </c>
      <c r="F9" s="923">
        <f t="shared" si="0"/>
        <v>3.2103400000000004</v>
      </c>
      <c r="G9" s="922">
        <f t="shared" si="1"/>
        <v>0.66042583199999993</v>
      </c>
      <c r="H9" s="177"/>
      <c r="I9" s="1230" t="s">
        <v>1691</v>
      </c>
      <c r="M9" s="72">
        <f t="shared" si="5"/>
        <v>1.9000000000000004</v>
      </c>
      <c r="N9" s="791">
        <f t="shared" si="2"/>
        <v>7.9800000000000022</v>
      </c>
      <c r="O9" s="72">
        <v>52.7</v>
      </c>
      <c r="P9" s="791">
        <f t="shared" si="3"/>
        <v>15.142314990512338</v>
      </c>
      <c r="Q9" s="791">
        <f t="shared" si="4"/>
        <v>1.8975332068311195</v>
      </c>
    </row>
    <row r="10" spans="1:18" ht="16.5" hidden="1">
      <c r="A10" s="177" t="s">
        <v>1704</v>
      </c>
      <c r="B10" s="919">
        <v>27.9</v>
      </c>
      <c r="C10" s="919">
        <v>4.3124000000000002</v>
      </c>
      <c r="D10" s="497">
        <v>1.2031596</v>
      </c>
      <c r="E10" s="919">
        <v>5.45</v>
      </c>
      <c r="F10" s="923">
        <f t="shared" si="0"/>
        <v>1.5205500000000001</v>
      </c>
      <c r="G10" s="922">
        <f t="shared" si="1"/>
        <v>0.28461839999999999</v>
      </c>
      <c r="H10" s="177"/>
      <c r="I10" s="1230" t="s">
        <v>1691</v>
      </c>
      <c r="M10" s="72">
        <f t="shared" si="5"/>
        <v>2.0000000000000004</v>
      </c>
      <c r="N10" s="791">
        <f t="shared" si="2"/>
        <v>8.4000000000000021</v>
      </c>
      <c r="O10" s="72">
        <v>55.4</v>
      </c>
      <c r="P10" s="791">
        <f t="shared" si="3"/>
        <v>15.162454873646213</v>
      </c>
      <c r="Q10" s="791">
        <f t="shared" si="4"/>
        <v>1.8050541516245489</v>
      </c>
    </row>
    <row r="11" spans="1:18" ht="16.5" hidden="1">
      <c r="A11" s="177" t="s">
        <v>1705</v>
      </c>
      <c r="B11" s="919">
        <v>88.84</v>
      </c>
      <c r="C11" s="919">
        <v>10.76</v>
      </c>
      <c r="D11" s="497">
        <v>9.5591840000000001</v>
      </c>
      <c r="E11" s="919">
        <v>1.81</v>
      </c>
      <c r="F11" s="923">
        <f t="shared" si="0"/>
        <v>1.6080040000000002</v>
      </c>
      <c r="G11" s="922">
        <f t="shared" si="1"/>
        <v>0.7101599999999999</v>
      </c>
      <c r="H11" s="177"/>
      <c r="I11" s="1230" t="s">
        <v>1691</v>
      </c>
      <c r="M11" s="72">
        <f t="shared" si="5"/>
        <v>2.1000000000000005</v>
      </c>
      <c r="N11" s="791">
        <f t="shared" si="2"/>
        <v>8.8200000000000021</v>
      </c>
      <c r="O11" s="72">
        <v>58.2</v>
      </c>
      <c r="P11" s="791">
        <f t="shared" si="3"/>
        <v>15.154639175257735</v>
      </c>
      <c r="Q11" s="791">
        <f t="shared" si="4"/>
        <v>1.7182130584192439</v>
      </c>
    </row>
    <row r="12" spans="1:18" ht="16.5">
      <c r="A12" s="177" t="s">
        <v>1706</v>
      </c>
      <c r="B12" s="919">
        <v>90</v>
      </c>
      <c r="C12" s="919">
        <v>12.1</v>
      </c>
      <c r="D12" s="497">
        <v>10.89</v>
      </c>
      <c r="E12" s="919">
        <v>16</v>
      </c>
      <c r="F12" s="923">
        <f t="shared" si="0"/>
        <v>14.4</v>
      </c>
      <c r="G12" s="922">
        <f t="shared" si="1"/>
        <v>0.79859999999999998</v>
      </c>
      <c r="H12" s="177"/>
      <c r="I12" s="1230" t="s">
        <v>1149</v>
      </c>
      <c r="J12" s="72">
        <v>0.5</v>
      </c>
      <c r="M12" s="72">
        <f t="shared" si="5"/>
        <v>2.2000000000000006</v>
      </c>
      <c r="N12" s="791">
        <f t="shared" si="2"/>
        <v>9.2400000000000038</v>
      </c>
      <c r="O12" s="72">
        <v>60.9</v>
      </c>
      <c r="P12" s="791">
        <f t="shared" si="3"/>
        <v>15.172413793103454</v>
      </c>
      <c r="Q12" s="791">
        <f t="shared" si="4"/>
        <v>1.6420361247947455</v>
      </c>
    </row>
    <row r="13" spans="1:18" ht="16.5" hidden="1">
      <c r="A13" s="177" t="s">
        <v>820</v>
      </c>
      <c r="B13" s="919">
        <v>90</v>
      </c>
      <c r="C13" s="919">
        <v>9.8808480000000003</v>
      </c>
      <c r="D13" s="497">
        <v>8.892763200000001</v>
      </c>
      <c r="E13" s="919">
        <v>18.399999999999999</v>
      </c>
      <c r="F13" s="923">
        <f t="shared" si="0"/>
        <v>16.559999999999999</v>
      </c>
      <c r="G13" s="922">
        <f t="shared" si="1"/>
        <v>0.65213596800000007</v>
      </c>
      <c r="H13" s="177"/>
      <c r="I13" s="1230" t="s">
        <v>1009</v>
      </c>
      <c r="J13" s="72">
        <v>0</v>
      </c>
      <c r="M13" s="72">
        <f t="shared" si="5"/>
        <v>2.3000000000000007</v>
      </c>
      <c r="N13" s="791">
        <f t="shared" si="2"/>
        <v>9.6600000000000037</v>
      </c>
      <c r="O13" s="72">
        <v>63.8</v>
      </c>
      <c r="P13" s="791">
        <f t="shared" si="3"/>
        <v>15.14106583072101</v>
      </c>
      <c r="Q13" s="791">
        <f t="shared" si="4"/>
        <v>1.567398119122257</v>
      </c>
    </row>
    <row r="14" spans="1:18" ht="16.5" hidden="1">
      <c r="A14" s="177" t="s">
        <v>1707</v>
      </c>
      <c r="B14" s="919">
        <v>12.28</v>
      </c>
      <c r="C14" s="919">
        <v>10.45</v>
      </c>
      <c r="D14" s="497">
        <v>1.2832599999999998</v>
      </c>
      <c r="E14" s="919">
        <v>20.56</v>
      </c>
      <c r="F14" s="923">
        <f t="shared" si="0"/>
        <v>2.5247679999999999</v>
      </c>
      <c r="G14" s="922">
        <f t="shared" si="1"/>
        <v>0.68969999999999987</v>
      </c>
      <c r="H14" s="177"/>
      <c r="I14" s="1230" t="s">
        <v>1009</v>
      </c>
      <c r="J14" s="72">
        <v>130</v>
      </c>
      <c r="M14" s="72">
        <f t="shared" si="5"/>
        <v>2.4000000000000008</v>
      </c>
      <c r="N14" s="791">
        <f t="shared" si="2"/>
        <v>10.080000000000004</v>
      </c>
      <c r="O14" s="72">
        <v>66.5</v>
      </c>
      <c r="P14" s="791">
        <f t="shared" si="3"/>
        <v>15.15789473684211</v>
      </c>
      <c r="Q14" s="791">
        <f t="shared" si="4"/>
        <v>1.5037593984962405</v>
      </c>
    </row>
    <row r="15" spans="1:18" ht="16.5" hidden="1">
      <c r="A15" s="177" t="s">
        <v>821</v>
      </c>
      <c r="B15" s="919">
        <v>89.83</v>
      </c>
      <c r="C15" s="919">
        <v>13.21</v>
      </c>
      <c r="D15" s="497">
        <v>11.866543000000002</v>
      </c>
      <c r="E15" s="919">
        <v>23.88</v>
      </c>
      <c r="F15" s="923">
        <f t="shared" si="0"/>
        <v>21.451403999999997</v>
      </c>
      <c r="G15" s="922">
        <f t="shared" si="1"/>
        <v>0.87186000000000008</v>
      </c>
      <c r="H15" s="177"/>
      <c r="I15" s="1230" t="s">
        <v>1009</v>
      </c>
      <c r="J15" s="72">
        <v>180</v>
      </c>
      <c r="M15" s="72">
        <f t="shared" si="5"/>
        <v>2.5000000000000009</v>
      </c>
      <c r="N15" s="791">
        <f t="shared" si="2"/>
        <v>10.500000000000004</v>
      </c>
      <c r="O15" s="72">
        <v>69.3</v>
      </c>
      <c r="P15" s="791">
        <f t="shared" si="3"/>
        <v>15.151515151515159</v>
      </c>
      <c r="Q15" s="791">
        <f t="shared" si="4"/>
        <v>1.4430014430014433</v>
      </c>
    </row>
    <row r="16" spans="1:18" ht="16.5" hidden="1">
      <c r="A16" s="177" t="s">
        <v>822</v>
      </c>
      <c r="B16" s="919">
        <v>90.17</v>
      </c>
      <c r="C16" s="919">
        <v>14</v>
      </c>
      <c r="D16" s="497">
        <v>12.623800000000001</v>
      </c>
      <c r="E16" s="919">
        <v>22.53</v>
      </c>
      <c r="F16" s="923">
        <f t="shared" si="0"/>
        <v>20.315301000000002</v>
      </c>
      <c r="G16" s="922">
        <f t="shared" si="1"/>
        <v>0.92399999999999993</v>
      </c>
      <c r="H16" s="177"/>
      <c r="I16" s="1230" t="s">
        <v>1009</v>
      </c>
      <c r="M16" s="72">
        <f t="shared" si="5"/>
        <v>2.600000000000001</v>
      </c>
      <c r="N16" s="791">
        <f t="shared" si="2"/>
        <v>10.920000000000005</v>
      </c>
      <c r="O16" s="72">
        <v>72.099999999999994</v>
      </c>
      <c r="P16" s="791">
        <f t="shared" si="3"/>
        <v>15.145631067961173</v>
      </c>
      <c r="Q16" s="791">
        <f t="shared" si="4"/>
        <v>1.3869625520110958</v>
      </c>
    </row>
    <row r="17" spans="1:17" ht="16.5" hidden="1">
      <c r="A17" s="13" t="s">
        <v>1708</v>
      </c>
      <c r="B17" s="920">
        <v>30</v>
      </c>
      <c r="C17" s="920">
        <v>9.4</v>
      </c>
      <c r="D17" s="40">
        <v>2.82</v>
      </c>
      <c r="E17" s="920">
        <v>24</v>
      </c>
      <c r="F17" s="923">
        <f t="shared" si="0"/>
        <v>7.2</v>
      </c>
      <c r="G17" s="922">
        <f t="shared" si="1"/>
        <v>0.62039999999999995</v>
      </c>
      <c r="H17" s="177"/>
      <c r="I17" s="1230" t="s">
        <v>1692</v>
      </c>
      <c r="J17" s="72">
        <v>150</v>
      </c>
      <c r="M17" s="72">
        <f t="shared" si="5"/>
        <v>2.7000000000000011</v>
      </c>
      <c r="N17" s="791">
        <f t="shared" si="2"/>
        <v>11.340000000000005</v>
      </c>
      <c r="O17" s="72">
        <v>74.8</v>
      </c>
      <c r="P17" s="791">
        <f t="shared" si="3"/>
        <v>15.160427807486638</v>
      </c>
      <c r="Q17" s="791">
        <f t="shared" si="4"/>
        <v>1.3368983957219251</v>
      </c>
    </row>
    <row r="18" spans="1:17" ht="16.5" hidden="1">
      <c r="A18" s="177" t="s">
        <v>1709</v>
      </c>
      <c r="B18" s="919">
        <v>30</v>
      </c>
      <c r="C18" s="919">
        <v>11.5</v>
      </c>
      <c r="D18" s="497">
        <v>3.45</v>
      </c>
      <c r="E18" s="919">
        <v>22.3</v>
      </c>
      <c r="F18" s="923">
        <f t="shared" si="0"/>
        <v>6.69</v>
      </c>
      <c r="G18" s="922">
        <f t="shared" si="1"/>
        <v>0.7589999999999999</v>
      </c>
      <c r="H18" s="177"/>
      <c r="I18" s="1230" t="s">
        <v>1693</v>
      </c>
      <c r="J18" s="72">
        <v>150</v>
      </c>
      <c r="M18" s="72">
        <f t="shared" si="5"/>
        <v>2.8000000000000012</v>
      </c>
      <c r="N18" s="791">
        <f t="shared" si="2"/>
        <v>11.760000000000005</v>
      </c>
      <c r="O18" s="72">
        <v>77.599999999999994</v>
      </c>
      <c r="P18" s="791">
        <f t="shared" si="3"/>
        <v>15.154639175257739</v>
      </c>
      <c r="Q18" s="791">
        <f t="shared" si="4"/>
        <v>1.2886597938144331</v>
      </c>
    </row>
    <row r="19" spans="1:17" ht="16.5" hidden="1">
      <c r="A19" s="177" t="s">
        <v>823</v>
      </c>
      <c r="B19" s="919">
        <v>89.53</v>
      </c>
      <c r="C19" s="919">
        <v>7.99</v>
      </c>
      <c r="D19" s="497">
        <v>7.1534469999999999</v>
      </c>
      <c r="E19" s="919">
        <v>6.52</v>
      </c>
      <c r="F19" s="923">
        <f t="shared" si="0"/>
        <v>5.8373559999999998</v>
      </c>
      <c r="G19" s="922">
        <f t="shared" si="1"/>
        <v>0.52734000000000003</v>
      </c>
      <c r="H19" s="177"/>
      <c r="I19" s="1230" t="s">
        <v>661</v>
      </c>
    </row>
    <row r="20" spans="1:17" ht="16.5" hidden="1">
      <c r="A20" s="177" t="s">
        <v>824</v>
      </c>
      <c r="B20" s="919">
        <v>92.7</v>
      </c>
      <c r="C20" s="919">
        <v>21.185199999999998</v>
      </c>
      <c r="D20" s="497">
        <v>19.638680399999998</v>
      </c>
      <c r="E20" s="919">
        <v>33.200000000000003</v>
      </c>
      <c r="F20" s="923">
        <f t="shared" si="0"/>
        <v>30.776400000000002</v>
      </c>
      <c r="G20" s="922">
        <f t="shared" si="1"/>
        <v>1.3982231999999999</v>
      </c>
      <c r="H20" s="177"/>
      <c r="I20" s="1230" t="s">
        <v>661</v>
      </c>
    </row>
    <row r="21" spans="1:17" ht="16.5" hidden="1">
      <c r="A21" s="177" t="s">
        <v>825</v>
      </c>
      <c r="B21" s="919">
        <v>93.12</v>
      </c>
      <c r="C21" s="919">
        <v>6.56</v>
      </c>
      <c r="D21" s="497">
        <v>6.1086720000000003</v>
      </c>
      <c r="E21" s="919">
        <v>16.29</v>
      </c>
      <c r="F21" s="923">
        <f t="shared" si="0"/>
        <v>15.169248</v>
      </c>
      <c r="G21" s="922">
        <f t="shared" si="1"/>
        <v>0.4329599999999999</v>
      </c>
      <c r="H21" s="177"/>
      <c r="I21" s="1230" t="s">
        <v>661</v>
      </c>
    </row>
    <row r="22" spans="1:17" ht="16.5" hidden="1">
      <c r="A22" s="177" t="s">
        <v>1710</v>
      </c>
      <c r="B22" s="919">
        <v>26</v>
      </c>
      <c r="C22" s="919">
        <v>6.1293150684931508</v>
      </c>
      <c r="D22" s="497">
        <v>1.5936219178082192</v>
      </c>
      <c r="E22" s="919">
        <v>5.2547945205479447</v>
      </c>
      <c r="F22" s="923">
        <f t="shared" si="0"/>
        <v>1.3662465753424655</v>
      </c>
      <c r="G22" s="922">
        <f t="shared" si="1"/>
        <v>0.40453479452054791</v>
      </c>
      <c r="H22" s="177"/>
      <c r="I22" s="1230" t="s">
        <v>1695</v>
      </c>
      <c r="J22" s="72">
        <v>150</v>
      </c>
    </row>
    <row r="23" spans="1:17" ht="16.5" hidden="1">
      <c r="A23" s="177" t="s">
        <v>1711</v>
      </c>
      <c r="B23" s="919">
        <v>24</v>
      </c>
      <c r="C23" s="919">
        <v>6.0038356164383559</v>
      </c>
      <c r="D23" s="497">
        <v>1.4409205479452054</v>
      </c>
      <c r="E23" s="919">
        <v>5.2547945205479447</v>
      </c>
      <c r="F23" s="923">
        <f t="shared" si="0"/>
        <v>1.2611506849315068</v>
      </c>
      <c r="G23" s="922">
        <f t="shared" si="1"/>
        <v>0.39625315068493144</v>
      </c>
      <c r="H23" s="177"/>
      <c r="I23" s="1230" t="s">
        <v>1696</v>
      </c>
      <c r="J23" s="72">
        <v>100</v>
      </c>
    </row>
    <row r="24" spans="1:17" ht="16.5" hidden="1">
      <c r="A24" s="177" t="s">
        <v>1712</v>
      </c>
      <c r="B24" s="919">
        <v>18.3</v>
      </c>
      <c r="C24" s="919">
        <v>11.43</v>
      </c>
      <c r="D24" s="497">
        <v>2.0916900000000003</v>
      </c>
      <c r="E24" s="919">
        <v>22.94</v>
      </c>
      <c r="F24" s="923">
        <f t="shared" si="0"/>
        <v>4.1980200000000005</v>
      </c>
      <c r="G24" s="922">
        <f t="shared" si="1"/>
        <v>0.75437999999999983</v>
      </c>
      <c r="H24" s="177"/>
      <c r="I24" s="1230" t="s">
        <v>1713</v>
      </c>
      <c r="J24" s="72">
        <v>130</v>
      </c>
    </row>
    <row r="25" spans="1:17" ht="16.5" hidden="1">
      <c r="A25" s="177" t="s">
        <v>1290</v>
      </c>
      <c r="B25" s="919">
        <v>90</v>
      </c>
      <c r="C25" s="919">
        <v>9.2899999999999991</v>
      </c>
      <c r="D25" s="497">
        <v>8.3609999999999989</v>
      </c>
      <c r="E25" s="919">
        <v>16.600000000000001</v>
      </c>
      <c r="F25" s="923">
        <f t="shared" si="0"/>
        <v>14.940000000000003</v>
      </c>
      <c r="G25" s="922">
        <f t="shared" si="1"/>
        <v>0.61313999999999991</v>
      </c>
      <c r="H25" s="177"/>
      <c r="I25" s="1230" t="s">
        <v>1713</v>
      </c>
      <c r="J25" s="72">
        <v>200</v>
      </c>
    </row>
    <row r="26" spans="1:17" ht="16.5" hidden="1">
      <c r="A26" s="177" t="s">
        <v>1291</v>
      </c>
      <c r="B26" s="919">
        <v>27.83</v>
      </c>
      <c r="C26" s="919">
        <v>7.4400000000000013</v>
      </c>
      <c r="D26" s="497">
        <v>2.0705519999999997</v>
      </c>
      <c r="E26" s="919">
        <v>17.510000000000002</v>
      </c>
      <c r="F26" s="923">
        <f t="shared" si="0"/>
        <v>4.8730330000000004</v>
      </c>
      <c r="G26" s="922">
        <f t="shared" si="1"/>
        <v>0.49104000000000009</v>
      </c>
      <c r="H26" s="177"/>
      <c r="I26" s="1230" t="s">
        <v>1713</v>
      </c>
      <c r="J26" s="72">
        <v>200</v>
      </c>
    </row>
    <row r="27" spans="1:17" ht="16.5" hidden="1">
      <c r="A27" s="177" t="s">
        <v>1714</v>
      </c>
      <c r="B27" s="919">
        <v>26.2</v>
      </c>
      <c r="C27" s="919">
        <v>9.5</v>
      </c>
      <c r="D27" s="497">
        <v>2.4889999999999999</v>
      </c>
      <c r="E27" s="919">
        <v>19.93</v>
      </c>
      <c r="F27" s="923">
        <f t="shared" si="0"/>
        <v>5.2216599999999991</v>
      </c>
      <c r="G27" s="922">
        <f t="shared" si="1"/>
        <v>0.627</v>
      </c>
      <c r="H27" s="177"/>
      <c r="I27" s="1230" t="s">
        <v>935</v>
      </c>
    </row>
    <row r="28" spans="1:17" ht="16.5" hidden="1">
      <c r="A28" s="177" t="s">
        <v>1715</v>
      </c>
      <c r="B28" s="919">
        <v>82</v>
      </c>
      <c r="C28" s="919">
        <v>10.215792</v>
      </c>
      <c r="D28" s="497">
        <v>8.3769494400000006</v>
      </c>
      <c r="E28" s="919">
        <v>8.9</v>
      </c>
      <c r="F28" s="923">
        <f t="shared" si="0"/>
        <v>7.2980000000000009</v>
      </c>
      <c r="G28" s="922">
        <f t="shared" si="1"/>
        <v>0.67424227200000009</v>
      </c>
      <c r="H28" s="177"/>
      <c r="I28" s="1230" t="s">
        <v>388</v>
      </c>
    </row>
    <row r="29" spans="1:17" ht="16.5" hidden="1">
      <c r="A29" s="177" t="s">
        <v>1716</v>
      </c>
      <c r="B29" s="919">
        <v>34.6</v>
      </c>
      <c r="C29" s="919">
        <v>10.885680000000001</v>
      </c>
      <c r="D29" s="497">
        <v>3.7664452800000006</v>
      </c>
      <c r="E29" s="919">
        <v>8.65</v>
      </c>
      <c r="F29" s="923">
        <f t="shared" si="0"/>
        <v>2.9929000000000001</v>
      </c>
      <c r="G29" s="922">
        <f t="shared" si="1"/>
        <v>0.71845488000000002</v>
      </c>
      <c r="H29" s="177"/>
      <c r="I29" s="1230" t="s">
        <v>388</v>
      </c>
    </row>
    <row r="30" spans="1:17" ht="16.5">
      <c r="A30" s="476" t="s">
        <v>1717</v>
      </c>
      <c r="B30" s="919">
        <v>87</v>
      </c>
      <c r="C30" s="919">
        <v>6.9</v>
      </c>
      <c r="D30" s="497">
        <v>8.4</v>
      </c>
      <c r="E30" s="919">
        <v>3.9</v>
      </c>
      <c r="F30" s="923">
        <v>6.8</v>
      </c>
      <c r="G30" s="922">
        <v>0.49</v>
      </c>
      <c r="H30" s="177">
        <v>0</v>
      </c>
      <c r="I30" s="1230" t="s">
        <v>388</v>
      </c>
      <c r="J30" s="72">
        <v>0</v>
      </c>
    </row>
    <row r="31" spans="1:17" ht="16.5" hidden="1">
      <c r="A31" s="177" t="s">
        <v>1718</v>
      </c>
      <c r="B31" s="919">
        <v>20.966999999999999</v>
      </c>
      <c r="C31" s="919">
        <v>10.8</v>
      </c>
      <c r="D31" s="497">
        <v>2.2644359999999999</v>
      </c>
      <c r="E31" s="919">
        <v>15.77</v>
      </c>
      <c r="F31" s="923">
        <f t="shared" si="0"/>
        <v>3.3064958999999998</v>
      </c>
      <c r="G31" s="922">
        <f t="shared" si="1"/>
        <v>0.71279999999999999</v>
      </c>
      <c r="H31" s="177"/>
      <c r="I31" s="1230" t="s">
        <v>1292</v>
      </c>
      <c r="J31" s="72">
        <v>140</v>
      </c>
    </row>
    <row r="32" spans="1:17" ht="16.5" hidden="1">
      <c r="A32" s="177" t="s">
        <v>1293</v>
      </c>
      <c r="B32" s="919">
        <v>90.6</v>
      </c>
      <c r="C32" s="919">
        <v>10.89</v>
      </c>
      <c r="D32" s="497">
        <v>9.866340000000001</v>
      </c>
      <c r="E32" s="919">
        <v>14.8</v>
      </c>
      <c r="F32" s="923">
        <f t="shared" si="0"/>
        <v>13.408799999999999</v>
      </c>
      <c r="G32" s="922">
        <f t="shared" si="1"/>
        <v>0.71873999999999993</v>
      </c>
      <c r="H32" s="177"/>
      <c r="I32" s="1230" t="s">
        <v>1292</v>
      </c>
      <c r="J32" s="72">
        <v>200</v>
      </c>
    </row>
    <row r="33" spans="1:10" ht="16.5" hidden="1">
      <c r="A33" s="177" t="s">
        <v>1187</v>
      </c>
      <c r="B33" s="919">
        <v>0</v>
      </c>
      <c r="C33" s="919">
        <v>0</v>
      </c>
      <c r="D33" s="497">
        <v>0</v>
      </c>
      <c r="E33" s="919">
        <v>0</v>
      </c>
      <c r="F33" s="923">
        <f t="shared" si="0"/>
        <v>0</v>
      </c>
      <c r="G33" s="922">
        <f t="shared" si="1"/>
        <v>0</v>
      </c>
      <c r="H33" s="177"/>
      <c r="I33" s="1230" t="s">
        <v>1187</v>
      </c>
    </row>
    <row r="34" spans="1:10" ht="16.5">
      <c r="A34" s="476" t="s">
        <v>1719</v>
      </c>
      <c r="B34" s="919">
        <v>15</v>
      </c>
      <c r="C34" s="919">
        <v>9.8808480000000003</v>
      </c>
      <c r="D34" s="497">
        <v>1.4821271999999999</v>
      </c>
      <c r="E34" s="919">
        <v>11</v>
      </c>
      <c r="F34" s="923">
        <v>9.5</v>
      </c>
      <c r="G34" s="922">
        <v>0.61</v>
      </c>
      <c r="H34" s="177">
        <v>0</v>
      </c>
      <c r="I34" s="1230" t="s">
        <v>780</v>
      </c>
      <c r="J34" s="72">
        <v>300</v>
      </c>
    </row>
    <row r="35" spans="1:10" ht="16.5" hidden="1">
      <c r="A35" s="1319" t="s">
        <v>1720</v>
      </c>
      <c r="B35" s="919">
        <v>26</v>
      </c>
      <c r="C35" s="919">
        <v>7.543013698630137</v>
      </c>
      <c r="D35" s="497">
        <v>1.9611835616438356</v>
      </c>
      <c r="E35" s="919">
        <v>9.882191780821918</v>
      </c>
      <c r="F35" s="923">
        <f t="shared" si="0"/>
        <v>2.5693698630136987</v>
      </c>
      <c r="G35" s="922">
        <f t="shared" si="1"/>
        <v>0.49783890410958903</v>
      </c>
      <c r="H35" s="177">
        <v>0</v>
      </c>
      <c r="I35" s="1230" t="s">
        <v>1294</v>
      </c>
      <c r="J35" s="72">
        <v>170</v>
      </c>
    </row>
    <row r="36" spans="1:10" ht="16.5" hidden="1">
      <c r="A36" s="177" t="s">
        <v>1721</v>
      </c>
      <c r="B36" s="919">
        <v>28</v>
      </c>
      <c r="C36" s="919">
        <v>7.543013698630137</v>
      </c>
      <c r="D36" s="497">
        <v>2.1120438356164386</v>
      </c>
      <c r="E36" s="919">
        <v>8.2547945205479447</v>
      </c>
      <c r="F36" s="923">
        <f t="shared" si="0"/>
        <v>2.3113424657534245</v>
      </c>
      <c r="G36" s="922">
        <f t="shared" si="1"/>
        <v>0.49783890410958903</v>
      </c>
      <c r="H36" s="177"/>
      <c r="I36" s="1230" t="s">
        <v>1295</v>
      </c>
      <c r="J36" s="72">
        <v>170</v>
      </c>
    </row>
    <row r="37" spans="1:10" ht="16.5" hidden="1">
      <c r="A37" s="177" t="s">
        <v>1296</v>
      </c>
      <c r="B37" s="919">
        <v>91.69</v>
      </c>
      <c r="C37" s="919">
        <v>7.9967879999999987</v>
      </c>
      <c r="D37" s="497">
        <v>7.3322549171999993</v>
      </c>
      <c r="E37" s="919">
        <v>16.3</v>
      </c>
      <c r="F37" s="923">
        <f t="shared" si="0"/>
        <v>14.94547</v>
      </c>
      <c r="G37" s="922">
        <f t="shared" si="1"/>
        <v>0.52778800799999981</v>
      </c>
      <c r="H37" s="177"/>
      <c r="I37" s="1230" t="s">
        <v>1297</v>
      </c>
    </row>
    <row r="38" spans="1:10" ht="16.5" hidden="1">
      <c r="A38" s="177" t="s">
        <v>1298</v>
      </c>
      <c r="B38" s="919">
        <v>20.6</v>
      </c>
      <c r="C38" s="919">
        <v>11.5137</v>
      </c>
      <c r="D38" s="497">
        <v>2.3718222000000004</v>
      </c>
      <c r="E38" s="919">
        <v>9.1</v>
      </c>
      <c r="F38" s="923">
        <f t="shared" si="0"/>
        <v>1.8746</v>
      </c>
      <c r="G38" s="922">
        <f t="shared" si="1"/>
        <v>0.75990420000000003</v>
      </c>
      <c r="H38" s="177"/>
      <c r="I38" s="1230" t="s">
        <v>1299</v>
      </c>
    </row>
    <row r="39" spans="1:10" ht="16.5" hidden="1">
      <c r="A39" s="177" t="s">
        <v>1722</v>
      </c>
      <c r="B39" s="919">
        <v>78.7</v>
      </c>
      <c r="C39" s="919">
        <v>8.1642600000000005</v>
      </c>
      <c r="D39" s="497">
        <v>6.4252726200000012</v>
      </c>
      <c r="E39" s="919">
        <v>17.78</v>
      </c>
      <c r="F39" s="923">
        <f t="shared" si="0"/>
        <v>13.99286</v>
      </c>
      <c r="G39" s="922">
        <f t="shared" si="1"/>
        <v>0.53884116000000004</v>
      </c>
      <c r="H39" s="177"/>
      <c r="I39" s="1230" t="s">
        <v>1149</v>
      </c>
    </row>
    <row r="40" spans="1:10" ht="16.5">
      <c r="A40" s="476" t="s">
        <v>1723</v>
      </c>
      <c r="B40" s="919">
        <v>24.9</v>
      </c>
      <c r="C40" s="919">
        <v>8.1</v>
      </c>
      <c r="D40" s="497">
        <v>8.5</v>
      </c>
      <c r="E40" s="919">
        <v>10.1</v>
      </c>
      <c r="F40" s="923">
        <v>9</v>
      </c>
      <c r="G40" s="922">
        <v>0.57999999999999996</v>
      </c>
      <c r="H40" s="177">
        <v>0</v>
      </c>
      <c r="I40" s="1230" t="s">
        <v>1143</v>
      </c>
    </row>
    <row r="41" spans="1:10" ht="16.5" hidden="1">
      <c r="A41" s="177" t="s">
        <v>826</v>
      </c>
      <c r="B41" s="919">
        <v>92.4</v>
      </c>
      <c r="C41" s="919">
        <v>9.1</v>
      </c>
      <c r="D41" s="497">
        <v>8.4084000000000003</v>
      </c>
      <c r="E41" s="919">
        <v>7.7</v>
      </c>
      <c r="F41" s="923">
        <f t="shared" si="0"/>
        <v>7.1147999999999998</v>
      </c>
      <c r="G41" s="922">
        <f t="shared" si="1"/>
        <v>0.60059999999999991</v>
      </c>
      <c r="H41" s="177"/>
      <c r="I41" s="1230" t="s">
        <v>1143</v>
      </c>
    </row>
    <row r="42" spans="1:10" ht="16.5" hidden="1">
      <c r="A42" s="177" t="s">
        <v>1724</v>
      </c>
      <c r="B42" s="919">
        <v>91</v>
      </c>
      <c r="C42" s="919">
        <v>10.425132</v>
      </c>
      <c r="D42" s="497">
        <v>9.486870119999999</v>
      </c>
      <c r="E42" s="919">
        <v>14</v>
      </c>
      <c r="F42" s="923">
        <f t="shared" si="0"/>
        <v>12.74</v>
      </c>
      <c r="G42" s="922">
        <f t="shared" si="1"/>
        <v>0.68805871200000002</v>
      </c>
      <c r="H42" s="177"/>
      <c r="I42" s="1230" t="s">
        <v>1149</v>
      </c>
    </row>
    <row r="43" spans="1:10" ht="16.5" hidden="1">
      <c r="A43" s="177" t="s">
        <v>1725</v>
      </c>
      <c r="B43" s="919">
        <v>92</v>
      </c>
      <c r="C43" s="919">
        <v>1.4235120000000001</v>
      </c>
      <c r="D43" s="497">
        <v>1.3096310400000002</v>
      </c>
      <c r="E43" s="919">
        <v>3.1</v>
      </c>
      <c r="F43" s="923">
        <f t="shared" si="0"/>
        <v>2.8519999999999999</v>
      </c>
      <c r="G43" s="922">
        <f t="shared" si="1"/>
        <v>9.3951791999999992E-2</v>
      </c>
      <c r="H43" s="177"/>
      <c r="I43" s="1230" t="s">
        <v>660</v>
      </c>
    </row>
    <row r="44" spans="1:10" ht="16.5" hidden="1">
      <c r="A44" s="177" t="s">
        <v>1726</v>
      </c>
      <c r="B44" s="919">
        <v>91.88</v>
      </c>
      <c r="C44" s="919">
        <v>5.64</v>
      </c>
      <c r="D44" s="497">
        <v>5.1820319999999995</v>
      </c>
      <c r="E44" s="919">
        <v>3.85</v>
      </c>
      <c r="F44" s="923">
        <f t="shared" si="0"/>
        <v>3.5373800000000002</v>
      </c>
      <c r="G44" s="922">
        <f t="shared" si="1"/>
        <v>0.37223999999999996</v>
      </c>
      <c r="H44" s="177"/>
      <c r="I44" s="1230" t="s">
        <v>660</v>
      </c>
    </row>
    <row r="45" spans="1:10" ht="16.5" hidden="1">
      <c r="A45" s="177" t="s">
        <v>1300</v>
      </c>
      <c r="B45" s="919">
        <v>85</v>
      </c>
      <c r="C45" s="919">
        <v>7.0338240000000001</v>
      </c>
      <c r="D45" s="497">
        <v>5.9787504</v>
      </c>
      <c r="E45" s="919">
        <v>4.9000000000000004</v>
      </c>
      <c r="F45" s="923">
        <f t="shared" si="0"/>
        <v>4.1650000000000009</v>
      </c>
      <c r="G45" s="922">
        <f t="shared" si="1"/>
        <v>0.46423238399999994</v>
      </c>
      <c r="H45" s="177"/>
      <c r="I45" s="1230" t="s">
        <v>659</v>
      </c>
    </row>
    <row r="46" spans="1:10" ht="16.5" hidden="1">
      <c r="A46" s="177" t="s">
        <v>1727</v>
      </c>
      <c r="B46" s="919">
        <v>29.46</v>
      </c>
      <c r="C46" s="919">
        <v>12.31</v>
      </c>
      <c r="D46" s="497">
        <v>3.6265260000000001</v>
      </c>
      <c r="E46" s="919">
        <v>9.24</v>
      </c>
      <c r="F46" s="923">
        <f t="shared" si="0"/>
        <v>2.7221039999999999</v>
      </c>
      <c r="G46" s="922">
        <f t="shared" si="1"/>
        <v>0.81245999999999996</v>
      </c>
      <c r="H46" s="177"/>
      <c r="I46" s="1230" t="s">
        <v>659</v>
      </c>
      <c r="J46" s="72">
        <v>200</v>
      </c>
    </row>
    <row r="47" spans="1:10" ht="16.5" hidden="1">
      <c r="A47" s="177" t="s">
        <v>1301</v>
      </c>
      <c r="B47" s="919">
        <v>30</v>
      </c>
      <c r="C47" s="919">
        <v>9.043488</v>
      </c>
      <c r="D47" s="497">
        <v>2.7130464000000001</v>
      </c>
      <c r="E47" s="919">
        <v>9.39</v>
      </c>
      <c r="F47" s="923">
        <f t="shared" si="0"/>
        <v>2.8170000000000006</v>
      </c>
      <c r="G47" s="922">
        <f t="shared" si="1"/>
        <v>0.59687020800000001</v>
      </c>
      <c r="H47" s="177"/>
      <c r="I47" s="1230" t="s">
        <v>659</v>
      </c>
    </row>
    <row r="48" spans="1:10" ht="16.5" hidden="1">
      <c r="A48" s="177" t="s">
        <v>1728</v>
      </c>
      <c r="B48" s="919">
        <v>19.420000000000002</v>
      </c>
      <c r="C48" s="919">
        <v>9.5459040000000002</v>
      </c>
      <c r="D48" s="497">
        <v>1.8538145568000002</v>
      </c>
      <c r="E48" s="919">
        <v>18.690000000000001</v>
      </c>
      <c r="F48" s="923">
        <f t="shared" si="0"/>
        <v>3.6295980000000001</v>
      </c>
      <c r="G48" s="922">
        <f t="shared" si="1"/>
        <v>0.63002966399999993</v>
      </c>
      <c r="H48" s="177"/>
      <c r="I48" s="1230" t="s">
        <v>1302</v>
      </c>
      <c r="J48" s="72">
        <v>140</v>
      </c>
    </row>
    <row r="49" spans="1:11" ht="16.5" hidden="1">
      <c r="A49" s="177" t="s">
        <v>827</v>
      </c>
      <c r="B49" s="919">
        <v>96.27</v>
      </c>
      <c r="C49" s="919">
        <v>7.4400000000000013</v>
      </c>
      <c r="D49" s="497">
        <v>7.1624879999999997</v>
      </c>
      <c r="E49" s="919">
        <v>3.6899999999999995</v>
      </c>
      <c r="F49" s="923">
        <f t="shared" si="0"/>
        <v>3.5523629999999993</v>
      </c>
      <c r="G49" s="922">
        <f t="shared" si="1"/>
        <v>0.49104000000000009</v>
      </c>
      <c r="H49" s="177"/>
      <c r="I49" s="1230" t="s">
        <v>1144</v>
      </c>
    </row>
    <row r="50" spans="1:11" ht="16.5" hidden="1">
      <c r="A50" s="177" t="s">
        <v>828</v>
      </c>
      <c r="B50" s="919">
        <v>74.3</v>
      </c>
      <c r="C50" s="919">
        <v>10.885680000000001</v>
      </c>
      <c r="D50" s="497">
        <v>8.088060239999999</v>
      </c>
      <c r="E50" s="919">
        <v>5.8</v>
      </c>
      <c r="F50" s="923">
        <f t="shared" si="0"/>
        <v>4.3094000000000001</v>
      </c>
      <c r="G50" s="922">
        <f t="shared" si="1"/>
        <v>0.71845488000000002</v>
      </c>
      <c r="H50" s="177"/>
      <c r="I50" s="1230" t="s">
        <v>1149</v>
      </c>
      <c r="J50" s="72">
        <v>0.3</v>
      </c>
      <c r="K50" s="72" t="s">
        <v>1375</v>
      </c>
    </row>
    <row r="51" spans="1:11" ht="16.5" hidden="1">
      <c r="A51" s="177" t="s">
        <v>1729</v>
      </c>
      <c r="B51" s="919">
        <v>29</v>
      </c>
      <c r="C51" s="919">
        <v>6.9</v>
      </c>
      <c r="D51" s="497">
        <v>2.0010000000000003</v>
      </c>
      <c r="E51" s="919">
        <v>5.9</v>
      </c>
      <c r="F51" s="923">
        <f t="shared" si="0"/>
        <v>1.7110000000000003</v>
      </c>
      <c r="G51" s="922">
        <f t="shared" si="1"/>
        <v>0.45539999999999997</v>
      </c>
      <c r="H51" s="177"/>
      <c r="I51" s="1230" t="s">
        <v>1144</v>
      </c>
    </row>
    <row r="52" spans="1:11" ht="16.5" hidden="1">
      <c r="A52" s="177" t="s">
        <v>1303</v>
      </c>
      <c r="B52" s="919">
        <v>85</v>
      </c>
      <c r="C52" s="919">
        <v>7</v>
      </c>
      <c r="D52" s="497">
        <v>5.95</v>
      </c>
      <c r="E52" s="919">
        <v>5.5</v>
      </c>
      <c r="F52" s="923">
        <f t="shared" si="0"/>
        <v>4.6749999999999998</v>
      </c>
      <c r="G52" s="922">
        <f t="shared" si="1"/>
        <v>0.46199999999999997</v>
      </c>
      <c r="H52" s="177"/>
      <c r="I52" s="1230" t="s">
        <v>1144</v>
      </c>
    </row>
    <row r="53" spans="1:11" ht="16.5" hidden="1">
      <c r="A53" s="177" t="s">
        <v>1566</v>
      </c>
      <c r="B53" s="919">
        <v>90.6</v>
      </c>
      <c r="C53" s="919">
        <v>9.0853560000000009</v>
      </c>
      <c r="D53" s="497">
        <f t="shared" ref="D53:D66" si="6">B53*C53/100</f>
        <v>8.231332536</v>
      </c>
      <c r="E53" s="919">
        <v>18.600000000000001</v>
      </c>
      <c r="F53" s="923">
        <f t="shared" si="0"/>
        <v>16.851600000000001</v>
      </c>
      <c r="G53" s="922">
        <f t="shared" si="1"/>
        <v>0.59963349600000004</v>
      </c>
      <c r="H53" s="177"/>
      <c r="I53" s="1230" t="s">
        <v>1630</v>
      </c>
    </row>
    <row r="54" spans="1:11" ht="16.5" hidden="1">
      <c r="A54" s="177" t="s">
        <v>1567</v>
      </c>
      <c r="B54" s="919">
        <v>91.7</v>
      </c>
      <c r="C54" s="919">
        <v>9.3784320000000001</v>
      </c>
      <c r="D54" s="497">
        <f t="shared" si="6"/>
        <v>8.6000221440000004</v>
      </c>
      <c r="E54" s="919">
        <v>18.899999999999999</v>
      </c>
      <c r="F54" s="923">
        <f t="shared" si="0"/>
        <v>17.331299999999999</v>
      </c>
      <c r="G54" s="922">
        <f t="shared" si="1"/>
        <v>0.61897651200000003</v>
      </c>
      <c r="H54" s="177"/>
      <c r="I54" s="1230" t="s">
        <v>1630</v>
      </c>
    </row>
    <row r="55" spans="1:11" ht="16.5" hidden="1">
      <c r="A55" s="177" t="s">
        <v>1568</v>
      </c>
      <c r="B55" s="919">
        <v>44.1</v>
      </c>
      <c r="C55" s="919">
        <v>9.5459040000000002</v>
      </c>
      <c r="D55" s="497">
        <f t="shared" si="6"/>
        <v>4.2097436640000003</v>
      </c>
      <c r="E55" s="919">
        <v>19.5</v>
      </c>
      <c r="F55" s="923">
        <f t="shared" si="0"/>
        <v>8.5995000000000008</v>
      </c>
      <c r="G55" s="922">
        <f t="shared" si="1"/>
        <v>0.63002966399999993</v>
      </c>
      <c r="H55" s="177"/>
      <c r="I55" s="1230" t="s">
        <v>1630</v>
      </c>
    </row>
    <row r="56" spans="1:11" ht="16.5" hidden="1">
      <c r="A56" s="177" t="s">
        <v>1569</v>
      </c>
      <c r="B56" s="919">
        <v>93.85</v>
      </c>
      <c r="C56" s="919">
        <v>5.57</v>
      </c>
      <c r="D56" s="497">
        <f t="shared" si="6"/>
        <v>5.2274450000000003</v>
      </c>
      <c r="E56" s="919">
        <v>6.44</v>
      </c>
      <c r="F56" s="923">
        <f t="shared" si="0"/>
        <v>6.0439400000000001</v>
      </c>
      <c r="G56" s="922">
        <f t="shared" si="1"/>
        <v>0.36762</v>
      </c>
      <c r="H56" s="177"/>
      <c r="I56" s="1230" t="s">
        <v>1631</v>
      </c>
    </row>
    <row r="57" spans="1:11" ht="16.5" hidden="1">
      <c r="A57" s="177" t="s">
        <v>1570</v>
      </c>
      <c r="B57" s="919">
        <v>90</v>
      </c>
      <c r="C57" s="919">
        <v>19</v>
      </c>
      <c r="D57" s="497">
        <f t="shared" si="6"/>
        <v>17.100000000000001</v>
      </c>
      <c r="E57" s="919">
        <v>30</v>
      </c>
      <c r="F57" s="923">
        <f t="shared" si="0"/>
        <v>27</v>
      </c>
      <c r="G57" s="922">
        <f t="shared" si="1"/>
        <v>1.254</v>
      </c>
      <c r="H57" s="177"/>
      <c r="I57" s="1230" t="s">
        <v>1631</v>
      </c>
    </row>
    <row r="58" spans="1:11" ht="16.5" hidden="1">
      <c r="A58" s="177" t="s">
        <v>1571</v>
      </c>
      <c r="B58" s="919">
        <v>91.83</v>
      </c>
      <c r="C58" s="919">
        <v>6.45</v>
      </c>
      <c r="D58" s="497">
        <f t="shared" si="6"/>
        <v>5.9230349999999996</v>
      </c>
      <c r="E58" s="919">
        <v>6.19</v>
      </c>
      <c r="F58" s="923">
        <f t="shared" si="0"/>
        <v>5.6842770000000007</v>
      </c>
      <c r="G58" s="922">
        <f t="shared" si="1"/>
        <v>0.42570000000000002</v>
      </c>
      <c r="H58" s="177"/>
      <c r="I58" s="1230" t="s">
        <v>1631</v>
      </c>
    </row>
    <row r="59" spans="1:11" ht="16.5" hidden="1">
      <c r="A59" s="177" t="s">
        <v>1571</v>
      </c>
      <c r="B59" s="919">
        <v>91.89</v>
      </c>
      <c r="C59" s="919">
        <v>7.36</v>
      </c>
      <c r="D59" s="497">
        <f t="shared" si="6"/>
        <v>6.7631040000000011</v>
      </c>
      <c r="E59" s="919">
        <v>5.54</v>
      </c>
      <c r="F59" s="923">
        <f t="shared" si="0"/>
        <v>5.090706</v>
      </c>
      <c r="G59" s="922">
        <f t="shared" si="1"/>
        <v>0.48576000000000003</v>
      </c>
      <c r="H59" s="177"/>
      <c r="I59" s="1230" t="s">
        <v>1631</v>
      </c>
    </row>
    <row r="60" spans="1:11" ht="16.5" hidden="1">
      <c r="A60" s="177" t="s">
        <v>1572</v>
      </c>
      <c r="B60" s="919">
        <v>90.1</v>
      </c>
      <c r="C60" s="919">
        <v>7.5781080000000003</v>
      </c>
      <c r="D60" s="497">
        <f t="shared" si="6"/>
        <v>6.8278753080000003</v>
      </c>
      <c r="E60" s="919">
        <v>2.8</v>
      </c>
      <c r="F60" s="923">
        <f t="shared" si="0"/>
        <v>2.5227999999999997</v>
      </c>
      <c r="G60" s="922">
        <f t="shared" si="1"/>
        <v>0.50015512799999995</v>
      </c>
      <c r="H60" s="177"/>
      <c r="I60" s="1230" t="s">
        <v>388</v>
      </c>
    </row>
    <row r="61" spans="1:11" ht="16.5" hidden="1">
      <c r="A61" s="177" t="s">
        <v>1573</v>
      </c>
      <c r="B61" s="919">
        <v>89</v>
      </c>
      <c r="C61" s="919">
        <v>13.020948000000001</v>
      </c>
      <c r="D61" s="497">
        <f t="shared" si="6"/>
        <v>11.58864372</v>
      </c>
      <c r="E61" s="919">
        <v>10</v>
      </c>
      <c r="F61" s="923">
        <f t="shared" si="0"/>
        <v>8.9</v>
      </c>
      <c r="G61" s="922">
        <f t="shared" si="1"/>
        <v>0.85938256800000001</v>
      </c>
      <c r="H61" s="177"/>
      <c r="I61" s="1230" t="s">
        <v>388</v>
      </c>
    </row>
    <row r="62" spans="1:11" ht="16.5" hidden="1">
      <c r="A62" s="177" t="s">
        <v>1574</v>
      </c>
      <c r="B62" s="919">
        <v>82</v>
      </c>
      <c r="C62" s="919">
        <v>10.215792</v>
      </c>
      <c r="D62" s="497">
        <f t="shared" si="6"/>
        <v>8.3769494400000006</v>
      </c>
      <c r="E62" s="919">
        <v>8.9</v>
      </c>
      <c r="F62" s="923">
        <f t="shared" si="0"/>
        <v>7.2980000000000009</v>
      </c>
      <c r="G62" s="922">
        <f t="shared" si="1"/>
        <v>0.67424227200000009</v>
      </c>
      <c r="H62" s="177"/>
      <c r="I62" s="1230" t="s">
        <v>388</v>
      </c>
    </row>
    <row r="63" spans="1:11" ht="16.5" hidden="1">
      <c r="A63" s="177" t="s">
        <v>1575</v>
      </c>
      <c r="B63" s="919">
        <v>34.6</v>
      </c>
      <c r="C63" s="919">
        <v>10.885680000000001</v>
      </c>
      <c r="D63" s="497">
        <f t="shared" si="6"/>
        <v>3.7664452800000006</v>
      </c>
      <c r="E63" s="919">
        <v>8.65</v>
      </c>
      <c r="F63" s="923">
        <f t="shared" si="0"/>
        <v>2.9929000000000001</v>
      </c>
      <c r="G63" s="922">
        <f t="shared" si="1"/>
        <v>0.71845488000000002</v>
      </c>
      <c r="H63" s="177"/>
      <c r="I63" s="1230" t="s">
        <v>388</v>
      </c>
    </row>
    <row r="64" spans="1:11" ht="16.5" hidden="1">
      <c r="A64" s="177" t="s">
        <v>1576</v>
      </c>
      <c r="B64" s="919">
        <v>87</v>
      </c>
      <c r="C64" s="919">
        <v>9.127224</v>
      </c>
      <c r="D64" s="497">
        <f t="shared" si="6"/>
        <v>7.9406848800000001</v>
      </c>
      <c r="E64" s="919">
        <v>5.9</v>
      </c>
      <c r="F64" s="923">
        <f t="shared" si="0"/>
        <v>5.1330000000000009</v>
      </c>
      <c r="G64" s="922">
        <f t="shared" si="1"/>
        <v>0.60239678399999996</v>
      </c>
      <c r="H64" s="177"/>
      <c r="I64" s="1230" t="s">
        <v>388</v>
      </c>
    </row>
    <row r="65" spans="1:9" ht="16.5" hidden="1">
      <c r="A65" s="177" t="s">
        <v>1577</v>
      </c>
      <c r="B65" s="919">
        <v>87</v>
      </c>
      <c r="C65" s="919">
        <v>9.127224</v>
      </c>
      <c r="D65" s="497">
        <f t="shared" si="6"/>
        <v>7.9406848800000001</v>
      </c>
      <c r="E65" s="919">
        <v>5.9</v>
      </c>
      <c r="F65" s="923">
        <f t="shared" si="0"/>
        <v>5.1330000000000009</v>
      </c>
      <c r="G65" s="922">
        <f t="shared" si="1"/>
        <v>0.60239678399999996</v>
      </c>
      <c r="H65" s="177"/>
      <c r="I65" s="1230" t="s">
        <v>1149</v>
      </c>
    </row>
    <row r="66" spans="1:9" ht="16.5" hidden="1">
      <c r="A66" s="177" t="s">
        <v>1578</v>
      </c>
      <c r="B66" s="919">
        <v>90</v>
      </c>
      <c r="C66" s="919">
        <v>15</v>
      </c>
      <c r="D66" s="497">
        <f t="shared" si="6"/>
        <v>13.5</v>
      </c>
      <c r="E66" s="919">
        <v>9</v>
      </c>
      <c r="F66" s="923">
        <f t="shared" si="0"/>
        <v>8.1</v>
      </c>
      <c r="G66" s="922">
        <f t="shared" si="1"/>
        <v>0.99</v>
      </c>
      <c r="H66" s="177"/>
      <c r="I66" s="1230" t="s">
        <v>388</v>
      </c>
    </row>
    <row r="67" spans="1:9" ht="16.5" hidden="1">
      <c r="A67" s="177" t="s">
        <v>1579</v>
      </c>
      <c r="B67" s="919">
        <v>20.966999999999999</v>
      </c>
      <c r="C67" s="919">
        <v>10.8</v>
      </c>
      <c r="D67" s="497">
        <f>B67*C67/100</f>
        <v>2.2644359999999999</v>
      </c>
      <c r="E67" s="919">
        <v>15.77</v>
      </c>
      <c r="F67" s="923">
        <f t="shared" si="0"/>
        <v>3.3064958999999998</v>
      </c>
      <c r="G67" s="922">
        <f t="shared" si="1"/>
        <v>0.71279999999999999</v>
      </c>
      <c r="H67" s="177"/>
      <c r="I67" s="1230" t="s">
        <v>1292</v>
      </c>
    </row>
    <row r="68" spans="1:9" ht="16.5" hidden="1">
      <c r="A68" s="177" t="s">
        <v>1293</v>
      </c>
      <c r="B68" s="919">
        <v>90.6</v>
      </c>
      <c r="C68" s="919">
        <v>10.89</v>
      </c>
      <c r="D68" s="497">
        <f>B68*C68/100</f>
        <v>9.866340000000001</v>
      </c>
      <c r="E68" s="919">
        <v>14.8</v>
      </c>
      <c r="F68" s="923">
        <f t="shared" ref="F68:F125" si="7">E68*B68/100</f>
        <v>13.408799999999999</v>
      </c>
      <c r="G68" s="922">
        <f t="shared" ref="G68:G125" si="8">C68*6.6/100</f>
        <v>0.71873999999999993</v>
      </c>
      <c r="H68" s="177"/>
      <c r="I68" s="1230" t="s">
        <v>1292</v>
      </c>
    </row>
    <row r="69" spans="1:9" ht="16.5" hidden="1">
      <c r="A69" s="177" t="s">
        <v>1580</v>
      </c>
      <c r="B69" s="919">
        <v>92.37</v>
      </c>
      <c r="C69" s="919">
        <v>14.193</v>
      </c>
      <c r="D69" s="497">
        <f>B69*C69/100</f>
        <v>13.110074099999999</v>
      </c>
      <c r="E69" s="919">
        <v>27.3</v>
      </c>
      <c r="F69" s="923">
        <f t="shared" si="7"/>
        <v>25.217010000000002</v>
      </c>
      <c r="G69" s="922">
        <f t="shared" si="8"/>
        <v>0.93673799999999985</v>
      </c>
      <c r="H69" s="177"/>
      <c r="I69" s="1230" t="s">
        <v>1292</v>
      </c>
    </row>
    <row r="70" spans="1:9" ht="16.5" hidden="1">
      <c r="A70" s="177" t="s">
        <v>1581</v>
      </c>
      <c r="B70" s="919">
        <v>28.4</v>
      </c>
      <c r="C70" s="919">
        <v>10</v>
      </c>
      <c r="D70" s="497">
        <f>B70*C70/100</f>
        <v>2.84</v>
      </c>
      <c r="E70" s="919">
        <v>19.399999999999999</v>
      </c>
      <c r="F70" s="923">
        <f t="shared" si="7"/>
        <v>5.5095999999999989</v>
      </c>
      <c r="G70" s="922">
        <f t="shared" si="8"/>
        <v>0.66</v>
      </c>
      <c r="H70" s="177"/>
      <c r="I70" s="1230" t="s">
        <v>1645</v>
      </c>
    </row>
    <row r="71" spans="1:9" ht="16.5" hidden="1">
      <c r="A71" s="177" t="s">
        <v>1582</v>
      </c>
      <c r="B71" s="919">
        <v>15</v>
      </c>
      <c r="C71" s="919">
        <v>9.8808480000000003</v>
      </c>
      <c r="D71" s="497">
        <f t="shared" ref="D71:D125" si="9">B71*C71/100</f>
        <v>1.4821271999999999</v>
      </c>
      <c r="E71" s="919">
        <v>11</v>
      </c>
      <c r="F71" s="923">
        <f t="shared" si="7"/>
        <v>1.65</v>
      </c>
      <c r="G71" s="922">
        <f t="shared" si="8"/>
        <v>0.65213596800000007</v>
      </c>
      <c r="H71" s="177"/>
      <c r="I71" s="1230" t="s">
        <v>780</v>
      </c>
    </row>
    <row r="72" spans="1:9" ht="16.5" hidden="1">
      <c r="A72" s="476" t="s">
        <v>1583</v>
      </c>
      <c r="B72" s="919">
        <v>29.05</v>
      </c>
      <c r="C72" s="919">
        <v>6.55</v>
      </c>
      <c r="D72" s="497">
        <v>4.7</v>
      </c>
      <c r="E72" s="919">
        <v>7.5</v>
      </c>
      <c r="F72" s="923">
        <v>4.3899999999999997</v>
      </c>
      <c r="G72" s="1331">
        <v>0.44</v>
      </c>
      <c r="H72" s="177">
        <v>1</v>
      </c>
      <c r="I72" s="1230" t="s">
        <v>1142</v>
      </c>
    </row>
    <row r="73" spans="1:9" ht="16.5">
      <c r="A73" s="177" t="s">
        <v>1584</v>
      </c>
      <c r="B73" s="919">
        <v>29.05</v>
      </c>
      <c r="C73" s="919">
        <v>6.55</v>
      </c>
      <c r="D73" s="497">
        <v>4.7</v>
      </c>
      <c r="E73" s="919">
        <v>7.5</v>
      </c>
      <c r="F73" s="923">
        <v>4.3899999999999997</v>
      </c>
      <c r="G73" s="922">
        <v>0.44</v>
      </c>
      <c r="H73" s="177">
        <v>1</v>
      </c>
      <c r="I73" s="1230" t="s">
        <v>1142</v>
      </c>
    </row>
    <row r="74" spans="1:9" ht="16.5" hidden="1">
      <c r="A74" s="177" t="s">
        <v>1585</v>
      </c>
      <c r="B74" s="919"/>
      <c r="C74" s="919"/>
      <c r="D74" s="497">
        <f t="shared" si="9"/>
        <v>0</v>
      </c>
      <c r="E74" s="919"/>
      <c r="F74" s="923">
        <f t="shared" si="7"/>
        <v>0</v>
      </c>
      <c r="G74" s="922">
        <f t="shared" si="8"/>
        <v>0</v>
      </c>
      <c r="H74" s="177"/>
      <c r="I74" s="1230" t="s">
        <v>1142</v>
      </c>
    </row>
    <row r="75" spans="1:9" ht="16.5" hidden="1">
      <c r="A75" s="177" t="s">
        <v>1586</v>
      </c>
      <c r="B75" s="919">
        <v>89</v>
      </c>
      <c r="C75" s="919">
        <v>12.267324</v>
      </c>
      <c r="D75" s="497">
        <f t="shared" si="9"/>
        <v>10.917918360000002</v>
      </c>
      <c r="E75" s="919">
        <v>13.6</v>
      </c>
      <c r="F75" s="923">
        <f t="shared" si="7"/>
        <v>12.103999999999999</v>
      </c>
      <c r="G75" s="922">
        <f t="shared" si="8"/>
        <v>0.80964338400000002</v>
      </c>
      <c r="H75" s="177"/>
      <c r="I75" s="1230" t="s">
        <v>1632</v>
      </c>
    </row>
    <row r="76" spans="1:9" ht="16.5" hidden="1">
      <c r="A76" s="177" t="s">
        <v>1587</v>
      </c>
      <c r="B76" s="919">
        <v>26.77</v>
      </c>
      <c r="C76" s="919">
        <v>10.1</v>
      </c>
      <c r="D76" s="497">
        <f t="shared" si="9"/>
        <v>2.70377</v>
      </c>
      <c r="E76" s="919">
        <v>9.9</v>
      </c>
      <c r="F76" s="923">
        <f t="shared" si="7"/>
        <v>2.6502300000000001</v>
      </c>
      <c r="G76" s="922">
        <f t="shared" si="8"/>
        <v>0.66659999999999997</v>
      </c>
      <c r="H76" s="177"/>
      <c r="I76" s="1230" t="s">
        <v>1632</v>
      </c>
    </row>
    <row r="77" spans="1:9" ht="16.5" hidden="1">
      <c r="A77" s="177" t="s">
        <v>1588</v>
      </c>
      <c r="B77" s="919">
        <v>90.7</v>
      </c>
      <c r="C77" s="919">
        <v>7.9967879999999996</v>
      </c>
      <c r="D77" s="497">
        <f t="shared" si="9"/>
        <v>7.2530867160000003</v>
      </c>
      <c r="E77" s="919">
        <v>9.5</v>
      </c>
      <c r="F77" s="923">
        <f t="shared" si="7"/>
        <v>8.6165000000000003</v>
      </c>
      <c r="G77" s="922">
        <f t="shared" si="8"/>
        <v>0.52778800799999992</v>
      </c>
      <c r="H77" s="177"/>
      <c r="I77" s="1230" t="s">
        <v>1632</v>
      </c>
    </row>
    <row r="78" spans="1:9" ht="16.5" hidden="1">
      <c r="A78" s="177" t="s">
        <v>1589</v>
      </c>
      <c r="B78" s="919">
        <v>92.4</v>
      </c>
      <c r="C78" s="919">
        <v>5.3172360000000003</v>
      </c>
      <c r="D78" s="497">
        <f t="shared" si="9"/>
        <v>4.9131260640000001</v>
      </c>
      <c r="E78" s="919">
        <v>4.0999999999999996</v>
      </c>
      <c r="F78" s="923">
        <f t="shared" si="7"/>
        <v>3.7883999999999998</v>
      </c>
      <c r="G78" s="922">
        <f t="shared" si="8"/>
        <v>0.35093757600000003</v>
      </c>
      <c r="H78" s="177"/>
      <c r="I78" s="1230" t="s">
        <v>1632</v>
      </c>
    </row>
    <row r="79" spans="1:9" ht="16.5" hidden="1">
      <c r="A79" s="177" t="s">
        <v>1590</v>
      </c>
      <c r="B79" s="919">
        <v>91</v>
      </c>
      <c r="C79" s="919">
        <v>15.28182</v>
      </c>
      <c r="D79" s="497">
        <f t="shared" si="9"/>
        <v>13.906456200000001</v>
      </c>
      <c r="E79" s="919">
        <v>16.2</v>
      </c>
      <c r="F79" s="923">
        <f t="shared" si="7"/>
        <v>14.742000000000001</v>
      </c>
      <c r="G79" s="922">
        <f t="shared" si="8"/>
        <v>1.0086001199999999</v>
      </c>
      <c r="H79" s="177"/>
      <c r="I79" s="1230" t="s">
        <v>1149</v>
      </c>
    </row>
    <row r="80" spans="1:9" ht="16.5" hidden="1">
      <c r="A80" s="177" t="s">
        <v>1591</v>
      </c>
      <c r="B80" s="919">
        <v>36.4</v>
      </c>
      <c r="C80" s="919">
        <v>8.9178840000000008</v>
      </c>
      <c r="D80" s="497">
        <f t="shared" si="9"/>
        <v>3.2461097759999999</v>
      </c>
      <c r="E80" s="919">
        <v>12.7</v>
      </c>
      <c r="F80" s="923">
        <f t="shared" si="7"/>
        <v>4.6227999999999998</v>
      </c>
      <c r="G80" s="922">
        <f t="shared" si="8"/>
        <v>0.58858034400000003</v>
      </c>
      <c r="H80" s="177"/>
      <c r="I80" s="1230" t="s">
        <v>1632</v>
      </c>
    </row>
    <row r="81" spans="1:9" ht="16.5" hidden="1">
      <c r="A81" s="177" t="s">
        <v>1592</v>
      </c>
      <c r="B81" s="919">
        <v>90</v>
      </c>
      <c r="C81" s="919">
        <v>6.6988799999999999</v>
      </c>
      <c r="D81" s="497">
        <f t="shared" si="9"/>
        <v>6.0289919999999997</v>
      </c>
      <c r="E81" s="919">
        <v>4.4000000000000004</v>
      </c>
      <c r="F81" s="923">
        <f t="shared" si="7"/>
        <v>3.9600000000000004</v>
      </c>
      <c r="G81" s="922">
        <f t="shared" si="8"/>
        <v>0.44212607999999998</v>
      </c>
      <c r="H81" s="177"/>
      <c r="I81" s="1230" t="s">
        <v>1633</v>
      </c>
    </row>
    <row r="82" spans="1:9" ht="16.5" hidden="1">
      <c r="A82" s="177" t="s">
        <v>1593</v>
      </c>
      <c r="B82" s="919">
        <v>27.4</v>
      </c>
      <c r="C82" s="919">
        <v>8.6248079999999998</v>
      </c>
      <c r="D82" s="497">
        <f t="shared" si="9"/>
        <v>2.363197392</v>
      </c>
      <c r="E82" s="919">
        <v>10.1</v>
      </c>
      <c r="F82" s="923">
        <f t="shared" si="7"/>
        <v>2.7673999999999994</v>
      </c>
      <c r="G82" s="922">
        <f t="shared" si="8"/>
        <v>0.56923732799999993</v>
      </c>
      <c r="H82" s="177"/>
      <c r="I82" s="1230" t="s">
        <v>1634</v>
      </c>
    </row>
    <row r="83" spans="1:9" ht="16.5" hidden="1">
      <c r="A83" s="177" t="s">
        <v>1594</v>
      </c>
      <c r="B83" s="919">
        <v>90.6</v>
      </c>
      <c r="C83" s="919">
        <v>8.1642600000000005</v>
      </c>
      <c r="D83" s="497">
        <f t="shared" si="9"/>
        <v>7.39681956</v>
      </c>
      <c r="E83" s="919">
        <v>8.4</v>
      </c>
      <c r="F83" s="923">
        <f t="shared" si="7"/>
        <v>7.6103999999999994</v>
      </c>
      <c r="G83" s="922">
        <f t="shared" si="8"/>
        <v>0.53884116000000004</v>
      </c>
      <c r="H83" s="177"/>
      <c r="I83" s="1230" t="s">
        <v>1634</v>
      </c>
    </row>
    <row r="84" spans="1:9" ht="16.5" hidden="1">
      <c r="A84" s="177" t="s">
        <v>1595</v>
      </c>
      <c r="B84" s="919">
        <v>42.85</v>
      </c>
      <c r="C84" s="919">
        <v>7.49437</v>
      </c>
      <c r="D84" s="497">
        <f t="shared" si="9"/>
        <v>3.2113375450000001</v>
      </c>
      <c r="E84" s="919">
        <v>16.149999999999999</v>
      </c>
      <c r="F84" s="923">
        <f t="shared" si="7"/>
        <v>6.9202749999999993</v>
      </c>
      <c r="G84" s="922">
        <f t="shared" si="8"/>
        <v>0.49462841999999996</v>
      </c>
      <c r="H84" s="177"/>
      <c r="I84" s="1230" t="s">
        <v>1634</v>
      </c>
    </row>
    <row r="85" spans="1:9" hidden="1">
      <c r="A85" s="177" t="s">
        <v>1596</v>
      </c>
      <c r="B85" s="919">
        <v>26</v>
      </c>
      <c r="C85" s="919">
        <v>7.58</v>
      </c>
      <c r="D85" s="497">
        <f t="shared" si="9"/>
        <v>1.9708000000000001</v>
      </c>
      <c r="E85" s="919">
        <v>10</v>
      </c>
      <c r="F85" s="923">
        <f t="shared" si="7"/>
        <v>2.6</v>
      </c>
      <c r="G85" s="922">
        <f t="shared" si="8"/>
        <v>0.50027999999999995</v>
      </c>
      <c r="H85" s="177"/>
      <c r="I85" s="1235" t="s">
        <v>1294</v>
      </c>
    </row>
    <row r="86" spans="1:9" hidden="1">
      <c r="A86" s="177" t="s">
        <v>1597</v>
      </c>
      <c r="B86" s="919">
        <v>28</v>
      </c>
      <c r="C86" s="919">
        <v>7.58</v>
      </c>
      <c r="D86" s="497">
        <f t="shared" si="9"/>
        <v>2.1224000000000003</v>
      </c>
      <c r="E86" s="919">
        <v>8</v>
      </c>
      <c r="F86" s="923">
        <f t="shared" si="7"/>
        <v>2.2400000000000002</v>
      </c>
      <c r="G86" s="922">
        <f t="shared" si="8"/>
        <v>0.50027999999999995</v>
      </c>
      <c r="H86" s="177"/>
      <c r="I86" s="1235" t="s">
        <v>1295</v>
      </c>
    </row>
    <row r="87" spans="1:9" ht="16.5" hidden="1">
      <c r="A87" s="177" t="s">
        <v>1598</v>
      </c>
      <c r="B87" s="919">
        <v>86</v>
      </c>
      <c r="C87" s="919">
        <v>9.4621680000000001</v>
      </c>
      <c r="D87" s="497">
        <f t="shared" si="9"/>
        <v>8.1374644800000002</v>
      </c>
      <c r="E87" s="919">
        <v>6.4</v>
      </c>
      <c r="F87" s="923">
        <f t="shared" si="7"/>
        <v>5.5039999999999996</v>
      </c>
      <c r="G87" s="922">
        <f t="shared" si="8"/>
        <v>0.62450308799999998</v>
      </c>
      <c r="H87" s="177"/>
      <c r="I87" s="1230" t="s">
        <v>1635</v>
      </c>
    </row>
    <row r="88" spans="1:9" ht="16.5" hidden="1">
      <c r="A88" s="177" t="s">
        <v>1599</v>
      </c>
      <c r="B88" s="919">
        <v>90.34</v>
      </c>
      <c r="C88" s="919">
        <v>12.43</v>
      </c>
      <c r="D88" s="497">
        <f t="shared" si="9"/>
        <v>11.229262</v>
      </c>
      <c r="E88" s="919">
        <v>13.88</v>
      </c>
      <c r="F88" s="923">
        <f t="shared" si="7"/>
        <v>12.539192</v>
      </c>
      <c r="G88" s="922">
        <f t="shared" si="8"/>
        <v>0.82038</v>
      </c>
      <c r="H88" s="177"/>
      <c r="I88" s="1230" t="s">
        <v>1635</v>
      </c>
    </row>
    <row r="89" spans="1:9" ht="16.5" hidden="1">
      <c r="A89" s="177" t="s">
        <v>1600</v>
      </c>
      <c r="B89" s="919">
        <v>25</v>
      </c>
      <c r="C89" s="919">
        <v>8.5500000000000007</v>
      </c>
      <c r="D89" s="497">
        <f t="shared" si="9"/>
        <v>2.1375000000000002</v>
      </c>
      <c r="E89" s="919">
        <v>13.81</v>
      </c>
      <c r="F89" s="923">
        <f t="shared" si="7"/>
        <v>3.4525000000000001</v>
      </c>
      <c r="G89" s="922">
        <f t="shared" si="8"/>
        <v>0.56430000000000002</v>
      </c>
      <c r="H89" s="177"/>
      <c r="I89" s="1230" t="s">
        <v>1635</v>
      </c>
    </row>
    <row r="90" spans="1:9" ht="16.5" hidden="1">
      <c r="A90" s="177" t="s">
        <v>1296</v>
      </c>
      <c r="B90" s="919">
        <v>91.69</v>
      </c>
      <c r="C90" s="919">
        <v>7.9967879999999996</v>
      </c>
      <c r="D90" s="497">
        <f t="shared" si="9"/>
        <v>7.3322549171999993</v>
      </c>
      <c r="E90" s="919">
        <v>16.3</v>
      </c>
      <c r="F90" s="923">
        <f t="shared" si="7"/>
        <v>14.94547</v>
      </c>
      <c r="G90" s="922">
        <f t="shared" si="8"/>
        <v>0.52778800799999992</v>
      </c>
      <c r="H90" s="177"/>
      <c r="I90" s="1230" t="s">
        <v>1297</v>
      </c>
    </row>
    <row r="91" spans="1:9" ht="16.5" hidden="1">
      <c r="A91" s="177" t="s">
        <v>1601</v>
      </c>
      <c r="B91" s="919">
        <v>89.4</v>
      </c>
      <c r="C91" s="919">
        <v>11.08</v>
      </c>
      <c r="D91" s="497">
        <f t="shared" si="9"/>
        <v>9.905520000000001</v>
      </c>
      <c r="E91" s="919">
        <v>19.39</v>
      </c>
      <c r="F91" s="923">
        <f t="shared" si="7"/>
        <v>17.33466</v>
      </c>
      <c r="G91" s="922">
        <f t="shared" si="8"/>
        <v>0.73128000000000004</v>
      </c>
      <c r="H91" s="177"/>
      <c r="I91" s="1230" t="s">
        <v>1297</v>
      </c>
    </row>
    <row r="92" spans="1:9" ht="16.5" hidden="1">
      <c r="A92" s="177" t="s">
        <v>1602</v>
      </c>
      <c r="B92" s="919">
        <v>68.7</v>
      </c>
      <c r="C92" s="919">
        <v>11.5</v>
      </c>
      <c r="D92" s="497">
        <f t="shared" si="9"/>
        <v>7.900500000000001</v>
      </c>
      <c r="E92" s="919">
        <v>21.6</v>
      </c>
      <c r="F92" s="923">
        <f t="shared" si="7"/>
        <v>14.8392</v>
      </c>
      <c r="G92" s="922">
        <f t="shared" si="8"/>
        <v>0.7589999999999999</v>
      </c>
      <c r="H92" s="177"/>
      <c r="I92" s="1230" t="s">
        <v>1297</v>
      </c>
    </row>
    <row r="93" spans="1:9" ht="16.5" hidden="1">
      <c r="A93" s="177" t="s">
        <v>1298</v>
      </c>
      <c r="B93" s="919">
        <v>20.6</v>
      </c>
      <c r="C93" s="919">
        <v>11.5137</v>
      </c>
      <c r="D93" s="497">
        <f t="shared" si="9"/>
        <v>2.3718222000000004</v>
      </c>
      <c r="E93" s="919">
        <v>9.1</v>
      </c>
      <c r="F93" s="923">
        <f t="shared" si="7"/>
        <v>1.8746</v>
      </c>
      <c r="G93" s="922">
        <f t="shared" si="8"/>
        <v>0.75990420000000003</v>
      </c>
      <c r="H93" s="177"/>
      <c r="I93" s="1230" t="s">
        <v>1299</v>
      </c>
    </row>
    <row r="94" spans="1:9" ht="16.5" hidden="1">
      <c r="A94" s="177" t="s">
        <v>1603</v>
      </c>
      <c r="B94" s="919">
        <v>35.119999999999997</v>
      </c>
      <c r="C94" s="919">
        <v>8.2200000000000006</v>
      </c>
      <c r="D94" s="497">
        <f t="shared" si="9"/>
        <v>2.8868640000000001</v>
      </c>
      <c r="E94" s="919">
        <v>7.94</v>
      </c>
      <c r="F94" s="923">
        <f t="shared" si="7"/>
        <v>2.7885279999999999</v>
      </c>
      <c r="G94" s="922">
        <f t="shared" si="8"/>
        <v>0.54252</v>
      </c>
      <c r="H94" s="177"/>
      <c r="I94" s="1230" t="s">
        <v>1299</v>
      </c>
    </row>
    <row r="95" spans="1:9" ht="16.5" hidden="1">
      <c r="A95" s="177" t="s">
        <v>1604</v>
      </c>
      <c r="B95" s="919">
        <v>15.44</v>
      </c>
      <c r="C95" s="919">
        <v>10.25</v>
      </c>
      <c r="D95" s="497">
        <f t="shared" si="9"/>
        <v>1.5826</v>
      </c>
      <c r="E95" s="919">
        <v>6.96</v>
      </c>
      <c r="F95" s="923">
        <f t="shared" si="7"/>
        <v>1.074624</v>
      </c>
      <c r="G95" s="922">
        <f t="shared" si="8"/>
        <v>0.67649999999999988</v>
      </c>
      <c r="H95" s="177"/>
      <c r="I95" s="1230" t="s">
        <v>1636</v>
      </c>
    </row>
    <row r="96" spans="1:9" ht="16.5" hidden="1">
      <c r="A96" s="177" t="s">
        <v>1605</v>
      </c>
      <c r="B96" s="919">
        <v>16.34</v>
      </c>
      <c r="C96" s="919">
        <v>12.99</v>
      </c>
      <c r="D96" s="497">
        <f t="shared" si="9"/>
        <v>2.122566</v>
      </c>
      <c r="E96" s="919">
        <v>14.13</v>
      </c>
      <c r="F96" s="923">
        <f t="shared" si="7"/>
        <v>2.3088420000000003</v>
      </c>
      <c r="G96" s="922">
        <f t="shared" si="8"/>
        <v>0.85733999999999999</v>
      </c>
      <c r="H96" s="177"/>
      <c r="I96" s="1230" t="s">
        <v>1636</v>
      </c>
    </row>
    <row r="97" spans="1:9" ht="16.5" hidden="1">
      <c r="A97" s="177" t="s">
        <v>1606</v>
      </c>
      <c r="B97" s="919">
        <v>22.73</v>
      </c>
      <c r="C97" s="919">
        <v>9.91</v>
      </c>
      <c r="D97" s="497">
        <f t="shared" si="9"/>
        <v>2.2525430000000002</v>
      </c>
      <c r="E97" s="919">
        <v>15.44</v>
      </c>
      <c r="F97" s="923">
        <f t="shared" si="7"/>
        <v>3.5095119999999995</v>
      </c>
      <c r="G97" s="922">
        <f t="shared" si="8"/>
        <v>0.65405999999999986</v>
      </c>
      <c r="H97" s="177"/>
      <c r="I97" s="1230" t="s">
        <v>1637</v>
      </c>
    </row>
    <row r="98" spans="1:9" ht="16.5" hidden="1">
      <c r="A98" s="177" t="s">
        <v>1607</v>
      </c>
      <c r="B98" s="919">
        <v>19.600000000000001</v>
      </c>
      <c r="C98" s="919">
        <v>10.425132</v>
      </c>
      <c r="D98" s="497">
        <f t="shared" si="9"/>
        <v>2.043325872</v>
      </c>
      <c r="E98" s="919">
        <v>20.8</v>
      </c>
      <c r="F98" s="923">
        <f t="shared" si="7"/>
        <v>4.0768000000000004</v>
      </c>
      <c r="G98" s="922">
        <f t="shared" si="8"/>
        <v>0.68805871200000002</v>
      </c>
      <c r="H98" s="177"/>
      <c r="I98" s="1230" t="s">
        <v>1638</v>
      </c>
    </row>
    <row r="99" spans="1:9" ht="16.5" hidden="1">
      <c r="A99" s="177" t="s">
        <v>1608</v>
      </c>
      <c r="B99" s="919">
        <v>88.4</v>
      </c>
      <c r="C99" s="919">
        <v>8.3317320000000006</v>
      </c>
      <c r="D99" s="497">
        <f t="shared" si="9"/>
        <v>7.3652510880000008</v>
      </c>
      <c r="E99" s="919">
        <v>15</v>
      </c>
      <c r="F99" s="923">
        <f t="shared" si="7"/>
        <v>13.26</v>
      </c>
      <c r="G99" s="922">
        <f t="shared" si="8"/>
        <v>0.54989431199999994</v>
      </c>
      <c r="H99" s="177"/>
      <c r="I99" s="1230" t="s">
        <v>1638</v>
      </c>
    </row>
    <row r="100" spans="1:9" ht="16.5" hidden="1">
      <c r="A100" s="177" t="s">
        <v>1609</v>
      </c>
      <c r="B100" s="919">
        <v>28.06</v>
      </c>
      <c r="C100" s="919">
        <v>7.54</v>
      </c>
      <c r="D100" s="497">
        <f t="shared" si="9"/>
        <v>2.1157239999999997</v>
      </c>
      <c r="E100" s="919">
        <v>14.1</v>
      </c>
      <c r="F100" s="923">
        <f t="shared" si="7"/>
        <v>3.9564599999999994</v>
      </c>
      <c r="G100" s="922">
        <f t="shared" si="8"/>
        <v>0.49763999999999997</v>
      </c>
      <c r="H100" s="177"/>
      <c r="I100" s="1230" t="s">
        <v>1143</v>
      </c>
    </row>
    <row r="101" spans="1:9" ht="16.5" hidden="1">
      <c r="A101" s="177" t="s">
        <v>826</v>
      </c>
      <c r="B101" s="919">
        <v>92.4</v>
      </c>
      <c r="C101" s="919">
        <v>9.1</v>
      </c>
      <c r="D101" s="497">
        <f t="shared" si="9"/>
        <v>8.4084000000000003</v>
      </c>
      <c r="E101" s="919">
        <v>7.7</v>
      </c>
      <c r="F101" s="923">
        <f t="shared" si="7"/>
        <v>7.1147999999999998</v>
      </c>
      <c r="G101" s="922">
        <f t="shared" si="8"/>
        <v>0.60059999999999991</v>
      </c>
      <c r="H101" s="177"/>
      <c r="I101" s="1230" t="s">
        <v>1143</v>
      </c>
    </row>
    <row r="102" spans="1:9" ht="16.5" hidden="1">
      <c r="A102" s="177" t="s">
        <v>1610</v>
      </c>
      <c r="B102" s="919">
        <v>28.9</v>
      </c>
      <c r="C102" s="919">
        <v>8.5399999999999991</v>
      </c>
      <c r="D102" s="497">
        <f t="shared" si="9"/>
        <v>2.4680599999999995</v>
      </c>
      <c r="E102" s="919">
        <v>21.3</v>
      </c>
      <c r="F102" s="923">
        <f t="shared" si="7"/>
        <v>6.1556999999999995</v>
      </c>
      <c r="G102" s="922">
        <f t="shared" si="8"/>
        <v>0.56363999999999992</v>
      </c>
      <c r="H102" s="13"/>
      <c r="I102" s="1230" t="s">
        <v>1639</v>
      </c>
    </row>
    <row r="103" spans="1:9" ht="16.5" hidden="1">
      <c r="A103" s="177" t="s">
        <v>1611</v>
      </c>
      <c r="B103" s="919">
        <v>26.1</v>
      </c>
      <c r="C103" s="919">
        <v>11.220624000000001</v>
      </c>
      <c r="D103" s="497">
        <f t="shared" si="9"/>
        <v>2.9285828640000005</v>
      </c>
      <c r="E103" s="919">
        <v>21.3</v>
      </c>
      <c r="F103" s="923">
        <f t="shared" si="7"/>
        <v>5.5593000000000004</v>
      </c>
      <c r="G103" s="922">
        <f t="shared" si="8"/>
        <v>0.74056118400000004</v>
      </c>
      <c r="H103" s="13"/>
      <c r="I103" s="1230" t="s">
        <v>1640</v>
      </c>
    </row>
    <row r="104" spans="1:9" ht="16.5" hidden="1">
      <c r="A104" s="177" t="s">
        <v>1612</v>
      </c>
      <c r="B104" s="919">
        <v>92.6</v>
      </c>
      <c r="C104" s="919">
        <v>8.0386559999999996</v>
      </c>
      <c r="D104" s="497">
        <f t="shared" si="9"/>
        <v>7.4437954559999993</v>
      </c>
      <c r="E104" s="919">
        <v>6</v>
      </c>
      <c r="F104" s="923">
        <f t="shared" si="7"/>
        <v>5.5559999999999992</v>
      </c>
      <c r="G104" s="922">
        <f t="shared" si="8"/>
        <v>0.53055129599999995</v>
      </c>
      <c r="H104" s="13"/>
      <c r="I104" s="1230" t="s">
        <v>1640</v>
      </c>
    </row>
    <row r="105" spans="1:9" ht="16.5" hidden="1">
      <c r="A105" s="177" t="s">
        <v>1300</v>
      </c>
      <c r="B105" s="919">
        <v>85</v>
      </c>
      <c r="C105" s="919">
        <v>7.0338240000000001</v>
      </c>
      <c r="D105" s="497">
        <f t="shared" si="9"/>
        <v>5.9787504</v>
      </c>
      <c r="E105" s="919">
        <v>4.9000000000000004</v>
      </c>
      <c r="F105" s="923">
        <f t="shared" si="7"/>
        <v>4.1650000000000009</v>
      </c>
      <c r="G105" s="922">
        <f t="shared" si="8"/>
        <v>0.46423238399999994</v>
      </c>
      <c r="H105" s="13"/>
      <c r="I105" s="1230" t="s">
        <v>659</v>
      </c>
    </row>
    <row r="106" spans="1:9" ht="16.5" hidden="1">
      <c r="A106" s="177" t="s">
        <v>1613</v>
      </c>
      <c r="B106" s="919">
        <v>90</v>
      </c>
      <c r="C106" s="919">
        <v>12.392927999999999</v>
      </c>
      <c r="D106" s="497">
        <f t="shared" si="9"/>
        <v>11.153635199999998</v>
      </c>
      <c r="E106" s="919">
        <v>12.6</v>
      </c>
      <c r="F106" s="923">
        <f t="shared" si="7"/>
        <v>11.34</v>
      </c>
      <c r="G106" s="922">
        <f t="shared" si="8"/>
        <v>0.81793324799999989</v>
      </c>
      <c r="H106" s="13"/>
      <c r="I106" s="1230" t="s">
        <v>659</v>
      </c>
    </row>
    <row r="107" spans="1:9" ht="16.5" hidden="1">
      <c r="A107" s="177" t="s">
        <v>1614</v>
      </c>
      <c r="B107" s="919">
        <v>29.46</v>
      </c>
      <c r="C107" s="919">
        <v>12.31</v>
      </c>
      <c r="D107" s="497">
        <f t="shared" si="9"/>
        <v>3.6265260000000001</v>
      </c>
      <c r="E107" s="919">
        <v>9.24</v>
      </c>
      <c r="F107" s="923">
        <f t="shared" si="7"/>
        <v>2.7221039999999999</v>
      </c>
      <c r="G107" s="922">
        <f t="shared" si="8"/>
        <v>0.81245999999999996</v>
      </c>
      <c r="H107" s="13"/>
      <c r="I107" s="1230" t="s">
        <v>659</v>
      </c>
    </row>
    <row r="108" spans="1:9" ht="16.5" hidden="1">
      <c r="A108" s="177" t="s">
        <v>1301</v>
      </c>
      <c r="B108" s="919">
        <v>30</v>
      </c>
      <c r="C108" s="919">
        <v>9.043488</v>
      </c>
      <c r="D108" s="497">
        <f t="shared" si="9"/>
        <v>2.7130464000000001</v>
      </c>
      <c r="E108" s="919">
        <v>9.39</v>
      </c>
      <c r="F108" s="923">
        <f t="shared" si="7"/>
        <v>2.8170000000000006</v>
      </c>
      <c r="G108" s="922">
        <f t="shared" si="8"/>
        <v>0.59687020800000001</v>
      </c>
      <c r="H108" s="13"/>
      <c r="I108" s="1230" t="s">
        <v>659</v>
      </c>
    </row>
    <row r="109" spans="1:9" ht="16.5" hidden="1">
      <c r="A109" s="177" t="s">
        <v>1615</v>
      </c>
      <c r="B109" s="919">
        <v>88</v>
      </c>
      <c r="C109" s="919">
        <v>6.3220679999999998</v>
      </c>
      <c r="D109" s="497">
        <f t="shared" si="9"/>
        <v>5.5634198399999999</v>
      </c>
      <c r="E109" s="919">
        <v>5.2</v>
      </c>
      <c r="F109" s="923">
        <f t="shared" si="7"/>
        <v>4.5760000000000005</v>
      </c>
      <c r="G109" s="922">
        <f t="shared" si="8"/>
        <v>0.41725648799999993</v>
      </c>
      <c r="H109" s="13"/>
      <c r="I109" s="1230" t="s">
        <v>1641</v>
      </c>
    </row>
    <row r="110" spans="1:9" ht="16.5" hidden="1">
      <c r="A110" s="177" t="s">
        <v>1616</v>
      </c>
      <c r="B110" s="919">
        <v>89</v>
      </c>
      <c r="C110" s="919">
        <v>13.188420000000001</v>
      </c>
      <c r="D110" s="497">
        <f t="shared" si="9"/>
        <v>11.737693799999999</v>
      </c>
      <c r="E110" s="919">
        <v>49.6</v>
      </c>
      <c r="F110" s="923">
        <f t="shared" si="7"/>
        <v>44.144000000000005</v>
      </c>
      <c r="G110" s="922">
        <f t="shared" si="8"/>
        <v>0.87043572000000002</v>
      </c>
      <c r="H110" s="13"/>
      <c r="I110" s="1230" t="s">
        <v>1641</v>
      </c>
    </row>
    <row r="111" spans="1:9" ht="16.5" hidden="1">
      <c r="A111" s="177" t="s">
        <v>1617</v>
      </c>
      <c r="B111" s="919">
        <v>90.3</v>
      </c>
      <c r="C111" s="919">
        <v>12.476664</v>
      </c>
      <c r="D111" s="497">
        <f t="shared" si="9"/>
        <v>11.266427591999999</v>
      </c>
      <c r="E111" s="919">
        <v>12.2</v>
      </c>
      <c r="F111" s="923">
        <f t="shared" si="7"/>
        <v>11.016599999999999</v>
      </c>
      <c r="G111" s="922">
        <f t="shared" si="8"/>
        <v>0.82345982399999995</v>
      </c>
      <c r="H111" s="13"/>
      <c r="I111" s="1230" t="s">
        <v>1641</v>
      </c>
    </row>
    <row r="112" spans="1:9" ht="16.5" hidden="1">
      <c r="A112" s="177" t="s">
        <v>1618</v>
      </c>
      <c r="B112" s="919">
        <v>86.4</v>
      </c>
      <c r="C112" s="919">
        <v>14.23512</v>
      </c>
      <c r="D112" s="497">
        <f t="shared" si="9"/>
        <v>12.299143680000002</v>
      </c>
      <c r="E112" s="919">
        <v>40.299999999999997</v>
      </c>
      <c r="F112" s="923">
        <f t="shared" si="7"/>
        <v>34.819200000000002</v>
      </c>
      <c r="G112" s="922">
        <f t="shared" si="8"/>
        <v>0.93951792000000001</v>
      </c>
      <c r="H112" s="13"/>
      <c r="I112" s="1230" t="s">
        <v>1641</v>
      </c>
    </row>
    <row r="113" spans="1:9" ht="16.5" hidden="1">
      <c r="A113" s="177" t="s">
        <v>1619</v>
      </c>
      <c r="B113" s="919">
        <v>19.420000000000002</v>
      </c>
      <c r="C113" s="919">
        <v>9.5459040000000002</v>
      </c>
      <c r="D113" s="497">
        <f t="shared" si="9"/>
        <v>1.8538145568000002</v>
      </c>
      <c r="E113" s="919">
        <v>18.690000000000001</v>
      </c>
      <c r="F113" s="923">
        <f t="shared" si="7"/>
        <v>3.6295980000000001</v>
      </c>
      <c r="G113" s="922">
        <f t="shared" si="8"/>
        <v>0.63002966399999993</v>
      </c>
      <c r="H113" s="13"/>
      <c r="I113" s="1230" t="s">
        <v>1302</v>
      </c>
    </row>
    <row r="114" spans="1:9" ht="16.5" hidden="1">
      <c r="A114" s="177" t="s">
        <v>827</v>
      </c>
      <c r="B114" s="919">
        <v>96.27</v>
      </c>
      <c r="C114" s="919">
        <v>7.44</v>
      </c>
      <c r="D114" s="497">
        <f t="shared" si="9"/>
        <v>7.1624879999999997</v>
      </c>
      <c r="E114" s="919">
        <v>3.69</v>
      </c>
      <c r="F114" s="923">
        <f t="shared" si="7"/>
        <v>3.5523629999999997</v>
      </c>
      <c r="G114" s="922">
        <f t="shared" si="8"/>
        <v>0.49103999999999998</v>
      </c>
      <c r="H114" s="13"/>
      <c r="I114" s="1230" t="s">
        <v>1144</v>
      </c>
    </row>
    <row r="115" spans="1:9" ht="16.5" hidden="1">
      <c r="A115" s="177" t="s">
        <v>828</v>
      </c>
      <c r="B115" s="919">
        <v>74.3</v>
      </c>
      <c r="C115" s="919">
        <v>10.885680000000001</v>
      </c>
      <c r="D115" s="497">
        <f t="shared" si="9"/>
        <v>8.088060239999999</v>
      </c>
      <c r="E115" s="919">
        <v>5.8</v>
      </c>
      <c r="F115" s="923">
        <f t="shared" si="7"/>
        <v>4.3094000000000001</v>
      </c>
      <c r="G115" s="922">
        <f t="shared" si="8"/>
        <v>0.71845488000000002</v>
      </c>
      <c r="H115" s="13"/>
      <c r="I115" s="1230" t="s">
        <v>1149</v>
      </c>
    </row>
    <row r="116" spans="1:9" ht="16.5" hidden="1">
      <c r="A116" s="177" t="s">
        <v>1620</v>
      </c>
      <c r="B116" s="919">
        <v>29</v>
      </c>
      <c r="C116" s="919">
        <v>6.9</v>
      </c>
      <c r="D116" s="497">
        <f t="shared" si="9"/>
        <v>2.0010000000000003</v>
      </c>
      <c r="E116" s="919">
        <v>5.9</v>
      </c>
      <c r="F116" s="923">
        <f t="shared" si="7"/>
        <v>1.7110000000000003</v>
      </c>
      <c r="G116" s="922">
        <f t="shared" si="8"/>
        <v>0.45539999999999997</v>
      </c>
      <c r="H116" s="13"/>
      <c r="I116" s="1230" t="s">
        <v>1149</v>
      </c>
    </row>
    <row r="117" spans="1:9" ht="16.5" hidden="1">
      <c r="A117" s="177" t="s">
        <v>1621</v>
      </c>
      <c r="B117" s="919">
        <v>29</v>
      </c>
      <c r="C117" s="919">
        <v>6.9</v>
      </c>
      <c r="D117" s="497">
        <f t="shared" si="9"/>
        <v>2.0010000000000003</v>
      </c>
      <c r="E117" s="919">
        <v>5.9</v>
      </c>
      <c r="F117" s="923">
        <f t="shared" si="7"/>
        <v>1.7110000000000003</v>
      </c>
      <c r="G117" s="922">
        <f t="shared" si="8"/>
        <v>0.45539999999999997</v>
      </c>
      <c r="H117" s="13"/>
      <c r="I117" s="1230" t="s">
        <v>1144</v>
      </c>
    </row>
    <row r="118" spans="1:9" ht="16.5" hidden="1">
      <c r="A118" s="177" t="s">
        <v>1303</v>
      </c>
      <c r="B118" s="919">
        <v>85</v>
      </c>
      <c r="C118" s="919">
        <v>7</v>
      </c>
      <c r="D118" s="497">
        <f t="shared" si="9"/>
        <v>5.95</v>
      </c>
      <c r="E118" s="919">
        <v>5.5</v>
      </c>
      <c r="F118" s="923">
        <f t="shared" si="7"/>
        <v>4.6749999999999998</v>
      </c>
      <c r="G118" s="922">
        <f t="shared" si="8"/>
        <v>0.46199999999999997</v>
      </c>
      <c r="H118" s="13"/>
      <c r="I118" s="1230" t="s">
        <v>1144</v>
      </c>
    </row>
    <row r="119" spans="1:9" ht="16.5" hidden="1">
      <c r="A119" s="177" t="s">
        <v>1622</v>
      </c>
      <c r="B119" s="919">
        <v>94.9</v>
      </c>
      <c r="C119" s="919">
        <v>9.127224</v>
      </c>
      <c r="D119" s="497">
        <f t="shared" si="9"/>
        <v>8.6617355760000017</v>
      </c>
      <c r="E119" s="919">
        <v>17.899999999999999</v>
      </c>
      <c r="F119" s="923">
        <f t="shared" si="7"/>
        <v>16.987100000000002</v>
      </c>
      <c r="G119" s="922">
        <f t="shared" si="8"/>
        <v>0.60239678399999996</v>
      </c>
      <c r="H119" s="13"/>
      <c r="I119" s="1230" t="s">
        <v>1149</v>
      </c>
    </row>
    <row r="120" spans="1:9" ht="16.5" hidden="1">
      <c r="A120" s="177" t="s">
        <v>1623</v>
      </c>
      <c r="B120" s="919">
        <v>10.8</v>
      </c>
      <c r="C120" s="919">
        <v>10.01</v>
      </c>
      <c r="D120" s="497">
        <f t="shared" si="9"/>
        <v>1.08108</v>
      </c>
      <c r="E120" s="919">
        <v>19.399999999999999</v>
      </c>
      <c r="F120" s="923">
        <f t="shared" si="7"/>
        <v>2.0952000000000002</v>
      </c>
      <c r="G120" s="922">
        <f t="shared" si="8"/>
        <v>0.66065999999999991</v>
      </c>
      <c r="H120" s="13"/>
      <c r="I120" s="1230" t="s">
        <v>1642</v>
      </c>
    </row>
    <row r="121" spans="1:9" ht="16.5" hidden="1">
      <c r="A121" s="177" t="s">
        <v>1624</v>
      </c>
      <c r="B121" s="919">
        <v>59</v>
      </c>
      <c r="C121" s="919">
        <v>13.58</v>
      </c>
      <c r="D121" s="497">
        <f t="shared" si="9"/>
        <v>8.0122</v>
      </c>
      <c r="E121" s="919">
        <v>5.0999999999999996</v>
      </c>
      <c r="F121" s="923">
        <f t="shared" si="7"/>
        <v>3.0089999999999999</v>
      </c>
      <c r="G121" s="922">
        <f t="shared" si="8"/>
        <v>0.89627999999999997</v>
      </c>
      <c r="H121" s="13"/>
      <c r="I121" s="1230" t="s">
        <v>1642</v>
      </c>
    </row>
    <row r="122" spans="1:9" ht="16.5" hidden="1">
      <c r="A122" s="177" t="s">
        <v>1625</v>
      </c>
      <c r="B122" s="919">
        <v>87.1</v>
      </c>
      <c r="C122" s="919">
        <v>11.35</v>
      </c>
      <c r="D122" s="497">
        <f t="shared" si="9"/>
        <v>9.8858499999999996</v>
      </c>
      <c r="E122" s="919">
        <v>4.5999999999999996</v>
      </c>
      <c r="F122" s="923">
        <f t="shared" si="7"/>
        <v>4.0065999999999997</v>
      </c>
      <c r="G122" s="922">
        <f t="shared" si="8"/>
        <v>0.74909999999999999</v>
      </c>
      <c r="H122" s="13"/>
      <c r="I122" s="1230" t="s">
        <v>1642</v>
      </c>
    </row>
    <row r="123" spans="1:9" ht="16.5" hidden="1">
      <c r="A123" s="177" t="s">
        <v>1626</v>
      </c>
      <c r="B123" s="919">
        <v>10.8</v>
      </c>
      <c r="C123" s="919">
        <v>10.01</v>
      </c>
      <c r="D123" s="497">
        <f t="shared" si="9"/>
        <v>1.08108</v>
      </c>
      <c r="E123" s="919">
        <v>19.399999999999999</v>
      </c>
      <c r="F123" s="923">
        <f t="shared" si="7"/>
        <v>2.0952000000000002</v>
      </c>
      <c r="G123" s="922">
        <f t="shared" si="8"/>
        <v>0.66065999999999991</v>
      </c>
      <c r="H123" s="13"/>
      <c r="I123" s="1230" t="s">
        <v>1642</v>
      </c>
    </row>
    <row r="124" spans="1:9" ht="16.5" hidden="1">
      <c r="A124" s="177" t="s">
        <v>1627</v>
      </c>
      <c r="B124" s="919">
        <v>44.08</v>
      </c>
      <c r="C124" s="919">
        <v>7.43</v>
      </c>
      <c r="D124" s="497">
        <f t="shared" si="9"/>
        <v>3.2751439999999996</v>
      </c>
      <c r="E124" s="919">
        <v>21</v>
      </c>
      <c r="F124" s="923">
        <f t="shared" si="7"/>
        <v>9.2568000000000001</v>
      </c>
      <c r="G124" s="922">
        <f t="shared" si="8"/>
        <v>0.49037999999999998</v>
      </c>
      <c r="H124" s="13"/>
      <c r="I124" s="1230" t="s">
        <v>1643</v>
      </c>
    </row>
    <row r="125" spans="1:9" ht="16.5" hidden="1">
      <c r="A125" s="177" t="s">
        <v>1628</v>
      </c>
      <c r="B125" s="919">
        <v>15</v>
      </c>
      <c r="C125" s="919">
        <v>9.1</v>
      </c>
      <c r="D125" s="497">
        <f t="shared" si="9"/>
        <v>1.365</v>
      </c>
      <c r="E125" s="919">
        <v>22.5</v>
      </c>
      <c r="F125" s="923">
        <f t="shared" si="7"/>
        <v>3.375</v>
      </c>
      <c r="G125" s="922">
        <f t="shared" si="8"/>
        <v>0.60059999999999991</v>
      </c>
      <c r="H125" s="13"/>
      <c r="I125" s="1230" t="s">
        <v>1644</v>
      </c>
    </row>
    <row r="126" spans="1:9" ht="16.5">
      <c r="A126" s="499"/>
      <c r="B126" s="500"/>
      <c r="C126" s="500"/>
      <c r="D126" s="500"/>
      <c r="E126" s="500"/>
      <c r="F126" s="500"/>
      <c r="G126" s="500"/>
      <c r="I126" s="792"/>
    </row>
    <row r="127" spans="1:9" ht="16.5">
      <c r="A127" s="499"/>
      <c r="B127" s="500"/>
      <c r="C127" s="500"/>
      <c r="D127" s="500"/>
      <c r="E127" s="500"/>
      <c r="F127" s="500"/>
      <c r="G127" s="500"/>
      <c r="I127" s="792"/>
    </row>
    <row r="128" spans="1:9" ht="16.5">
      <c r="A128" s="499"/>
      <c r="B128" s="500"/>
      <c r="C128" s="500"/>
      <c r="D128" s="500"/>
      <c r="E128" s="500"/>
      <c r="F128" s="500"/>
      <c r="G128" s="500"/>
      <c r="I128" s="792"/>
    </row>
    <row r="129" spans="1:9" ht="16.5">
      <c r="A129" s="499"/>
      <c r="B129" s="500"/>
      <c r="C129" s="500"/>
      <c r="D129" s="500"/>
      <c r="E129" s="500"/>
      <c r="F129" s="500"/>
      <c r="G129" s="500"/>
      <c r="I129" s="792"/>
    </row>
    <row r="130" spans="1:9" ht="16.5">
      <c r="A130" s="499"/>
      <c r="B130" s="500"/>
      <c r="C130" s="500"/>
      <c r="D130" s="500"/>
      <c r="E130" s="500"/>
      <c r="F130" s="500"/>
      <c r="G130" s="500"/>
      <c r="I130" s="792"/>
    </row>
    <row r="131" spans="1:9" ht="16.5">
      <c r="A131" s="499"/>
      <c r="B131" s="500"/>
      <c r="C131" s="500"/>
      <c r="D131" s="500"/>
      <c r="E131" s="500"/>
      <c r="F131" s="500"/>
      <c r="G131" s="500"/>
      <c r="I131" s="792"/>
    </row>
    <row r="132" spans="1:9" ht="16.5">
      <c r="A132" s="499"/>
      <c r="B132" s="500"/>
      <c r="C132" s="500"/>
      <c r="D132" s="500"/>
      <c r="E132" s="500"/>
      <c r="F132" s="500"/>
      <c r="G132" s="500"/>
      <c r="I132" s="792"/>
    </row>
    <row r="133" spans="1:9" ht="16.5">
      <c r="A133" s="499"/>
      <c r="B133" s="500"/>
      <c r="C133" s="500"/>
      <c r="D133" s="500"/>
      <c r="E133" s="500"/>
      <c r="F133" s="500"/>
      <c r="G133" s="500"/>
      <c r="I133" s="792"/>
    </row>
    <row r="134" spans="1:9" ht="16.5">
      <c r="A134" s="499"/>
      <c r="B134" s="500"/>
      <c r="C134" s="500"/>
      <c r="D134" s="500"/>
      <c r="E134" s="500"/>
      <c r="F134" s="500"/>
      <c r="G134" s="500"/>
      <c r="I134" s="792"/>
    </row>
    <row r="135" spans="1:9" ht="16.5">
      <c r="A135" s="499"/>
      <c r="B135" s="500"/>
      <c r="C135" s="500"/>
      <c r="D135" s="500"/>
      <c r="E135" s="500"/>
      <c r="F135" s="500"/>
      <c r="G135" s="500"/>
      <c r="I135" s="792"/>
    </row>
    <row r="136" spans="1:9" ht="16.5">
      <c r="A136" s="499"/>
      <c r="B136" s="500"/>
      <c r="C136" s="500"/>
      <c r="D136" s="500"/>
      <c r="E136" s="500"/>
      <c r="F136" s="500"/>
      <c r="G136" s="500"/>
      <c r="I136" s="792"/>
    </row>
    <row r="137" spans="1:9" ht="16.5">
      <c r="A137" s="499"/>
      <c r="B137" s="500"/>
      <c r="C137" s="500"/>
      <c r="D137" s="500"/>
      <c r="E137" s="500"/>
      <c r="F137" s="500"/>
      <c r="G137" s="500"/>
      <c r="I137" s="792"/>
    </row>
    <row r="138" spans="1:9" ht="16.5">
      <c r="A138" s="499"/>
      <c r="B138" s="500"/>
      <c r="C138" s="500"/>
      <c r="D138" s="500"/>
      <c r="E138" s="500"/>
      <c r="F138" s="500"/>
      <c r="G138" s="500"/>
      <c r="I138" s="792"/>
    </row>
    <row r="139" spans="1:9" ht="16.5">
      <c r="A139" s="499"/>
      <c r="B139" s="500"/>
      <c r="C139" s="500"/>
      <c r="D139" s="500"/>
      <c r="E139" s="500"/>
      <c r="F139" s="500"/>
      <c r="G139" s="500"/>
      <c r="I139" s="792"/>
    </row>
    <row r="140" spans="1:9" ht="16.5">
      <c r="A140" s="499"/>
      <c r="B140" s="500"/>
      <c r="C140" s="500"/>
      <c r="D140" s="500"/>
      <c r="E140" s="500"/>
      <c r="F140" s="500"/>
      <c r="G140" s="500"/>
      <c r="I140" s="792"/>
    </row>
    <row r="141" spans="1:9" ht="16.5">
      <c r="A141" s="499"/>
      <c r="B141" s="500"/>
      <c r="C141" s="500"/>
      <c r="D141" s="500"/>
      <c r="E141" s="500"/>
      <c r="F141" s="500"/>
      <c r="G141" s="500"/>
      <c r="I141" s="792"/>
    </row>
    <row r="142" spans="1:9" ht="16.5">
      <c r="A142" s="499"/>
      <c r="B142" s="500"/>
      <c r="C142" s="500"/>
      <c r="D142" s="500"/>
      <c r="E142" s="500"/>
      <c r="F142" s="500"/>
      <c r="G142" s="500"/>
      <c r="I142" s="792"/>
    </row>
    <row r="143" spans="1:9" ht="16.5">
      <c r="A143" s="499"/>
      <c r="B143" s="500"/>
      <c r="C143" s="500"/>
      <c r="D143" s="500"/>
      <c r="E143" s="500"/>
      <c r="F143" s="500"/>
      <c r="G143" s="500"/>
      <c r="I143" s="792"/>
    </row>
    <row r="144" spans="1:9" ht="16.5">
      <c r="A144" s="499"/>
      <c r="B144" s="500"/>
      <c r="C144" s="500"/>
      <c r="D144" s="500"/>
      <c r="E144" s="500"/>
      <c r="F144" s="500"/>
      <c r="G144" s="500"/>
      <c r="I144" s="792"/>
    </row>
    <row r="145" spans="1:9" ht="16.5">
      <c r="A145" s="499"/>
      <c r="B145" s="500"/>
      <c r="C145" s="500"/>
      <c r="D145" s="500"/>
      <c r="E145" s="500"/>
      <c r="F145" s="500"/>
      <c r="G145" s="500"/>
      <c r="I145" s="792"/>
    </row>
    <row r="146" spans="1:9" ht="16.5">
      <c r="A146" s="499"/>
      <c r="B146" s="500"/>
      <c r="C146" s="500"/>
      <c r="D146" s="500"/>
      <c r="E146" s="500"/>
      <c r="F146" s="500"/>
      <c r="G146" s="500"/>
      <c r="I146" s="792"/>
    </row>
    <row r="147" spans="1:9" ht="16.5">
      <c r="A147" s="499"/>
      <c r="B147" s="500"/>
      <c r="C147" s="500"/>
      <c r="D147" s="500"/>
      <c r="E147" s="500"/>
      <c r="F147" s="500"/>
      <c r="G147" s="500"/>
      <c r="I147" s="792"/>
    </row>
    <row r="148" spans="1:9" ht="16.5">
      <c r="A148" s="499"/>
      <c r="B148" s="500"/>
      <c r="C148" s="500"/>
      <c r="D148" s="500"/>
      <c r="E148" s="500"/>
      <c r="F148" s="500"/>
      <c r="G148" s="500"/>
      <c r="I148" s="792"/>
    </row>
    <row r="149" spans="1:9" ht="16.5">
      <c r="A149" s="499"/>
      <c r="B149" s="500"/>
      <c r="C149" s="500"/>
      <c r="D149" s="500"/>
      <c r="E149" s="500"/>
      <c r="F149" s="500"/>
      <c r="G149" s="500"/>
      <c r="I149" s="792"/>
    </row>
    <row r="150" spans="1:9" ht="16.5">
      <c r="A150" s="499"/>
      <c r="B150" s="500"/>
      <c r="C150" s="500"/>
      <c r="D150" s="500"/>
      <c r="E150" s="500"/>
      <c r="F150" s="500"/>
      <c r="G150" s="500"/>
      <c r="I150" s="792"/>
    </row>
    <row r="151" spans="1:9" ht="16.5">
      <c r="A151" s="499"/>
      <c r="B151" s="500"/>
      <c r="C151" s="500"/>
      <c r="D151" s="500"/>
      <c r="E151" s="500"/>
      <c r="F151" s="500"/>
      <c r="G151" s="500"/>
      <c r="I151" s="792"/>
    </row>
    <row r="152" spans="1:9" ht="16.5">
      <c r="A152" s="499"/>
      <c r="B152" s="500"/>
      <c r="C152" s="500"/>
      <c r="D152" s="500"/>
      <c r="E152" s="500"/>
      <c r="F152" s="500"/>
      <c r="G152" s="500"/>
      <c r="I152" s="792"/>
    </row>
  </sheetData>
  <sheetProtection selectLockedCells="1"/>
  <pageMargins left="0.75" right="0.75" top="1" bottom="1" header="0.5" footer="0.5"/>
  <pageSetup paperSize="9" scale="44" orientation="landscape" r:id="rId1"/>
  <ignoredErrors>
    <ignoredError sqref="F3:F73" calculatedColumn="1"/>
  </ignoredErrors>
  <drawing r:id="rId2"/>
  <legacyDrawing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38"/>
  <sheetViews>
    <sheetView topLeftCell="A7" zoomScale="70" zoomScaleNormal="70" workbookViewId="0">
      <selection activeCell="E30" sqref="E30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21.375" style="590" customWidth="1"/>
  </cols>
  <sheetData>
    <row r="1" spans="1:38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586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</row>
    <row r="2" spans="1:38" ht="16.5" thickBot="1">
      <c r="A2" s="376" t="s">
        <v>1146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586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</row>
    <row r="3" spans="1:38" s="156" customFormat="1" ht="63.75" thickBot="1">
      <c r="A3" s="529"/>
      <c r="B3" s="530"/>
      <c r="C3" s="530"/>
      <c r="D3" s="530"/>
      <c r="E3" s="530"/>
      <c r="F3" s="531" t="s">
        <v>969</v>
      </c>
      <c r="G3" s="532">
        <f>INPUTS!D49/365</f>
        <v>0.60821917808219184</v>
      </c>
      <c r="H3" s="533"/>
      <c r="I3" s="530"/>
      <c r="J3" s="530"/>
      <c r="K3" s="530"/>
      <c r="L3" s="534"/>
      <c r="M3" s="530"/>
      <c r="N3" s="535"/>
      <c r="O3" s="531" t="s">
        <v>968</v>
      </c>
      <c r="P3" s="532">
        <f>INPUTS!O49/365</f>
        <v>0.39178082191780822</v>
      </c>
      <c r="Q3" s="530"/>
      <c r="R3" s="530"/>
      <c r="S3" s="530"/>
      <c r="T3" s="530"/>
      <c r="U3" s="505"/>
      <c r="V3" s="588"/>
    </row>
    <row r="4" spans="1:38" s="147" customFormat="1" ht="16.5" thickBot="1">
      <c r="H4" s="231"/>
      <c r="L4" s="232"/>
      <c r="U4" s="230"/>
      <c r="V4" s="586"/>
    </row>
    <row r="5" spans="1:38" s="147" customFormat="1" ht="32.25" thickBot="1">
      <c r="B5" s="272"/>
      <c r="C5" s="272"/>
      <c r="D5" s="272"/>
      <c r="E5" s="377" t="s">
        <v>966</v>
      </c>
      <c r="F5" s="378"/>
      <c r="G5" s="378"/>
      <c r="H5" s="378"/>
      <c r="I5" s="378"/>
      <c r="J5" s="378"/>
      <c r="K5" s="378"/>
      <c r="L5" s="379"/>
      <c r="M5" s="389"/>
      <c r="N5" s="378" t="s">
        <v>967</v>
      </c>
      <c r="O5" s="378"/>
      <c r="P5" s="378"/>
      <c r="Q5" s="378"/>
      <c r="R5" s="378"/>
      <c r="S5" s="378"/>
      <c r="T5" s="378"/>
      <c r="U5" s="379"/>
      <c r="V5" s="593" t="s">
        <v>1219</v>
      </c>
    </row>
    <row r="6" spans="1:38" s="147" customFormat="1" ht="94.5">
      <c r="B6" s="517"/>
      <c r="C6" s="538"/>
      <c r="D6" s="518"/>
      <c r="E6" s="780" t="str">
        <f>INPUTS!B52</f>
        <v>Concentrate (commercial)</v>
      </c>
      <c r="F6" s="778" t="str">
        <f>INPUTS!B53</f>
        <v xml:space="preserve">Naturally occuring pasture - green fodder </v>
      </c>
      <c r="G6" s="778" t="str">
        <f>INPUTS!B54</f>
        <v>Maize (Zea mays)-stover</v>
      </c>
      <c r="H6" s="779" t="str">
        <f>INPUTS!B55</f>
        <v>Guatemala grass (Tripsacum andersonii) - forage</v>
      </c>
      <c r="I6" s="778" t="str">
        <f>INPUTS!B56</f>
        <v>Rhodes grass (Chloris gayana) - forage</v>
      </c>
      <c r="J6" s="778" t="str">
        <f>INPUTS!B57</f>
        <v>Napier grass (Pennisetum purpureum) - forage</v>
      </c>
      <c r="K6" s="778" t="str">
        <f>INPUTS!B58</f>
        <v>N/A</v>
      </c>
      <c r="L6" s="637" t="s">
        <v>832</v>
      </c>
      <c r="M6" s="382"/>
      <c r="N6" s="939" t="str">
        <f>E6</f>
        <v>Concentrate (commercial)</v>
      </c>
      <c r="O6" s="939" t="str">
        <f t="shared" ref="O6:T6" si="0">F6</f>
        <v xml:space="preserve">Naturally occuring pasture - green fodder </v>
      </c>
      <c r="P6" s="939" t="str">
        <f t="shared" si="0"/>
        <v>Maize (Zea mays)-stover</v>
      </c>
      <c r="Q6" s="939" t="str">
        <f t="shared" si="0"/>
        <v>Guatemala grass (Tripsacum andersonii) - forage</v>
      </c>
      <c r="R6" s="939" t="str">
        <f t="shared" si="0"/>
        <v>Rhodes grass (Chloris gayana) - forage</v>
      </c>
      <c r="S6" s="939" t="str">
        <f t="shared" si="0"/>
        <v>Napier grass (Pennisetum purpureum) - forage</v>
      </c>
      <c r="T6" s="939" t="str">
        <f t="shared" si="0"/>
        <v>N/A</v>
      </c>
      <c r="U6" s="390" t="s">
        <v>832</v>
      </c>
      <c r="V6" s="586"/>
    </row>
    <row r="7" spans="1:38" s="304" customFormat="1" ht="32.25" customHeight="1">
      <c r="B7" s="519" t="str">
        <f>INPUTS!C18</f>
        <v>Cows - local</v>
      </c>
      <c r="C7" s="539"/>
      <c r="D7" s="520" t="s">
        <v>1214</v>
      </c>
      <c r="E7" s="380">
        <f>INPUTS!C52</f>
        <v>0</v>
      </c>
      <c r="F7" s="305">
        <f>INPUTS!C53</f>
        <v>0</v>
      </c>
      <c r="G7" s="305">
        <f>INPUTS!C54</f>
        <v>0</v>
      </c>
      <c r="H7" s="306">
        <f>INPUTS!C55</f>
        <v>0</v>
      </c>
      <c r="I7" s="305">
        <f>INPUTS!C56</f>
        <v>0</v>
      </c>
      <c r="J7" s="305">
        <f>INPUTS!C57</f>
        <v>0</v>
      </c>
      <c r="K7" s="305">
        <f>INPUTS!C58</f>
        <v>0</v>
      </c>
      <c r="L7" s="381"/>
      <c r="M7" s="582" t="s">
        <v>1214</v>
      </c>
      <c r="N7" s="305">
        <f>INPUTS!M52</f>
        <v>0</v>
      </c>
      <c r="O7" s="305">
        <f>INPUTS!M53</f>
        <v>0</v>
      </c>
      <c r="P7" s="305">
        <f>INPUTS!M54</f>
        <v>0</v>
      </c>
      <c r="Q7" s="305">
        <f>INPUTS!M55</f>
        <v>0</v>
      </c>
      <c r="R7" s="305">
        <f>INPUTS!M56</f>
        <v>0</v>
      </c>
      <c r="S7" s="305">
        <f>INPUTS!M57</f>
        <v>0</v>
      </c>
      <c r="T7" s="305">
        <f>INPUTS!M58</f>
        <v>0</v>
      </c>
      <c r="U7" s="391"/>
      <c r="V7" s="589"/>
    </row>
    <row r="8" spans="1:38" s="499" customFormat="1">
      <c r="B8" s="521"/>
      <c r="C8" s="540"/>
      <c r="D8" s="522" t="s">
        <v>833</v>
      </c>
      <c r="E8" s="395">
        <f>VLOOKUP(E6,'Feed parameters'!$A$2:$G$200,6, FALSE)</f>
        <v>14.4</v>
      </c>
      <c r="F8" s="506">
        <f>VLOOKUP(F6,'Feed parameters'!$A$2:$G$200,6,FALSE )</f>
        <v>4.3899999999999997</v>
      </c>
      <c r="G8" s="506">
        <f>VLOOKUP(INPUTS!B54,'Feed parameters'!$A$2:$G$200,6, FALSE)</f>
        <v>6.8</v>
      </c>
      <c r="H8" s="507">
        <f>VLOOKUP(INPUTS!B55,'Feed parameters'!$A$2:$G$200,6, FALSE)</f>
        <v>8.8000000000000007</v>
      </c>
      <c r="I8" s="506">
        <f>VLOOKUP(INPUTS!B56,'Feed parameters'!$A$2:$G$200,6, FALSE)</f>
        <v>9</v>
      </c>
      <c r="J8" s="506">
        <f>VLOOKUP(INPUTS!B57,'Feed parameters'!$A$2:$G$200,6, FALSE)</f>
        <v>9.5</v>
      </c>
      <c r="K8" s="506">
        <f>VLOOKUP(INPUTS!B58,'Feed parameters'!$A$2:$G$200,6, FALSE)</f>
        <v>0</v>
      </c>
      <c r="L8" s="508">
        <f>IFERROR(SUMPRODUCT(E7:K7,E8:K8)/ SUM(E7:K7), 0)</f>
        <v>0</v>
      </c>
      <c r="M8" s="395" t="s">
        <v>833</v>
      </c>
      <c r="N8" s="755">
        <f>VLOOKUP(N6, 'Feed parameters'!$A$2:$G$200,6, FALSE)</f>
        <v>14.4</v>
      </c>
      <c r="O8" s="755">
        <f>VLOOKUP(O6,'Feed parameters'!$A$2:$G$200,6, FALSE)</f>
        <v>4.3899999999999997</v>
      </c>
      <c r="P8" s="755">
        <f>VLOOKUP(P6, 'Feed parameters'!$A$2:$G$200,6, FALSE)</f>
        <v>6.8</v>
      </c>
      <c r="Q8" s="755">
        <f>VLOOKUP(Q6, 'Feed parameters'!$A$2:$G$200,6, FALSE)</f>
        <v>8.8000000000000007</v>
      </c>
      <c r="R8" s="755">
        <f>VLOOKUP(R6, 'Feed parameters'!$A$2:$G$200,6, FALSE)</f>
        <v>9</v>
      </c>
      <c r="S8" s="755">
        <f>VLOOKUP(S6, 'Feed parameters'!$A$2:$G$200,6, FALSE)</f>
        <v>9.5</v>
      </c>
      <c r="T8" s="755">
        <f>VLOOKUP(T6, 'Feed parameters'!$A$2:$G$200,6, FALSE)</f>
        <v>0</v>
      </c>
      <c r="U8" s="509">
        <f>IFERROR(SUMPRODUCT(N7:T7,N8:T8)/ SUM(N7:T7), 0)</f>
        <v>0</v>
      </c>
      <c r="V8" s="592">
        <f>L8*$G$3+U8*$P$3</f>
        <v>0</v>
      </c>
      <c r="W8" s="500" t="e">
        <f>L8*$G$3/(L11*0.01)+U8*$P$3/(U11*0.01)</f>
        <v>#DIV/0!</v>
      </c>
    </row>
    <row r="9" spans="1:38" s="147" customFormat="1">
      <c r="B9" s="521"/>
      <c r="C9" s="540"/>
      <c r="D9" s="522" t="s">
        <v>834</v>
      </c>
      <c r="E9" s="382">
        <f>VLOOKUP(E6,'Feed parameters'!$A$2:$G$200,7, FALSE)</f>
        <v>0.79859999999999998</v>
      </c>
      <c r="F9" s="273">
        <f>VLOOKUP(INPUTS!B53,'Feed parameters'!$A$2:$G$200,7, FALSE)</f>
        <v>0.44</v>
      </c>
      <c r="G9" s="273">
        <f>VLOOKUP(INPUTS!B54,'Feed parameters'!$A$2:$G$200,7, FALSE)</f>
        <v>0.49</v>
      </c>
      <c r="H9" s="274">
        <f>VLOOKUP(INPUTS!B55,'Feed parameters'!$A$2:$G$200,7, FALSE)</f>
        <v>0.56999999999999995</v>
      </c>
      <c r="I9" s="273">
        <f>VLOOKUP(INPUTS!B56,'Feed parameters'!$A$2:$G$200,7, FALSE)</f>
        <v>0.57999999999999996</v>
      </c>
      <c r="J9" s="273">
        <f>VLOOKUP(INPUTS!B57,'Feed parameters'!$A$2:$G$200,7, FALSE)</f>
        <v>0.61</v>
      </c>
      <c r="K9" s="273">
        <f>VLOOKUP(INPUTS!B58,'Feed parameters'!$A$2:$G$200,7, FALSE)</f>
        <v>0</v>
      </c>
      <c r="L9" s="383">
        <f>IFERROR(SUMPRODUCT(E7:K7,E9:K9)/ SUM(E7:K7), 0)</f>
        <v>0</v>
      </c>
      <c r="M9" s="395" t="s">
        <v>834</v>
      </c>
      <c r="N9" s="755">
        <f>VLOOKUP(N6, 'Feed parameters'!$A$2:$G$200,7, FALSE)</f>
        <v>0.79859999999999998</v>
      </c>
      <c r="O9" s="755">
        <f>VLOOKUP(O6,'Feed parameters'!$A$2:$G$200,7, FALSE)</f>
        <v>0.44</v>
      </c>
      <c r="P9" s="755">
        <f>VLOOKUP(P6, 'Feed parameters'!$A$2:$G$200,7, FALSE)</f>
        <v>0.49</v>
      </c>
      <c r="Q9" s="755">
        <f>VLOOKUP(Q6, 'Feed parameters'!$A$2:$G$200,7, FALSE)</f>
        <v>0.56999999999999995</v>
      </c>
      <c r="R9" s="755">
        <f>VLOOKUP(R6, 'Feed parameters'!$A$2:$G$200,7, FALSE)</f>
        <v>0.57999999999999996</v>
      </c>
      <c r="S9" s="755">
        <f>VLOOKUP(S6, 'Feed parameters'!$A$2:$G$200,7, FALSE)</f>
        <v>0.61</v>
      </c>
      <c r="T9" s="755">
        <f>VLOOKUP(T6, 'Feed parameters'!$A$2:$G$200,7, FALSE)</f>
        <v>0</v>
      </c>
      <c r="U9" s="392">
        <f>IFERROR(SUMPRODUCT(N7:T7,N9:T9)/ SUM(N7:T7), 0)</f>
        <v>0</v>
      </c>
      <c r="V9" s="592">
        <f>L9*$G$3+U9*$P$3</f>
        <v>0</v>
      </c>
    </row>
    <row r="10" spans="1:38" s="147" customFormat="1">
      <c r="B10" s="521"/>
      <c r="C10" s="540"/>
      <c r="D10" s="522" t="s">
        <v>925</v>
      </c>
      <c r="E10" s="382">
        <f>VLOOKUP(E6,'Feed parameters'!$A$2:$G$200,4, FALSE)</f>
        <v>10.89</v>
      </c>
      <c r="F10" s="273">
        <f>VLOOKUP(INPUTS!B53,'Feed parameters'!A2:D73,4, FALSE)</f>
        <v>4.7</v>
      </c>
      <c r="G10" s="273">
        <f>VLOOKUP(INPUTS!B54,'Feed parameters'!$A$2:$G$200,4, FALSE)</f>
        <v>8.4</v>
      </c>
      <c r="H10" s="274">
        <f>VLOOKUP(INPUTS!B55,'Feed parameters'!$A$2:$G$200,4, FALSE)</f>
        <v>8.4</v>
      </c>
      <c r="I10" s="273">
        <f>VLOOKUP(INPUTS!B56,'Feed parameters'!$A$2:$G$200,4, FALSE)</f>
        <v>8.5</v>
      </c>
      <c r="J10" s="273">
        <f>VLOOKUP(INPUTS!B57,'Feed parameters'!$A$2:$G$200,4, FALSE)</f>
        <v>1.4821271999999999</v>
      </c>
      <c r="K10" s="273">
        <f>VLOOKUP(INPUTS!B58,'Feed parameters'!$A$2:$G$200,4, FALSE)</f>
        <v>0</v>
      </c>
      <c r="L10" s="383">
        <f>IFERROR(SUMPRODUCT(E7:K7,E10:K10)/ SUM(E7:K7), 0)</f>
        <v>0</v>
      </c>
      <c r="M10" s="395" t="s">
        <v>925</v>
      </c>
      <c r="N10" s="755">
        <f>VLOOKUP(N6, 'Feed parameters'!$A$2:$G$200,4, FALSE)</f>
        <v>10.89</v>
      </c>
      <c r="O10" s="755">
        <f>VLOOKUP(O6,'Feed parameters'!$A$2:$G$200,4, FALSE)</f>
        <v>4.7</v>
      </c>
      <c r="P10" s="755">
        <f>VLOOKUP(P6, 'Feed parameters'!$A$2:$G$200,4, FALSE)</f>
        <v>8.4</v>
      </c>
      <c r="Q10" s="755">
        <f>VLOOKUP(Q6, 'Feed parameters'!$A$2:$G$200,4, FALSE)</f>
        <v>8.4</v>
      </c>
      <c r="R10" s="755">
        <f>VLOOKUP(R6, 'Feed parameters'!$A$2:$G$200,4, FALSE)</f>
        <v>8.5</v>
      </c>
      <c r="S10" s="755">
        <f>VLOOKUP(S6, 'Feed parameters'!$A$2:$G$200,4, FALSE)</f>
        <v>1.4821271999999999</v>
      </c>
      <c r="T10" s="755">
        <f>VLOOKUP(T6, 'Feed parameters'!$A$2:$G$200,4, FALSE)</f>
        <v>0</v>
      </c>
      <c r="U10" s="392">
        <f>IFERROR(SUMPRODUCT(N7:T7,N10:T10)/ SUM(N7:T7), 0)</f>
        <v>0</v>
      </c>
      <c r="V10" s="592"/>
    </row>
    <row r="11" spans="1:38" s="147" customFormat="1">
      <c r="B11" s="521"/>
      <c r="C11" s="540"/>
      <c r="D11" s="522" t="s">
        <v>1197</v>
      </c>
      <c r="E11" s="382">
        <f>VLOOKUP(E6,'Feed parameters'!$A$2:$G$200,2, FALSE)</f>
        <v>90</v>
      </c>
      <c r="F11" s="273">
        <f>VLOOKUP(INPUTS!B53,'Feed parameters'!$A$2:$G$200,2, FALSE)</f>
        <v>29.05</v>
      </c>
      <c r="G11" s="273">
        <f>VLOOKUP(INPUTS!B54,'Feed parameters'!$A$2:$G$200,2, FALSE)</f>
        <v>87</v>
      </c>
      <c r="H11" s="274">
        <f>VLOOKUP(INPUTS!B55,'Feed parameters'!$A$2:$G$200,2, FALSE)</f>
        <v>22</v>
      </c>
      <c r="I11" s="273">
        <f>VLOOKUP(INPUTS!B56,'Feed parameters'!$A$2:$G$200,2, FALSE)</f>
        <v>24.9</v>
      </c>
      <c r="J11" s="273">
        <f>VLOOKUP(INPUTS!B57,'Feed parameters'!$A$2:$G$200,2, FALSE)</f>
        <v>15</v>
      </c>
      <c r="K11" s="273">
        <f>VLOOKUP(INPUTS!B58,'Feed parameters'!$A$2:$G$200,2, FALSE)</f>
        <v>0</v>
      </c>
      <c r="L11" s="383">
        <f>IFERROR(SUMPRODUCT(E7:K7,E11:K11)/ SUM(E7:K7), 0)</f>
        <v>0</v>
      </c>
      <c r="M11" s="566" t="s">
        <v>1197</v>
      </c>
      <c r="N11" s="755">
        <f>VLOOKUP(N6,'Feed parameters'!$A$2:$G$200,2, FALSE)</f>
        <v>90</v>
      </c>
      <c r="O11" s="755">
        <f>VLOOKUP(O6,'Feed parameters'!$A$2:$G$200,2, FALSE)</f>
        <v>29.05</v>
      </c>
      <c r="P11" s="755">
        <f>VLOOKUP(P6,'Feed parameters'!$A$2:$G$200,2, FALSE)</f>
        <v>87</v>
      </c>
      <c r="Q11" s="755">
        <f>VLOOKUP(Q6,'Feed parameters'!$A$2:$G$200,2, FALSE)</f>
        <v>22</v>
      </c>
      <c r="R11" s="755">
        <f>VLOOKUP(R6,'Feed parameters'!$A$2:$G$200,2, FALSE)</f>
        <v>24.9</v>
      </c>
      <c r="S11" s="755">
        <f>VLOOKUP(S6,'Feed parameters'!$A$2:$G$200,2, FALSE)</f>
        <v>15</v>
      </c>
      <c r="T11" s="755">
        <f>VLOOKUP(T6,'Feed parameters'!$A$2:$G$200,2, FALSE)</f>
        <v>0</v>
      </c>
      <c r="U11" s="392">
        <f>IFERROR(SUMPRODUCT(N7:T7,N11:T11)/ SUM(N7:T7), 0)</f>
        <v>0</v>
      </c>
      <c r="V11" s="592">
        <f>L11*$G$3+U11*$P$3</f>
        <v>0</v>
      </c>
    </row>
    <row r="12" spans="1:38" s="147" customFormat="1">
      <c r="B12" s="521"/>
      <c r="C12" s="540"/>
      <c r="D12" s="522" t="s">
        <v>1215</v>
      </c>
      <c r="E12" s="382">
        <f t="shared" ref="E12:K12" si="1">IFERROR((E7*E11)/SUMPRODUCT($E7:$K7,$E11:$K11), 0)</f>
        <v>0</v>
      </c>
      <c r="F12" s="273">
        <f t="shared" si="1"/>
        <v>0</v>
      </c>
      <c r="G12" s="273">
        <f t="shared" si="1"/>
        <v>0</v>
      </c>
      <c r="H12" s="273">
        <f t="shared" si="1"/>
        <v>0</v>
      </c>
      <c r="I12" s="273">
        <f t="shared" si="1"/>
        <v>0</v>
      </c>
      <c r="J12" s="273">
        <f t="shared" si="1"/>
        <v>0</v>
      </c>
      <c r="K12" s="273">
        <f t="shared" si="1"/>
        <v>0</v>
      </c>
      <c r="L12" s="383"/>
      <c r="M12" s="566" t="s">
        <v>1215</v>
      </c>
      <c r="N12" s="273">
        <f t="shared" ref="N12:T12" si="2">IFERROR((N7*N11)/SUMPRODUCT($N7:$T7,$N11:$T11), 0)</f>
        <v>0</v>
      </c>
      <c r="O12" s="273">
        <f t="shared" si="2"/>
        <v>0</v>
      </c>
      <c r="P12" s="273">
        <f t="shared" si="2"/>
        <v>0</v>
      </c>
      <c r="Q12" s="273">
        <f t="shared" si="2"/>
        <v>0</v>
      </c>
      <c r="R12" s="273">
        <f t="shared" si="2"/>
        <v>0</v>
      </c>
      <c r="S12" s="273">
        <f t="shared" si="2"/>
        <v>0</v>
      </c>
      <c r="T12" s="273">
        <f t="shared" si="2"/>
        <v>0</v>
      </c>
      <c r="U12" s="392"/>
      <c r="V12" s="592"/>
    </row>
    <row r="13" spans="1:38" s="147" customFormat="1">
      <c r="B13" s="521"/>
      <c r="C13" s="540"/>
      <c r="D13" s="522"/>
      <c r="E13" s="382"/>
      <c r="F13" s="273"/>
      <c r="G13" s="273"/>
      <c r="H13" s="274"/>
      <c r="I13" s="273"/>
      <c r="J13" s="273"/>
      <c r="K13" s="273"/>
      <c r="L13" s="383"/>
      <c r="M13" s="395"/>
      <c r="N13" s="273"/>
      <c r="O13" s="273"/>
      <c r="P13" s="273"/>
      <c r="Q13" s="273"/>
      <c r="R13" s="273"/>
      <c r="S13" s="273"/>
      <c r="T13" s="273"/>
      <c r="U13" s="392"/>
      <c r="V13" s="592"/>
    </row>
    <row r="14" spans="1:38" s="304" customFormat="1">
      <c r="B14" s="519" t="str">
        <f>INPUTS!C19</f>
        <v>Cows - improved</v>
      </c>
      <c r="C14" s="539"/>
      <c r="D14" s="520" t="s">
        <v>1214</v>
      </c>
      <c r="E14" s="380">
        <f>INPUTS!D52</f>
        <v>0.05</v>
      </c>
      <c r="F14" s="305">
        <f>INPUTS!D53</f>
        <v>0.36</v>
      </c>
      <c r="G14" s="305">
        <f>INPUTS!D54</f>
        <v>0.02</v>
      </c>
      <c r="H14" s="306">
        <f>INPUTS!D55</f>
        <v>0.05</v>
      </c>
      <c r="I14" s="305">
        <f>INPUTS!D56</f>
        <v>0.37</v>
      </c>
      <c r="J14" s="305">
        <f>INPUTS!D57</f>
        <v>0.15</v>
      </c>
      <c r="K14" s="305">
        <f>INPUTS!D58</f>
        <v>0</v>
      </c>
      <c r="L14" s="381"/>
      <c r="M14" s="582" t="s">
        <v>1214</v>
      </c>
      <c r="N14" s="305">
        <f>INPUTS!N52</f>
        <v>0.08</v>
      </c>
      <c r="O14" s="305">
        <f>INPUTS!N53</f>
        <v>0.2</v>
      </c>
      <c r="P14" s="305">
        <f>INPUTS!N54</f>
        <v>0.15</v>
      </c>
      <c r="Q14" s="305">
        <f>INPUTS!N55</f>
        <v>0.3</v>
      </c>
      <c r="R14" s="305">
        <f>INPUTS!N56</f>
        <v>0.19</v>
      </c>
      <c r="S14" s="305">
        <f>INPUTS!N57</f>
        <v>0.08</v>
      </c>
      <c r="T14" s="305">
        <f>INPUTS!N58</f>
        <v>0</v>
      </c>
      <c r="U14" s="391"/>
      <c r="V14" s="591"/>
    </row>
    <row r="15" spans="1:38" s="147" customFormat="1">
      <c r="B15" s="521"/>
      <c r="C15" s="540"/>
      <c r="D15" s="522" t="s">
        <v>833</v>
      </c>
      <c r="E15" s="382">
        <f>VLOOKUP(E6,'Feed parameters'!$A$2:$G$200,6, FALSE)</f>
        <v>14.4</v>
      </c>
      <c r="F15" s="273">
        <f>VLOOKUP(F6,'Feed parameters'!$A$2:$G$200,6, FALSE)</f>
        <v>4.3899999999999997</v>
      </c>
      <c r="G15" s="273">
        <f>VLOOKUP(G6,'Feed parameters'!$A$2:$G$200,6, FALSE)</f>
        <v>6.8</v>
      </c>
      <c r="H15" s="274">
        <f>VLOOKUP(H6,'Feed parameters'!$A$2:$G$200,6, FALSE)</f>
        <v>8.8000000000000007</v>
      </c>
      <c r="I15" s="273">
        <f>VLOOKUP(I6,'Feed parameters'!$A$2:$G$200,6, FALSE)</f>
        <v>9</v>
      </c>
      <c r="J15" s="273">
        <f>VLOOKUP(J6,'Feed parameters'!$A$2:$G$200,6, FALSE)</f>
        <v>9.5</v>
      </c>
      <c r="K15" s="273">
        <f>VLOOKUP(K6,'Feed parameters'!$A$2:$G$200,6, FALSE)</f>
        <v>0</v>
      </c>
      <c r="L15" s="383">
        <f>IFERROR(SUMPRODUCT(E14:K14,E15:K15)/ SUM(E14:K14), 0)</f>
        <v>7.6314000000000002</v>
      </c>
      <c r="M15" s="395" t="s">
        <v>833</v>
      </c>
      <c r="N15" s="755">
        <f>N8</f>
        <v>14.4</v>
      </c>
      <c r="O15" s="755">
        <f t="shared" ref="O15:T15" si="3">O8</f>
        <v>4.3899999999999997</v>
      </c>
      <c r="P15" s="755">
        <f t="shared" si="3"/>
        <v>6.8</v>
      </c>
      <c r="Q15" s="755">
        <f t="shared" si="3"/>
        <v>8.8000000000000007</v>
      </c>
      <c r="R15" s="755">
        <f t="shared" si="3"/>
        <v>9</v>
      </c>
      <c r="S15" s="755">
        <f t="shared" si="3"/>
        <v>9.5</v>
      </c>
      <c r="T15" s="755">
        <f t="shared" si="3"/>
        <v>0</v>
      </c>
      <c r="U15" s="392">
        <f>IFERROR(SUMPRODUCT(N14:T14,N15:T15)/ SUM(N14:T14), 0)</f>
        <v>8.1600000000000019</v>
      </c>
      <c r="V15" s="592">
        <f>L15*$G$3+U15*$P$3</f>
        <v>7.8384953424657553</v>
      </c>
      <c r="W15" s="500">
        <f>L15*$G$3/(L18*0.01)+U15*$P$3/(U18*0.01)</f>
        <v>24.146766387664318</v>
      </c>
    </row>
    <row r="16" spans="1:38" s="147" customFormat="1">
      <c r="B16" s="521"/>
      <c r="C16" s="540"/>
      <c r="D16" s="522" t="s">
        <v>834</v>
      </c>
      <c r="E16" s="382">
        <f>VLOOKUP(E6,'Feed parameters'!$A$2:$G$200,7,FALSE)</f>
        <v>0.79859999999999998</v>
      </c>
      <c r="F16" s="273">
        <f>VLOOKUP(F6,'Feed parameters'!$A$2:$G$200,7,FALSE)</f>
        <v>0.44</v>
      </c>
      <c r="G16" s="273">
        <f>VLOOKUP(G6,'Feed parameters'!$A$2:$G$200,7,FALSE)</f>
        <v>0.49</v>
      </c>
      <c r="H16" s="274">
        <f>VLOOKUP(H6,'Feed parameters'!$A$2:$G$200,7,FALSE)</f>
        <v>0.56999999999999995</v>
      </c>
      <c r="I16" s="273">
        <f>VLOOKUP(I6,'Feed parameters'!$A$2:$G$200,7,FALSE)</f>
        <v>0.57999999999999996</v>
      </c>
      <c r="J16" s="273">
        <f>VLOOKUP(J6,'Feed parameters'!$A$2:$G$200,7,FALSE)</f>
        <v>0.61</v>
      </c>
      <c r="K16" s="273">
        <f>VLOOKUP(K6,'Feed parameters'!$A$2:$G$200,7,FALSE)</f>
        <v>0</v>
      </c>
      <c r="L16" s="383">
        <f>IFERROR(SUMPRODUCT(E14:K14,E16:K16)/ SUM(E14:K14), 0)</f>
        <v>0.54272999999999993</v>
      </c>
      <c r="M16" s="395" t="s">
        <v>834</v>
      </c>
      <c r="N16" s="755">
        <f t="shared" ref="N16:T18" si="4">N9</f>
        <v>0.79859999999999998</v>
      </c>
      <c r="O16" s="755">
        <f t="shared" si="4"/>
        <v>0.44</v>
      </c>
      <c r="P16" s="755">
        <f t="shared" si="4"/>
        <v>0.49</v>
      </c>
      <c r="Q16" s="755">
        <f t="shared" si="4"/>
        <v>0.56999999999999995</v>
      </c>
      <c r="R16" s="755">
        <f t="shared" si="4"/>
        <v>0.57999999999999996</v>
      </c>
      <c r="S16" s="755">
        <f t="shared" si="4"/>
        <v>0.61</v>
      </c>
      <c r="T16" s="755">
        <f t="shared" si="4"/>
        <v>0</v>
      </c>
      <c r="U16" s="392">
        <f>IFERROR(SUMPRODUCT(N14:T14,N16:T16)/ SUM(N14:T14), 0)</f>
        <v>0.5553880000000001</v>
      </c>
      <c r="V16" s="592">
        <f>L16*$G$3+U16*$P$3</f>
        <v>0.54768916164383563</v>
      </c>
    </row>
    <row r="17" spans="1:23" s="147" customFormat="1">
      <c r="B17" s="521"/>
      <c r="C17" s="540"/>
      <c r="D17" s="522" t="s">
        <v>925</v>
      </c>
      <c r="E17" s="382">
        <f>VLOOKUP(E6,'Feed parameters'!$A$2:$G$200,4, FALSE)</f>
        <v>10.89</v>
      </c>
      <c r="F17" s="273">
        <f>VLOOKUP(F6,'Feed parameters'!$A$2:$G$200,4, FALSE)</f>
        <v>4.7</v>
      </c>
      <c r="G17" s="273">
        <f>VLOOKUP(G6,'Feed parameters'!$A$2:$G$200,4, FALSE)</f>
        <v>8.4</v>
      </c>
      <c r="H17" s="274">
        <f>VLOOKUP(H6,'Feed parameters'!$A$2:$G$200,4, FALSE)</f>
        <v>8.4</v>
      </c>
      <c r="I17" s="273">
        <f>VLOOKUP(I6,'Feed parameters'!$A$2:$G$200,4, FALSE)</f>
        <v>8.5</v>
      </c>
      <c r="J17" s="273">
        <f>VLOOKUP(J6,'Feed parameters'!$A$2:$G$200,4, FALSE)</f>
        <v>1.4821271999999999</v>
      </c>
      <c r="K17" s="273">
        <f>VLOOKUP(K6,'Feed parameters'!$A$2:$G$200,4, FALSE)</f>
        <v>0</v>
      </c>
      <c r="L17" s="383">
        <f>IFERROR(SUMPRODUCT(E14:K14,E17:K17)/ SUM(E14:K14), 0)</f>
        <v>6.1918190800000001</v>
      </c>
      <c r="M17" s="395" t="s">
        <v>925</v>
      </c>
      <c r="N17" s="755">
        <f t="shared" si="4"/>
        <v>10.89</v>
      </c>
      <c r="O17" s="755">
        <f t="shared" si="4"/>
        <v>4.7</v>
      </c>
      <c r="P17" s="755">
        <f t="shared" si="4"/>
        <v>8.4</v>
      </c>
      <c r="Q17" s="755">
        <f t="shared" si="4"/>
        <v>8.4</v>
      </c>
      <c r="R17" s="755">
        <f t="shared" si="4"/>
        <v>8.5</v>
      </c>
      <c r="S17" s="755">
        <f t="shared" si="4"/>
        <v>1.4821271999999999</v>
      </c>
      <c r="T17" s="755">
        <f t="shared" si="4"/>
        <v>0</v>
      </c>
      <c r="U17" s="392">
        <f>IFERROR(SUMPRODUCT(N14:T14,N17:T17)/ SUM(N14:T14), 0)</f>
        <v>7.3247701760000021</v>
      </c>
      <c r="V17" s="592"/>
    </row>
    <row r="18" spans="1:23" s="147" customFormat="1">
      <c r="B18" s="521"/>
      <c r="C18" s="540"/>
      <c r="D18" s="522" t="s">
        <v>1197</v>
      </c>
      <c r="E18" s="382">
        <f>VLOOKUP(E6,'Feed parameters'!$A$2:$G$200,2, FALSE)</f>
        <v>90</v>
      </c>
      <c r="F18" s="273">
        <f>VLOOKUP(F6,'Feed parameters'!$A$2:$G$200,2, FALSE)</f>
        <v>29.05</v>
      </c>
      <c r="G18" s="273">
        <f>VLOOKUP(G6,'Feed parameters'!$A$2:$G$200,2, FALSE)</f>
        <v>87</v>
      </c>
      <c r="H18" s="274">
        <f>VLOOKUP(H6,'Feed parameters'!$A$2:$G$200,2, FALSE)</f>
        <v>22</v>
      </c>
      <c r="I18" s="273">
        <f>VLOOKUP(I6,'Feed parameters'!$A$2:$G$200,2, FALSE)</f>
        <v>24.9</v>
      </c>
      <c r="J18" s="273">
        <f>VLOOKUP(J6,'Feed parameters'!$A$2:$G$200,2, FALSE)</f>
        <v>15</v>
      </c>
      <c r="K18" s="273">
        <f>VLOOKUP(K6,'Feed parameters'!$A$2:$G$200,2, FALSE)</f>
        <v>0</v>
      </c>
      <c r="L18" s="383">
        <f>IFERROR(SUMPRODUCT(E14:K14,E18:K18)/ SUM(E14:K14), 0)</f>
        <v>29.261000000000003</v>
      </c>
      <c r="M18" s="566" t="s">
        <v>1197</v>
      </c>
      <c r="N18" s="755">
        <f t="shared" si="4"/>
        <v>90</v>
      </c>
      <c r="O18" s="755">
        <f t="shared" si="4"/>
        <v>29.05</v>
      </c>
      <c r="P18" s="755">
        <f t="shared" si="4"/>
        <v>87</v>
      </c>
      <c r="Q18" s="755">
        <f t="shared" si="4"/>
        <v>22</v>
      </c>
      <c r="R18" s="755">
        <f t="shared" si="4"/>
        <v>24.9</v>
      </c>
      <c r="S18" s="755">
        <f t="shared" si="4"/>
        <v>15</v>
      </c>
      <c r="T18" s="755">
        <f t="shared" si="4"/>
        <v>0</v>
      </c>
      <c r="U18" s="392">
        <f>IFERROR(SUMPRODUCT(N14:T14,N18:T18)/ SUM(N14:T14), 0)</f>
        <v>38.591000000000015</v>
      </c>
      <c r="V18" s="592">
        <f>L18*$G$3+U18*$P$3</f>
        <v>32.916315068493162</v>
      </c>
    </row>
    <row r="19" spans="1:23" s="147" customFormat="1">
      <c r="B19" s="521"/>
      <c r="C19" s="540"/>
      <c r="D19" s="522" t="s">
        <v>1215</v>
      </c>
      <c r="E19" s="382">
        <f t="shared" ref="E19:K19" si="5">IFERROR((E14*E18)/SUMPRODUCT($E14:$K14,$E18:$K18), 0)</f>
        <v>0.15378831892279826</v>
      </c>
      <c r="F19" s="273">
        <f t="shared" si="5"/>
        <v>0.35740405317658314</v>
      </c>
      <c r="G19" s="273">
        <f t="shared" si="5"/>
        <v>5.9464816650148654E-2</v>
      </c>
      <c r="H19" s="273">
        <f t="shared" si="5"/>
        <v>3.7592700181128466E-2</v>
      </c>
      <c r="I19" s="273">
        <f t="shared" si="5"/>
        <v>0.31485595160794227</v>
      </c>
      <c r="J19" s="273">
        <f t="shared" si="5"/>
        <v>7.6894159461399131E-2</v>
      </c>
      <c r="K19" s="273">
        <f t="shared" si="5"/>
        <v>0</v>
      </c>
      <c r="L19" s="383"/>
      <c r="M19" s="566" t="s">
        <v>1215</v>
      </c>
      <c r="N19" s="273">
        <f t="shared" ref="N19:T19" si="6">IFERROR(IFERROR((N14*N18)/SUMPRODUCT($N14:$T14,$N18:$T18), 0), 0)</f>
        <v>0.18657199865253554</v>
      </c>
      <c r="O19" s="273">
        <f t="shared" si="6"/>
        <v>0.15055323780155994</v>
      </c>
      <c r="P19" s="273">
        <f t="shared" si="6"/>
        <v>0.3381617475577206</v>
      </c>
      <c r="Q19" s="273">
        <f t="shared" si="6"/>
        <v>0.17102433209815757</v>
      </c>
      <c r="R19" s="273">
        <f t="shared" si="6"/>
        <v>0.12259335078127022</v>
      </c>
      <c r="S19" s="273">
        <f t="shared" si="6"/>
        <v>3.109533310875592E-2</v>
      </c>
      <c r="T19" s="273">
        <f t="shared" si="6"/>
        <v>0</v>
      </c>
      <c r="U19" s="392"/>
      <c r="V19" s="592"/>
    </row>
    <row r="20" spans="1:23" s="147" customFormat="1">
      <c r="B20" s="521"/>
      <c r="C20" s="540"/>
      <c r="D20" s="522"/>
      <c r="E20" s="382"/>
      <c r="F20" s="273"/>
      <c r="G20" s="273"/>
      <c r="H20" s="274"/>
      <c r="I20" s="273"/>
      <c r="J20" s="273"/>
      <c r="K20" s="273"/>
      <c r="L20" s="383"/>
      <c r="M20" s="566"/>
      <c r="N20" s="189"/>
      <c r="O20" s="189"/>
      <c r="P20" s="189"/>
      <c r="Q20" s="189"/>
      <c r="R20" s="189"/>
      <c r="S20" s="189"/>
      <c r="T20" s="189"/>
      <c r="U20" s="392"/>
      <c r="V20" s="592"/>
    </row>
    <row r="21" spans="1:23" s="304" customFormat="1">
      <c r="B21" s="523" t="str">
        <f>INPUTS!C20</f>
        <v>Adult cattle - male</v>
      </c>
      <c r="C21" s="541"/>
      <c r="D21" s="520" t="s">
        <v>1214</v>
      </c>
      <c r="E21" s="380">
        <f>INPUTS!E52</f>
        <v>0</v>
      </c>
      <c r="F21" s="305">
        <f>INPUTS!E53</f>
        <v>0</v>
      </c>
      <c r="G21" s="305">
        <f>INPUTS!E54</f>
        <v>0</v>
      </c>
      <c r="H21" s="306">
        <f>INPUTS!E55</f>
        <v>0</v>
      </c>
      <c r="I21" s="305">
        <f>INPUTS!E56</f>
        <v>0</v>
      </c>
      <c r="J21" s="305">
        <f>INPUTS!E57</f>
        <v>0</v>
      </c>
      <c r="K21" s="305">
        <f>INPUTS!E58</f>
        <v>0</v>
      </c>
      <c r="L21" s="381"/>
      <c r="M21" s="582" t="s">
        <v>1214</v>
      </c>
      <c r="N21" s="305">
        <f>INPUTS!O52</f>
        <v>0</v>
      </c>
      <c r="O21" s="305">
        <f>INPUTS!O53</f>
        <v>0</v>
      </c>
      <c r="P21" s="305">
        <f>INPUTS!O54</f>
        <v>0</v>
      </c>
      <c r="Q21" s="305">
        <f>INPUTS!O55</f>
        <v>0</v>
      </c>
      <c r="R21" s="305">
        <f>INPUTS!O56</f>
        <v>0</v>
      </c>
      <c r="S21" s="305">
        <f>INPUTS!O57</f>
        <v>0</v>
      </c>
      <c r="T21" s="305">
        <f>INPUTS!O58</f>
        <v>0</v>
      </c>
      <c r="U21" s="391"/>
      <c r="V21" s="591"/>
    </row>
    <row r="22" spans="1:23" s="147" customFormat="1">
      <c r="B22" s="524"/>
      <c r="C22" s="542"/>
      <c r="D22" s="522" t="s">
        <v>833</v>
      </c>
      <c r="E22" s="384">
        <f>VLOOKUP(E6,'Feed parameters'!$A$2:$G$200,6, FALSE)</f>
        <v>14.4</v>
      </c>
      <c r="F22" s="189">
        <f>VLOOKUP(F6,'Feed parameters'!$A$2:$G$200,6, FALSE)</f>
        <v>4.3899999999999997</v>
      </c>
      <c r="G22" s="189">
        <f>VLOOKUP(G6,'Feed parameters'!$A$2:$G$200,6, FALSE)</f>
        <v>6.8</v>
      </c>
      <c r="H22" s="231">
        <f>VLOOKUP(H6,'Feed parameters'!$A$2:$G$200,6, FALSE)</f>
        <v>8.8000000000000007</v>
      </c>
      <c r="I22" s="189">
        <f>VLOOKUP(I6,'Feed parameters'!$A$2:$G$200,6, FALSE)</f>
        <v>9</v>
      </c>
      <c r="J22" s="189">
        <f>VLOOKUP(J6,'Feed parameters'!$A$2:$G$200,6, FALSE)</f>
        <v>9.5</v>
      </c>
      <c r="K22" s="189">
        <f>VLOOKUP(K6,'Feed parameters'!$A$2:$G$200,6, FALSE)</f>
        <v>0</v>
      </c>
      <c r="L22" s="385">
        <f>IFERROR(SUMPRODUCT(E21:K21,E22:K22)/ SUM(E21:K21), 0)</f>
        <v>0</v>
      </c>
      <c r="M22" s="395" t="s">
        <v>833</v>
      </c>
      <c r="N22" s="755">
        <f>N15</f>
        <v>14.4</v>
      </c>
      <c r="O22" s="755">
        <f t="shared" ref="O22:T22" si="7">O15</f>
        <v>4.3899999999999997</v>
      </c>
      <c r="P22" s="755">
        <f t="shared" si="7"/>
        <v>6.8</v>
      </c>
      <c r="Q22" s="755">
        <f t="shared" si="7"/>
        <v>8.8000000000000007</v>
      </c>
      <c r="R22" s="755">
        <f t="shared" si="7"/>
        <v>9</v>
      </c>
      <c r="S22" s="755">
        <f t="shared" si="7"/>
        <v>9.5</v>
      </c>
      <c r="T22" s="755">
        <f t="shared" si="7"/>
        <v>0</v>
      </c>
      <c r="U22" s="393">
        <f>IFERROR(SUMPRODUCT(N21:T21,N22:T22)/ SUM(N21:T21), 0)</f>
        <v>0</v>
      </c>
      <c r="V22" s="592">
        <f>L22*$G$3+U22*$P$3</f>
        <v>0</v>
      </c>
      <c r="W22" s="500" t="e">
        <f>L22*$G$3/(L25*0.01)+U22*$P$3/(U25*0.01)</f>
        <v>#DIV/0!</v>
      </c>
    </row>
    <row r="23" spans="1:23" s="147" customFormat="1">
      <c r="B23" s="524"/>
      <c r="C23" s="542"/>
      <c r="D23" s="522" t="s">
        <v>834</v>
      </c>
      <c r="E23" s="384">
        <f>VLOOKUP(E6,'Feed parameters'!$A$2:$G$200,7, FALSE)</f>
        <v>0.79859999999999998</v>
      </c>
      <c r="F23" s="189">
        <f>VLOOKUP(F6,'Feed parameters'!$A$2:$G$200,7, FALSE)</f>
        <v>0.44</v>
      </c>
      <c r="G23" s="189">
        <f>VLOOKUP(G6,'Feed parameters'!$A$2:$G$200,7, FALSE)</f>
        <v>0.49</v>
      </c>
      <c r="H23" s="231">
        <f>VLOOKUP(H6,'Feed parameters'!$A$2:$G$200,7, FALSE)</f>
        <v>0.56999999999999995</v>
      </c>
      <c r="I23" s="189">
        <f>VLOOKUP(I6,'Feed parameters'!$A$2:$G$200,7, FALSE)</f>
        <v>0.57999999999999996</v>
      </c>
      <c r="J23" s="189">
        <f>VLOOKUP(J6,'Feed parameters'!$A$2:$G$200,7, FALSE)</f>
        <v>0.61</v>
      </c>
      <c r="K23" s="189">
        <f>VLOOKUP(K6,'Feed parameters'!$A$2:$G$200,7, FALSE)</f>
        <v>0</v>
      </c>
      <c r="L23" s="385">
        <f>IFERROR(SUMPRODUCT(E21:K21,E23:K23)/ SUM(E21:K21), 0)</f>
        <v>0</v>
      </c>
      <c r="M23" s="395" t="s">
        <v>834</v>
      </c>
      <c r="N23" s="755">
        <f t="shared" ref="N23:T23" si="8">N16</f>
        <v>0.79859999999999998</v>
      </c>
      <c r="O23" s="755">
        <f t="shared" si="8"/>
        <v>0.44</v>
      </c>
      <c r="P23" s="755">
        <f t="shared" si="8"/>
        <v>0.49</v>
      </c>
      <c r="Q23" s="755">
        <f t="shared" si="8"/>
        <v>0.56999999999999995</v>
      </c>
      <c r="R23" s="755">
        <f t="shared" si="8"/>
        <v>0.57999999999999996</v>
      </c>
      <c r="S23" s="755">
        <f t="shared" si="8"/>
        <v>0.61</v>
      </c>
      <c r="T23" s="755">
        <f t="shared" si="8"/>
        <v>0</v>
      </c>
      <c r="U23" s="393">
        <f>IFERROR(SUMPRODUCT(N21:T21,N23:T23)/ SUM(N21:T21), 0)</f>
        <v>0</v>
      </c>
      <c r="V23" s="592">
        <f>L23*$G$3+U23*$P$3</f>
        <v>0</v>
      </c>
    </row>
    <row r="24" spans="1:23" s="147" customFormat="1">
      <c r="B24" s="521"/>
      <c r="C24" s="540"/>
      <c r="D24" s="522" t="s">
        <v>925</v>
      </c>
      <c r="E24" s="382">
        <f>VLOOKUP(E6,'Feed parameters'!$A$2:$G$200,4, FALSE)</f>
        <v>10.89</v>
      </c>
      <c r="F24" s="273">
        <f>VLOOKUP(F6,'Feed parameters'!$A$2:$G$200,4, FALSE)</f>
        <v>4.7</v>
      </c>
      <c r="G24" s="273">
        <f>VLOOKUP(G6,'Feed parameters'!$A$2:$G$200,4, FALSE)</f>
        <v>8.4</v>
      </c>
      <c r="H24" s="274">
        <f>VLOOKUP(H6,'Feed parameters'!$A$2:$G$200,4, FALSE)</f>
        <v>8.4</v>
      </c>
      <c r="I24" s="273">
        <f>VLOOKUP(I6,'Feed parameters'!$A$2:$G$200,4, FALSE)</f>
        <v>8.5</v>
      </c>
      <c r="J24" s="273">
        <f>VLOOKUP(J6,'Feed parameters'!$A$2:$G$200,4, FALSE)</f>
        <v>1.4821271999999999</v>
      </c>
      <c r="K24" s="273">
        <f>VLOOKUP(K6,'Feed parameters'!$A$2:$G$200,4, FALSE)</f>
        <v>0</v>
      </c>
      <c r="L24" s="383">
        <f>IFERROR(SUMPRODUCT(E21:K21,E24:K24)/ SUM(E21:K21), 0)</f>
        <v>0</v>
      </c>
      <c r="M24" s="395" t="s">
        <v>925</v>
      </c>
      <c r="N24" s="755">
        <f t="shared" ref="N24:T24" si="9">N17</f>
        <v>10.89</v>
      </c>
      <c r="O24" s="755">
        <f t="shared" si="9"/>
        <v>4.7</v>
      </c>
      <c r="P24" s="755">
        <f t="shared" si="9"/>
        <v>8.4</v>
      </c>
      <c r="Q24" s="755">
        <f t="shared" si="9"/>
        <v>8.4</v>
      </c>
      <c r="R24" s="755">
        <f t="shared" si="9"/>
        <v>8.5</v>
      </c>
      <c r="S24" s="755">
        <f t="shared" si="9"/>
        <v>1.4821271999999999</v>
      </c>
      <c r="T24" s="755">
        <f t="shared" si="9"/>
        <v>0</v>
      </c>
      <c r="U24" s="392">
        <f>IFERROR(SUMPRODUCT(N21:T21,N24:T24)/ SUM(N21:T21), 0)</f>
        <v>0</v>
      </c>
      <c r="V24" s="592"/>
    </row>
    <row r="25" spans="1:23" s="147" customFormat="1">
      <c r="B25" s="521"/>
      <c r="C25" s="540"/>
      <c r="D25" s="522" t="s">
        <v>1197</v>
      </c>
      <c r="E25" s="382">
        <f>VLOOKUP(E6,'Feed parameters'!$A$2:$G$200,2, FALSE)</f>
        <v>90</v>
      </c>
      <c r="F25" s="273">
        <f>VLOOKUP(F6,'Feed parameters'!$A$2:$G$200,2, FALSE)</f>
        <v>29.05</v>
      </c>
      <c r="G25" s="273">
        <f>VLOOKUP(G6,'Feed parameters'!$A$2:$G$200,2, FALSE)</f>
        <v>87</v>
      </c>
      <c r="H25" s="274">
        <f>VLOOKUP(H6,'Feed parameters'!$A$2:$G$200,2, FALSE)</f>
        <v>22</v>
      </c>
      <c r="I25" s="273">
        <f>VLOOKUP(I6,'Feed parameters'!$A$2:$G$200,2, FALSE)</f>
        <v>24.9</v>
      </c>
      <c r="J25" s="273">
        <f>VLOOKUP(J6,'Feed parameters'!$A$2:$G$200,2, FALSE)</f>
        <v>15</v>
      </c>
      <c r="K25" s="273">
        <f>VLOOKUP(K6,'Feed parameters'!$A$2:$G$200,2, FALSE)</f>
        <v>0</v>
      </c>
      <c r="L25" s="383">
        <f>IFERROR(SUMPRODUCT(E21:K21,E25:K25)/ SUM(E21:K21), 0)</f>
        <v>0</v>
      </c>
      <c r="M25" s="566" t="s">
        <v>1197</v>
      </c>
      <c r="N25" s="755">
        <f t="shared" ref="N25:T25" si="10">N18</f>
        <v>90</v>
      </c>
      <c r="O25" s="755">
        <f t="shared" si="10"/>
        <v>29.05</v>
      </c>
      <c r="P25" s="755">
        <f t="shared" si="10"/>
        <v>87</v>
      </c>
      <c r="Q25" s="755">
        <f t="shared" si="10"/>
        <v>22</v>
      </c>
      <c r="R25" s="755">
        <f t="shared" si="10"/>
        <v>24.9</v>
      </c>
      <c r="S25" s="755">
        <f t="shared" si="10"/>
        <v>15</v>
      </c>
      <c r="T25" s="755">
        <f t="shared" si="10"/>
        <v>0</v>
      </c>
      <c r="U25" s="392">
        <f>IFERROR(SUMPRODUCT(N21:T21,N25:T25)/ SUM(N21:T21), 0)</f>
        <v>0</v>
      </c>
      <c r="V25" s="592">
        <f>L25*$G$3+U25*$P$3</f>
        <v>0</v>
      </c>
    </row>
    <row r="26" spans="1:23" s="147" customFormat="1">
      <c r="B26" s="521"/>
      <c r="C26" s="540"/>
      <c r="D26" s="522" t="s">
        <v>1215</v>
      </c>
      <c r="E26" s="382">
        <f t="shared" ref="E26:K26" si="11">IFERROR((E21*E25)/SUMPRODUCT($E21:$K21,$E25:$K25), 0)</f>
        <v>0</v>
      </c>
      <c r="F26" s="273">
        <f t="shared" si="11"/>
        <v>0</v>
      </c>
      <c r="G26" s="273">
        <f t="shared" si="11"/>
        <v>0</v>
      </c>
      <c r="H26" s="273">
        <f t="shared" si="11"/>
        <v>0</v>
      </c>
      <c r="I26" s="273">
        <f t="shared" si="11"/>
        <v>0</v>
      </c>
      <c r="J26" s="273">
        <f t="shared" si="11"/>
        <v>0</v>
      </c>
      <c r="K26" s="273">
        <f t="shared" si="11"/>
        <v>0</v>
      </c>
      <c r="L26" s="383"/>
      <c r="M26" s="566" t="s">
        <v>1215</v>
      </c>
      <c r="N26" s="273">
        <f t="shared" ref="N26:T26" si="12">IFERROR(IFERROR((N21*N25)/SUMPRODUCT($N21:$T21,$N25:$T25), 0), 0)</f>
        <v>0</v>
      </c>
      <c r="O26" s="273">
        <f t="shared" si="12"/>
        <v>0</v>
      </c>
      <c r="P26" s="273">
        <f t="shared" si="12"/>
        <v>0</v>
      </c>
      <c r="Q26" s="273">
        <f t="shared" si="12"/>
        <v>0</v>
      </c>
      <c r="R26" s="273">
        <f t="shared" si="12"/>
        <v>0</v>
      </c>
      <c r="S26" s="273">
        <f t="shared" si="12"/>
        <v>0</v>
      </c>
      <c r="T26" s="273">
        <f t="shared" si="12"/>
        <v>0</v>
      </c>
      <c r="U26" s="392"/>
      <c r="V26" s="592"/>
    </row>
    <row r="27" spans="1:23" s="147" customFormat="1">
      <c r="B27" s="521"/>
      <c r="C27" s="540"/>
      <c r="D27" s="522"/>
      <c r="E27" s="382"/>
      <c r="F27" s="273"/>
      <c r="G27" s="273"/>
      <c r="H27" s="274"/>
      <c r="I27" s="273"/>
      <c r="J27" s="273"/>
      <c r="K27" s="273"/>
      <c r="L27" s="383"/>
      <c r="M27" s="395"/>
      <c r="N27" s="189"/>
      <c r="O27" s="189"/>
      <c r="P27" s="189"/>
      <c r="Q27" s="189"/>
      <c r="R27" s="189"/>
      <c r="S27" s="189"/>
      <c r="T27" s="189"/>
      <c r="U27" s="392"/>
      <c r="V27" s="592"/>
    </row>
    <row r="28" spans="1:23" s="304" customFormat="1">
      <c r="B28" s="523" t="str">
        <f>INPUTS!C21</f>
        <v>Steers/heifers</v>
      </c>
      <c r="C28" s="541"/>
      <c r="D28" s="520" t="s">
        <v>1214</v>
      </c>
      <c r="E28" s="380">
        <f>INPUTS!F52</f>
        <v>0</v>
      </c>
      <c r="F28" s="305">
        <f>INPUTS!F53</f>
        <v>0</v>
      </c>
      <c r="G28" s="305">
        <f>INPUTS!F54</f>
        <v>0</v>
      </c>
      <c r="H28" s="306">
        <f>INPUTS!F55</f>
        <v>0</v>
      </c>
      <c r="I28" s="305">
        <f>INPUTS!F56</f>
        <v>0</v>
      </c>
      <c r="J28" s="305">
        <f>INPUTS!F57</f>
        <v>0</v>
      </c>
      <c r="K28" s="305">
        <f>INPUTS!F58</f>
        <v>0</v>
      </c>
      <c r="L28" s="381"/>
      <c r="M28" s="582" t="s">
        <v>1214</v>
      </c>
      <c r="N28" s="305">
        <f>INPUTS!P52</f>
        <v>0</v>
      </c>
      <c r="O28" s="305">
        <f>INPUTS!P53</f>
        <v>0</v>
      </c>
      <c r="P28" s="305">
        <f>INPUTS!P54</f>
        <v>0</v>
      </c>
      <c r="Q28" s="305">
        <f>INPUTS!P55</f>
        <v>0</v>
      </c>
      <c r="R28" s="305">
        <f>INPUTS!P56</f>
        <v>0</v>
      </c>
      <c r="S28" s="305">
        <f>INPUTS!P57</f>
        <v>0</v>
      </c>
      <c r="T28" s="305">
        <f>INPUTS!P58</f>
        <v>0</v>
      </c>
      <c r="U28" s="391"/>
      <c r="V28" s="591"/>
    </row>
    <row r="29" spans="1:23" s="147" customFormat="1">
      <c r="B29" s="524"/>
      <c r="C29" s="542"/>
      <c r="D29" s="522" t="s">
        <v>833</v>
      </c>
      <c r="E29" s="384">
        <f>VLOOKUP(E6,'Feed parameters'!$A$2:$G$200,6, FALSE)</f>
        <v>14.4</v>
      </c>
      <c r="F29" s="189">
        <f>VLOOKUP(F6,'Feed parameters'!$A$2:$G$200,6, FALSE)</f>
        <v>4.3899999999999997</v>
      </c>
      <c r="G29" s="189">
        <f>VLOOKUP(G6,'Feed parameters'!$A$2:$G$200,6, FALSE)</f>
        <v>6.8</v>
      </c>
      <c r="H29" s="231">
        <f>VLOOKUP(H6,'Feed parameters'!$A$2:$G$200,6, FALSE)</f>
        <v>8.8000000000000007</v>
      </c>
      <c r="I29" s="189">
        <f>VLOOKUP(I6,'Feed parameters'!$A$2:$G$200,6, FALSE)</f>
        <v>9</v>
      </c>
      <c r="J29" s="189">
        <f>VLOOKUP(J6,'Feed parameters'!$A$2:$G$200,6, FALSE)</f>
        <v>9.5</v>
      </c>
      <c r="K29" s="189">
        <f>VLOOKUP(K6,'Feed parameters'!$A$2:$G$200,6, FALSE)</f>
        <v>0</v>
      </c>
      <c r="L29" s="385">
        <f>IFERROR(SUMPRODUCT(E28:K28,E29:K29)/ SUM(E28:K28), 0)</f>
        <v>0</v>
      </c>
      <c r="M29" s="395" t="s">
        <v>833</v>
      </c>
      <c r="N29" s="755">
        <f>N22</f>
        <v>14.4</v>
      </c>
      <c r="O29" s="755">
        <f t="shared" ref="O29:T29" si="13">O22</f>
        <v>4.3899999999999997</v>
      </c>
      <c r="P29" s="755">
        <f t="shared" si="13"/>
        <v>6.8</v>
      </c>
      <c r="Q29" s="755">
        <f t="shared" si="13"/>
        <v>8.8000000000000007</v>
      </c>
      <c r="R29" s="755">
        <f t="shared" si="13"/>
        <v>9</v>
      </c>
      <c r="S29" s="755">
        <f t="shared" si="13"/>
        <v>9.5</v>
      </c>
      <c r="T29" s="755">
        <f t="shared" si="13"/>
        <v>0</v>
      </c>
      <c r="U29" s="393">
        <f>IFERROR(SUMPRODUCT(N28:T28,N29:T29)/ SUM(N28:T28), 0)</f>
        <v>0</v>
      </c>
      <c r="V29" s="592">
        <f>L29*$G$3+U29*$P$3</f>
        <v>0</v>
      </c>
      <c r="W29" s="500" t="e">
        <f>L29*$G$3/(L32*0.01)+U29*$P$3/(U32*0.01)</f>
        <v>#DIV/0!</v>
      </c>
    </row>
    <row r="30" spans="1:23">
      <c r="B30" s="525"/>
      <c r="C30" s="543"/>
      <c r="D30" s="522" t="s">
        <v>834</v>
      </c>
      <c r="E30" s="322">
        <f>VLOOKUP(E6,'Feed parameters'!$A$2:$G$200,7, FALSE)</f>
        <v>0.79859999999999998</v>
      </c>
      <c r="F30">
        <f>VLOOKUP(F6,'Feed parameters'!$A$2:$G$200,7, FALSE)</f>
        <v>0.44</v>
      </c>
      <c r="G30">
        <f>VLOOKUP(G6,'Feed parameters'!$A$2:$G$200,7, FALSE)</f>
        <v>0.49</v>
      </c>
      <c r="H30">
        <f>VLOOKUP(H6,'Feed parameters'!$A$2:$G$200,7, FALSE)</f>
        <v>0.56999999999999995</v>
      </c>
      <c r="I30">
        <f>VLOOKUP(I6,'Feed parameters'!$A$2:$G$200,7, FALSE)</f>
        <v>0.57999999999999996</v>
      </c>
      <c r="J30">
        <f>VLOOKUP(J6,'Feed parameters'!$A$2:$G$200,7, FALSE)</f>
        <v>0.61</v>
      </c>
      <c r="K30">
        <f>VLOOKUP(K6,'Feed parameters'!$A$2:$G$200,7, FALSE)</f>
        <v>0</v>
      </c>
      <c r="L30" s="510">
        <f>IFERROR(SUMPRODUCT(E28:K28,E30:K30)/ SUM(E28:K28), 0)</f>
        <v>0</v>
      </c>
      <c r="M30" s="395" t="s">
        <v>834</v>
      </c>
      <c r="N30" s="755">
        <f t="shared" ref="N30:T30" si="14">N23</f>
        <v>0.79859999999999998</v>
      </c>
      <c r="O30" s="755">
        <f t="shared" si="14"/>
        <v>0.44</v>
      </c>
      <c r="P30" s="755">
        <f t="shared" si="14"/>
        <v>0.49</v>
      </c>
      <c r="Q30" s="755">
        <f t="shared" si="14"/>
        <v>0.56999999999999995</v>
      </c>
      <c r="R30" s="755">
        <f t="shared" si="14"/>
        <v>0.57999999999999996</v>
      </c>
      <c r="S30" s="755">
        <f t="shared" si="14"/>
        <v>0.61</v>
      </c>
      <c r="T30" s="755">
        <f t="shared" si="14"/>
        <v>0</v>
      </c>
      <c r="U30" s="393">
        <f>IFERROR(SUMPRODUCT(N28:T28,N30:T30)/ SUM(N28:T28), 0)</f>
        <v>0</v>
      </c>
      <c r="V30" s="592">
        <f>L30*$G$3+U30*$P$3</f>
        <v>0</v>
      </c>
    </row>
    <row r="31" spans="1:23">
      <c r="A31" s="273"/>
      <c r="B31" s="526"/>
      <c r="C31" s="544"/>
      <c r="D31" s="522" t="s">
        <v>925</v>
      </c>
      <c r="E31" s="382">
        <f>VLOOKUP(E6,'Feed parameters'!$A$2:$G$200,4, FALSE)</f>
        <v>10.89</v>
      </c>
      <c r="F31" s="273">
        <f>VLOOKUP(F6,'Feed parameters'!$A$2:$G$200,4, FALSE)</f>
        <v>4.7</v>
      </c>
      <c r="G31" s="273">
        <f>VLOOKUP(G6,'Feed parameters'!$A$2:$G$200,4, FALSE)</f>
        <v>8.4</v>
      </c>
      <c r="H31" s="273">
        <f>VLOOKUP(H6,'Feed parameters'!$A$2:$G$200,4, FALSE)</f>
        <v>8.4</v>
      </c>
      <c r="I31" s="273">
        <f>VLOOKUP(I6,'Feed parameters'!$A$2:$G$200,4, FALSE)</f>
        <v>8.5</v>
      </c>
      <c r="J31" s="273">
        <f>VLOOKUP(J6,'Feed parameters'!$A$2:$G$200,4, FALSE)</f>
        <v>1.4821271999999999</v>
      </c>
      <c r="K31" s="273">
        <f>VLOOKUP(K6,'Feed parameters'!$A$2:$G$200,4, FALSE)</f>
        <v>0</v>
      </c>
      <c r="L31" s="392">
        <f>IFERROR(SUMPRODUCT(E28:K28,E31:K31)/ SUM(E28:K28), 0)</f>
        <v>0</v>
      </c>
      <c r="M31" s="395" t="s">
        <v>925</v>
      </c>
      <c r="N31" s="755">
        <f t="shared" ref="N31:T31" si="15">N24</f>
        <v>10.89</v>
      </c>
      <c r="O31" s="755">
        <f t="shared" si="15"/>
        <v>4.7</v>
      </c>
      <c r="P31" s="755">
        <f t="shared" si="15"/>
        <v>8.4</v>
      </c>
      <c r="Q31" s="755">
        <f t="shared" si="15"/>
        <v>8.4</v>
      </c>
      <c r="R31" s="755">
        <f t="shared" si="15"/>
        <v>8.5</v>
      </c>
      <c r="S31" s="755">
        <f t="shared" si="15"/>
        <v>1.4821271999999999</v>
      </c>
      <c r="T31" s="755">
        <f t="shared" si="15"/>
        <v>0</v>
      </c>
      <c r="U31" s="383">
        <f>IFERROR(SUMPRODUCT(N28:T28,N31:T31)/ SUM(N28:T28), 0)</f>
        <v>0</v>
      </c>
      <c r="V31" s="592"/>
    </row>
    <row r="32" spans="1:23" s="147" customFormat="1">
      <c r="B32" s="521"/>
      <c r="C32" s="540"/>
      <c r="D32" s="522" t="s">
        <v>1197</v>
      </c>
      <c r="E32" s="382">
        <f>VLOOKUP(E6,'Feed parameters'!$A$2:$G$200,2, FALSE)</f>
        <v>90</v>
      </c>
      <c r="F32" s="273">
        <f>VLOOKUP(F6,'Feed parameters'!$A$2:$G$200,2, FALSE)</f>
        <v>29.05</v>
      </c>
      <c r="G32" s="273">
        <f>VLOOKUP(G6,'Feed parameters'!$A$2:$G$200,2, FALSE)</f>
        <v>87</v>
      </c>
      <c r="H32" s="274">
        <f>VLOOKUP(H6,'Feed parameters'!$A$2:$G$200,2, FALSE)</f>
        <v>22</v>
      </c>
      <c r="I32" s="273">
        <f>VLOOKUP(I6,'Feed parameters'!$A$2:$G$200,2, FALSE)</f>
        <v>24.9</v>
      </c>
      <c r="J32" s="273">
        <f>VLOOKUP(J6,'Feed parameters'!$A$2:$G$200,2, FALSE)</f>
        <v>15</v>
      </c>
      <c r="K32" s="273">
        <f>VLOOKUP(K6,'Feed parameters'!$A$2:$G$200,2, FALSE)</f>
        <v>0</v>
      </c>
      <c r="L32" s="383">
        <f>IFERROR(SUMPRODUCT(E28:K28,E32:K32)/ SUM(E28:K28), 0)</f>
        <v>0</v>
      </c>
      <c r="M32" s="566" t="s">
        <v>1197</v>
      </c>
      <c r="N32" s="755">
        <f t="shared" ref="N32:T32" si="16">N25</f>
        <v>90</v>
      </c>
      <c r="O32" s="755">
        <f t="shared" si="16"/>
        <v>29.05</v>
      </c>
      <c r="P32" s="755">
        <f t="shared" si="16"/>
        <v>87</v>
      </c>
      <c r="Q32" s="755">
        <f t="shared" si="16"/>
        <v>22</v>
      </c>
      <c r="R32" s="755">
        <f t="shared" si="16"/>
        <v>24.9</v>
      </c>
      <c r="S32" s="755">
        <f t="shared" si="16"/>
        <v>15</v>
      </c>
      <c r="T32" s="755">
        <f t="shared" si="16"/>
        <v>0</v>
      </c>
      <c r="U32" s="392">
        <f>IFERROR(SUMPRODUCT(N28:T28,N32:T32)/ SUM(N28:T28), 0)</f>
        <v>0</v>
      </c>
      <c r="V32" s="592">
        <f>L32*$G$3+U32*$P$3</f>
        <v>0</v>
      </c>
    </row>
    <row r="33" spans="1:23" s="147" customFormat="1">
      <c r="B33" s="521"/>
      <c r="C33" s="540"/>
      <c r="D33" s="522" t="s">
        <v>1215</v>
      </c>
      <c r="E33" s="382">
        <f t="shared" ref="E33:K33" si="17">IFERROR((E28*E32)/SUMPRODUCT($E28:$K28,$E32:$K32), 0)</f>
        <v>0</v>
      </c>
      <c r="F33" s="273">
        <f t="shared" si="17"/>
        <v>0</v>
      </c>
      <c r="G33" s="273">
        <f t="shared" si="17"/>
        <v>0</v>
      </c>
      <c r="H33" s="273">
        <f t="shared" si="17"/>
        <v>0</v>
      </c>
      <c r="I33" s="273">
        <f t="shared" si="17"/>
        <v>0</v>
      </c>
      <c r="J33" s="273">
        <f t="shared" si="17"/>
        <v>0</v>
      </c>
      <c r="K33" s="273">
        <f t="shared" si="17"/>
        <v>0</v>
      </c>
      <c r="L33" s="383"/>
      <c r="M33" s="566" t="s">
        <v>1215</v>
      </c>
      <c r="N33" s="273">
        <f t="shared" ref="N33:T33" si="18">IFERROR((N28*N32)/SUMPRODUCT($N28:$T28,$N32:$T32), 0)</f>
        <v>0</v>
      </c>
      <c r="O33" s="273">
        <f t="shared" si="18"/>
        <v>0</v>
      </c>
      <c r="P33" s="273">
        <f t="shared" si="18"/>
        <v>0</v>
      </c>
      <c r="Q33" s="273">
        <f t="shared" si="18"/>
        <v>0</v>
      </c>
      <c r="R33" s="273">
        <f t="shared" si="18"/>
        <v>0</v>
      </c>
      <c r="S33" s="273">
        <f t="shared" si="18"/>
        <v>0</v>
      </c>
      <c r="T33" s="273">
        <f t="shared" si="18"/>
        <v>0</v>
      </c>
      <c r="U33" s="392"/>
      <c r="V33" s="592"/>
    </row>
    <row r="34" spans="1:23" s="147" customFormat="1">
      <c r="A34" s="273"/>
      <c r="B34" s="526"/>
      <c r="C34" s="544"/>
      <c r="D34" s="522"/>
      <c r="E34" s="382"/>
      <c r="F34" s="273"/>
      <c r="G34" s="273"/>
      <c r="H34" s="273"/>
      <c r="I34" s="273"/>
      <c r="J34" s="273"/>
      <c r="K34" s="273"/>
      <c r="L34" s="386"/>
      <c r="M34" s="395"/>
      <c r="N34" s="273"/>
      <c r="O34" s="273"/>
      <c r="P34" s="273"/>
      <c r="Q34" s="273"/>
      <c r="R34" s="273"/>
      <c r="S34" s="273"/>
      <c r="T34" s="273"/>
      <c r="U34" s="386"/>
      <c r="V34" s="592"/>
    </row>
    <row r="35" spans="1:23" s="304" customFormat="1">
      <c r="B35" s="527" t="str">
        <f>INPUTS!C22</f>
        <v>Calves</v>
      </c>
      <c r="C35" s="545"/>
      <c r="D35" s="520" t="s">
        <v>1214</v>
      </c>
      <c r="E35" s="380">
        <f>INPUTS!G52</f>
        <v>0</v>
      </c>
      <c r="F35" s="305">
        <f>INPUTS!G53</f>
        <v>0</v>
      </c>
      <c r="G35" s="305">
        <f>INPUTS!G54</f>
        <v>0</v>
      </c>
      <c r="H35" s="306">
        <f>INPUTS!G55</f>
        <v>0</v>
      </c>
      <c r="I35" s="305">
        <f>INPUTS!G56</f>
        <v>0</v>
      </c>
      <c r="J35" s="305">
        <f>INPUTS!G57</f>
        <v>0</v>
      </c>
      <c r="K35" s="305">
        <f>INPUTS!G58</f>
        <v>0</v>
      </c>
      <c r="L35" s="381"/>
      <c r="M35" s="582" t="s">
        <v>1214</v>
      </c>
      <c r="N35" s="305">
        <f>INPUTS!Q52</f>
        <v>0</v>
      </c>
      <c r="O35" s="305">
        <f>INPUTS!Q53</f>
        <v>0</v>
      </c>
      <c r="P35" s="305">
        <f>INPUTS!Q54</f>
        <v>0</v>
      </c>
      <c r="Q35" s="305">
        <f>INPUTS!Q55</f>
        <v>0</v>
      </c>
      <c r="R35" s="305">
        <f>INPUTS!Q56</f>
        <v>0</v>
      </c>
      <c r="S35" s="305">
        <f>INPUTS!Q57</f>
        <v>0</v>
      </c>
      <c r="T35" s="305">
        <f>INPUTS!Q58</f>
        <v>0</v>
      </c>
      <c r="U35" s="391"/>
      <c r="V35" s="591"/>
    </row>
    <row r="36" spans="1:23" s="147" customFormat="1">
      <c r="B36" s="526"/>
      <c r="C36" s="544"/>
      <c r="D36" s="522" t="s">
        <v>833</v>
      </c>
      <c r="E36" s="382">
        <f>VLOOKUP(E6,'Feed parameters'!$A$2:$G$200,6, FALSE)</f>
        <v>14.4</v>
      </c>
      <c r="F36" s="273">
        <f>VLOOKUP(F6,'Feed parameters'!$A$2:$G$200,6, FALSE)</f>
        <v>4.3899999999999997</v>
      </c>
      <c r="G36" s="273">
        <f>VLOOKUP(G6,'Feed parameters'!$A$2:$G$200,6, FALSE)</f>
        <v>6.8</v>
      </c>
      <c r="H36" s="274">
        <f>VLOOKUP(H6,'Feed parameters'!$A$2:$G$200,6, FALSE)</f>
        <v>8.8000000000000007</v>
      </c>
      <c r="I36" s="273">
        <f>VLOOKUP(I6,'Feed parameters'!$A$2:$G$200,6, FALSE)</f>
        <v>9</v>
      </c>
      <c r="J36" s="273">
        <f>VLOOKUP(J6,'Feed parameters'!$A$2:$G$200,6, FALSE)</f>
        <v>9.5</v>
      </c>
      <c r="K36" s="273">
        <f>VLOOKUP(K6,'Feed parameters'!$A$2:$G$200,6, FALSE)</f>
        <v>0</v>
      </c>
      <c r="L36" s="383">
        <f>IFERROR(SUMPRODUCT(E35:K35,E36:K36)/ SUM(E35:K35), 0)</f>
        <v>0</v>
      </c>
      <c r="M36" s="395" t="s">
        <v>833</v>
      </c>
      <c r="N36" s="755">
        <f>N29</f>
        <v>14.4</v>
      </c>
      <c r="O36" s="755">
        <f t="shared" ref="O36:T36" si="19">O29</f>
        <v>4.3899999999999997</v>
      </c>
      <c r="P36" s="755">
        <f t="shared" si="19"/>
        <v>6.8</v>
      </c>
      <c r="Q36" s="755">
        <f t="shared" si="19"/>
        <v>8.8000000000000007</v>
      </c>
      <c r="R36" s="755">
        <f t="shared" si="19"/>
        <v>9</v>
      </c>
      <c r="S36" s="755">
        <f t="shared" si="19"/>
        <v>9.5</v>
      </c>
      <c r="T36" s="755">
        <f t="shared" si="19"/>
        <v>0</v>
      </c>
      <c r="U36" s="392">
        <f>IFERROR(SUMPRODUCT(N35:T35,N36:T36)/ SUM(N35:T35), 0)</f>
        <v>0</v>
      </c>
      <c r="V36" s="592">
        <f>L36*$G$3+U36*$P$3</f>
        <v>0</v>
      </c>
      <c r="W36" s="500" t="e">
        <f>L36*$G$3/(L39*0.01)+U36*$P$3/(U39*0.01)</f>
        <v>#DIV/0!</v>
      </c>
    </row>
    <row r="37" spans="1:23" s="147" customFormat="1">
      <c r="B37" s="526"/>
      <c r="C37" s="544"/>
      <c r="D37" s="522" t="s">
        <v>834</v>
      </c>
      <c r="E37" s="382">
        <f>VLOOKUP(E6,'Feed parameters'!$A$2:$G$200,7, FALSE)</f>
        <v>0.79859999999999998</v>
      </c>
      <c r="F37" s="273">
        <f>VLOOKUP(F6,'Feed parameters'!$A$2:$G$200,7, FALSE)</f>
        <v>0.44</v>
      </c>
      <c r="G37" s="273">
        <f>VLOOKUP(G6,'Feed parameters'!$A$2:$G$200,7, FALSE)</f>
        <v>0.49</v>
      </c>
      <c r="H37" s="274">
        <f>VLOOKUP(H6,'Feed parameters'!$A$2:$G$200,7, FALSE)</f>
        <v>0.56999999999999995</v>
      </c>
      <c r="I37" s="273">
        <f>VLOOKUP(I6,'Feed parameters'!$A$2:$G$200,7, FALSE)</f>
        <v>0.57999999999999996</v>
      </c>
      <c r="J37" s="273">
        <f>VLOOKUP(J6,'Feed parameters'!$A$2:$G$200,7, FALSE)</f>
        <v>0.61</v>
      </c>
      <c r="K37" s="273">
        <f>VLOOKUP(K6,'Feed parameters'!$A$2:$G$200,7, FALSE)</f>
        <v>0</v>
      </c>
      <c r="L37" s="383">
        <f>IFERROR(SUMPRODUCT(E35:K35,E37:K37)/ SUM(E35:K35), 0)</f>
        <v>0</v>
      </c>
      <c r="M37" s="395" t="s">
        <v>834</v>
      </c>
      <c r="N37" s="755">
        <f t="shared" ref="N37:T37" si="20">N30</f>
        <v>0.79859999999999998</v>
      </c>
      <c r="O37" s="755">
        <f t="shared" si="20"/>
        <v>0.44</v>
      </c>
      <c r="P37" s="755">
        <f t="shared" si="20"/>
        <v>0.49</v>
      </c>
      <c r="Q37" s="755">
        <f t="shared" si="20"/>
        <v>0.56999999999999995</v>
      </c>
      <c r="R37" s="755">
        <f t="shared" si="20"/>
        <v>0.57999999999999996</v>
      </c>
      <c r="S37" s="755">
        <f t="shared" si="20"/>
        <v>0.61</v>
      </c>
      <c r="T37" s="755">
        <f t="shared" si="20"/>
        <v>0</v>
      </c>
      <c r="U37" s="392">
        <f>IFERROR(SUMPRODUCT(N35:T35,N37:T37)/ SUM(N35:T35), 0)</f>
        <v>0</v>
      </c>
      <c r="V37" s="592">
        <f>L37*$G$3+U37*$P$3</f>
        <v>0</v>
      </c>
    </row>
    <row r="38" spans="1:23" s="147" customFormat="1">
      <c r="B38" s="526"/>
      <c r="C38" s="544"/>
      <c r="D38" s="522" t="s">
        <v>925</v>
      </c>
      <c r="E38" s="382">
        <f>VLOOKUP(E6,'Feed parameters'!$A$2:$G$200,4, FALSE)</f>
        <v>10.89</v>
      </c>
      <c r="F38" s="273">
        <f>VLOOKUP(F6,'Feed parameters'!$A$2:$G$200,4, FALSE)</f>
        <v>4.7</v>
      </c>
      <c r="G38" s="273">
        <f>VLOOKUP(G6,'Feed parameters'!$A$2:$G$200,4, FALSE)</f>
        <v>8.4</v>
      </c>
      <c r="H38" s="274">
        <f>VLOOKUP(H6,'Feed parameters'!$A$2:$G$200,4, FALSE)</f>
        <v>8.4</v>
      </c>
      <c r="I38" s="273">
        <f>VLOOKUP(I6,'Feed parameters'!$A$2:$G$200,4, FALSE)</f>
        <v>8.5</v>
      </c>
      <c r="J38" s="273">
        <f>VLOOKUP(J6,'Feed parameters'!$A$2:$G$200,4, FALSE)</f>
        <v>1.4821271999999999</v>
      </c>
      <c r="K38" s="273">
        <f>VLOOKUP(K6,'Feed parameters'!$A$2:$G$200,4, FALSE)</f>
        <v>0</v>
      </c>
      <c r="L38" s="383">
        <f>IFERROR(SUMPRODUCT(E35:K35,E38:K38)/ SUM(E35:K35), 0)</f>
        <v>0</v>
      </c>
      <c r="M38" s="395" t="s">
        <v>925</v>
      </c>
      <c r="N38" s="755">
        <f t="shared" ref="N38:T38" si="21">N31</f>
        <v>10.89</v>
      </c>
      <c r="O38" s="755">
        <f t="shared" si="21"/>
        <v>4.7</v>
      </c>
      <c r="P38" s="755">
        <f t="shared" si="21"/>
        <v>8.4</v>
      </c>
      <c r="Q38" s="755">
        <f t="shared" si="21"/>
        <v>8.4</v>
      </c>
      <c r="R38" s="755">
        <f t="shared" si="21"/>
        <v>8.5</v>
      </c>
      <c r="S38" s="755">
        <f t="shared" si="21"/>
        <v>1.4821271999999999</v>
      </c>
      <c r="T38" s="755">
        <f t="shared" si="21"/>
        <v>0</v>
      </c>
      <c r="U38" s="392">
        <f>IFERROR(SUMPRODUCT(N35:T35,N38:T38)/ SUM(N35:T35), 0)</f>
        <v>0</v>
      </c>
      <c r="V38" s="592"/>
    </row>
    <row r="39" spans="1:23" s="147" customFormat="1">
      <c r="B39" s="521"/>
      <c r="C39" s="540"/>
      <c r="D39" s="522" t="s">
        <v>1197</v>
      </c>
      <c r="E39" s="382">
        <f>VLOOKUP(E6,'Feed parameters'!$A$2:$G$200,2, FALSE)</f>
        <v>90</v>
      </c>
      <c r="F39" s="273">
        <f>VLOOKUP(F6,'Feed parameters'!$A$2:$G$200,2, FALSE)</f>
        <v>29.05</v>
      </c>
      <c r="G39" s="273">
        <f>VLOOKUP(G6,'Feed parameters'!$A$2:$G$200,2, FALSE)</f>
        <v>87</v>
      </c>
      <c r="H39" s="274">
        <f>VLOOKUP(H6,'Feed parameters'!$A$2:$G$200,2, FALSE)</f>
        <v>22</v>
      </c>
      <c r="I39" s="273">
        <f>VLOOKUP(I6,'Feed parameters'!$A$2:$G$200,2, FALSE)</f>
        <v>24.9</v>
      </c>
      <c r="J39" s="273">
        <f>VLOOKUP(J6,'Feed parameters'!$A$2:$G$200,2, FALSE)</f>
        <v>15</v>
      </c>
      <c r="K39" s="273">
        <f>VLOOKUP(K6,'Feed parameters'!$A$2:$G$200,2, FALSE)</f>
        <v>0</v>
      </c>
      <c r="L39" s="383">
        <f>IFERROR(SUMPRODUCT(E35:K35,E39:K39)/ SUM(E35:K35), 0)</f>
        <v>0</v>
      </c>
      <c r="M39" s="566" t="s">
        <v>1197</v>
      </c>
      <c r="N39" s="755">
        <f t="shared" ref="N39:T39" si="22">N32</f>
        <v>90</v>
      </c>
      <c r="O39" s="755">
        <f t="shared" si="22"/>
        <v>29.05</v>
      </c>
      <c r="P39" s="755">
        <f t="shared" si="22"/>
        <v>87</v>
      </c>
      <c r="Q39" s="755">
        <f t="shared" si="22"/>
        <v>22</v>
      </c>
      <c r="R39" s="755">
        <f t="shared" si="22"/>
        <v>24.9</v>
      </c>
      <c r="S39" s="755">
        <f t="shared" si="22"/>
        <v>15</v>
      </c>
      <c r="T39" s="755">
        <f t="shared" si="22"/>
        <v>0</v>
      </c>
      <c r="U39" s="392">
        <f>IFERROR(SUMPRODUCT(N35:T35,N39:T39)/ SUM(N35:T35), 0)</f>
        <v>0</v>
      </c>
      <c r="V39" s="592">
        <f>L39*$G$3+U39*$P$3</f>
        <v>0</v>
      </c>
    </row>
    <row r="40" spans="1:23" s="147" customFormat="1">
      <c r="B40" s="521"/>
      <c r="C40" s="540"/>
      <c r="D40" s="522" t="s">
        <v>1215</v>
      </c>
      <c r="E40" s="382">
        <f t="shared" ref="E40:K40" si="23">IFERROR((E35*E39)/SUMPRODUCT($E35:$K35,$E39:$K39), 0)</f>
        <v>0</v>
      </c>
      <c r="F40" s="273">
        <f t="shared" si="23"/>
        <v>0</v>
      </c>
      <c r="G40" s="273">
        <f t="shared" si="23"/>
        <v>0</v>
      </c>
      <c r="H40" s="273">
        <f t="shared" si="23"/>
        <v>0</v>
      </c>
      <c r="I40" s="273">
        <f t="shared" si="23"/>
        <v>0</v>
      </c>
      <c r="J40" s="273">
        <f t="shared" si="23"/>
        <v>0</v>
      </c>
      <c r="K40" s="273">
        <f t="shared" si="23"/>
        <v>0</v>
      </c>
      <c r="L40" s="383"/>
      <c r="M40" s="566" t="s">
        <v>1215</v>
      </c>
      <c r="N40" s="273">
        <f t="shared" ref="N40:T40" si="24">IFERROR((N35*N39)/SUMPRODUCT($N35:$T35,$N39:$T39), 0)</f>
        <v>0</v>
      </c>
      <c r="O40" s="273">
        <f t="shared" si="24"/>
        <v>0</v>
      </c>
      <c r="P40" s="273">
        <f t="shared" si="24"/>
        <v>0</v>
      </c>
      <c r="Q40" s="273">
        <f t="shared" si="24"/>
        <v>0</v>
      </c>
      <c r="R40" s="273">
        <f t="shared" si="24"/>
        <v>0</v>
      </c>
      <c r="S40" s="273">
        <f t="shared" si="24"/>
        <v>0</v>
      </c>
      <c r="T40" s="273">
        <f t="shared" si="24"/>
        <v>0</v>
      </c>
      <c r="U40" s="392"/>
      <c r="V40" s="592"/>
    </row>
    <row r="41" spans="1:23" s="147" customFormat="1">
      <c r="B41" s="521"/>
      <c r="C41" s="540"/>
      <c r="D41" s="522"/>
      <c r="E41" s="382"/>
      <c r="F41" s="273"/>
      <c r="G41" s="273"/>
      <c r="H41" s="273"/>
      <c r="I41" s="273"/>
      <c r="J41" s="273"/>
      <c r="K41" s="273"/>
      <c r="L41" s="383"/>
      <c r="M41" s="566"/>
      <c r="N41" s="273"/>
      <c r="O41" s="273"/>
      <c r="P41" s="273"/>
      <c r="Q41" s="273"/>
      <c r="R41" s="273"/>
      <c r="S41" s="273"/>
      <c r="T41" s="273"/>
      <c r="U41" s="392"/>
      <c r="V41" s="592"/>
    </row>
    <row r="42" spans="1:23" s="304" customFormat="1">
      <c r="B42" s="523" t="str">
        <f>INPUTS!C23</f>
        <v>Steers/heifers improved</v>
      </c>
      <c r="C42" s="541"/>
      <c r="D42" s="520" t="s">
        <v>1214</v>
      </c>
      <c r="E42" s="305">
        <f>INPUTS!H52</f>
        <v>0.05</v>
      </c>
      <c r="F42" s="305">
        <f>INPUTS!H53</f>
        <v>0.36</v>
      </c>
      <c r="G42" s="305">
        <f>INPUTS!H54</f>
        <v>0.02</v>
      </c>
      <c r="H42" s="305">
        <f>INPUTS!H55</f>
        <v>0.05</v>
      </c>
      <c r="I42" s="305">
        <f>INPUTS!H56</f>
        <v>0.37</v>
      </c>
      <c r="J42" s="305">
        <f>INPUTS!H57</f>
        <v>0.15</v>
      </c>
      <c r="K42" s="305">
        <f>INPUTS!H58</f>
        <v>0</v>
      </c>
      <c r="L42" s="305"/>
      <c r="M42" s="582" t="s">
        <v>1214</v>
      </c>
      <c r="N42" s="305">
        <f>INPUTS!R52</f>
        <v>0.08</v>
      </c>
      <c r="O42" s="305">
        <f>INPUTS!R53</f>
        <v>0.2</v>
      </c>
      <c r="P42" s="305">
        <f>INPUTS!R54</f>
        <v>0.15</v>
      </c>
      <c r="Q42" s="305">
        <f>INPUTS!R55</f>
        <v>0.3</v>
      </c>
      <c r="R42" s="305">
        <f>INPUTS!R56</f>
        <v>0.19</v>
      </c>
      <c r="S42" s="305">
        <f>INPUTS!R57</f>
        <v>0.08</v>
      </c>
      <c r="T42" s="305">
        <f>INPUTS!R58</f>
        <v>0</v>
      </c>
      <c r="U42" s="391"/>
      <c r="V42" s="591"/>
    </row>
    <row r="43" spans="1:23" s="147" customFormat="1">
      <c r="B43" s="524"/>
      <c r="C43" s="542"/>
      <c r="D43" s="522" t="s">
        <v>833</v>
      </c>
      <c r="E43" s="384">
        <f>VLOOKUP(E6,'Feed parameters'!$A$2:$G$200,6, FALSE)</f>
        <v>14.4</v>
      </c>
      <c r="F43" s="189">
        <f>VLOOKUP(F6,'Feed parameters'!$A$2:$G$200,6, FALSE)</f>
        <v>4.3899999999999997</v>
      </c>
      <c r="G43" s="189">
        <f>VLOOKUP(G6,'Feed parameters'!$A$2:$G$200,6, FALSE)</f>
        <v>6.8</v>
      </c>
      <c r="H43" s="231">
        <f>VLOOKUP(H6,'Feed parameters'!$A$2:$G$200,6, FALSE)</f>
        <v>8.8000000000000007</v>
      </c>
      <c r="I43" s="189">
        <f>VLOOKUP(I6,'Feed parameters'!$A$2:$G$200,6, FALSE)</f>
        <v>9</v>
      </c>
      <c r="J43" s="189">
        <f>VLOOKUP(J6,'Feed parameters'!$A$2:$G$200,6, FALSE)</f>
        <v>9.5</v>
      </c>
      <c r="K43" s="189">
        <f>VLOOKUP(K6,'Feed parameters'!$A$2:$G$200,6, FALSE)</f>
        <v>0</v>
      </c>
      <c r="L43" s="385">
        <f>IFERROR(SUMPRODUCT(E42:K42,E43:K43)/ SUM(E42:K42), 0)</f>
        <v>7.6314000000000002</v>
      </c>
      <c r="M43" s="395" t="s">
        <v>833</v>
      </c>
      <c r="N43" s="755">
        <f>N36</f>
        <v>14.4</v>
      </c>
      <c r="O43" s="755">
        <f t="shared" ref="O43:T43" si="25">O36</f>
        <v>4.3899999999999997</v>
      </c>
      <c r="P43" s="755">
        <f t="shared" si="25"/>
        <v>6.8</v>
      </c>
      <c r="Q43" s="755">
        <f t="shared" si="25"/>
        <v>8.8000000000000007</v>
      </c>
      <c r="R43" s="755">
        <f t="shared" si="25"/>
        <v>9</v>
      </c>
      <c r="S43" s="755">
        <f t="shared" si="25"/>
        <v>9.5</v>
      </c>
      <c r="T43" s="755">
        <f t="shared" si="25"/>
        <v>0</v>
      </c>
      <c r="U43" s="393">
        <f>IFERROR(SUMPRODUCT(N42:T42,N43:T43)/ SUM(N42:T42), 0)</f>
        <v>8.1600000000000019</v>
      </c>
      <c r="V43" s="592">
        <f>L43*$G$3+U43*$P$3</f>
        <v>7.8384953424657553</v>
      </c>
      <c r="W43" s="500">
        <f>L43*$G$3/(L46*0.01)+U43*$P$3/(U46*0.01)</f>
        <v>24.146766387664318</v>
      </c>
    </row>
    <row r="44" spans="1:23">
      <c r="B44" s="525"/>
      <c r="C44" s="543"/>
      <c r="D44" s="522" t="s">
        <v>834</v>
      </c>
      <c r="E44" s="322">
        <f>VLOOKUP(E6,'Feed parameters'!$A$2:$G$200,7, FALSE)</f>
        <v>0.79859999999999998</v>
      </c>
      <c r="F44">
        <f>VLOOKUP(F6,'Feed parameters'!$A$2:$G$200,7, FALSE)</f>
        <v>0.44</v>
      </c>
      <c r="G44">
        <f>VLOOKUP(G6,'Feed parameters'!$A$2:$G$200,7, FALSE)</f>
        <v>0.49</v>
      </c>
      <c r="H44">
        <f>VLOOKUP(H6,'Feed parameters'!$A$2:$G$200,7, FALSE)</f>
        <v>0.56999999999999995</v>
      </c>
      <c r="I44">
        <f>VLOOKUP(I6,'Feed parameters'!$A$2:$G$200,7, FALSE)</f>
        <v>0.57999999999999996</v>
      </c>
      <c r="J44">
        <f>VLOOKUP(J6,'Feed parameters'!$A$2:$G$200,7, FALSE)</f>
        <v>0.61</v>
      </c>
      <c r="K44">
        <f>VLOOKUP(K6,'Feed parameters'!$A$2:$G$200,7, FALSE)</f>
        <v>0</v>
      </c>
      <c r="L44" s="510">
        <f>IFERROR(SUMPRODUCT(E42:K42,E44:K44)/ SUM(E42:K42), 0)</f>
        <v>0.54272999999999993</v>
      </c>
      <c r="M44" s="395" t="s">
        <v>834</v>
      </c>
      <c r="N44" s="755">
        <f t="shared" ref="N44:T44" si="26">N37</f>
        <v>0.79859999999999998</v>
      </c>
      <c r="O44" s="755">
        <f t="shared" si="26"/>
        <v>0.44</v>
      </c>
      <c r="P44" s="755">
        <f t="shared" si="26"/>
        <v>0.49</v>
      </c>
      <c r="Q44" s="755">
        <f t="shared" si="26"/>
        <v>0.56999999999999995</v>
      </c>
      <c r="R44" s="755">
        <f t="shared" si="26"/>
        <v>0.57999999999999996</v>
      </c>
      <c r="S44" s="755">
        <f t="shared" si="26"/>
        <v>0.61</v>
      </c>
      <c r="T44" s="755">
        <f t="shared" si="26"/>
        <v>0</v>
      </c>
      <c r="U44" s="393">
        <f>IFERROR(SUMPRODUCT(N42:T42,N44:T44)/ SUM(N42:T42), 0)</f>
        <v>0.5553880000000001</v>
      </c>
      <c r="V44" s="592">
        <f>L44*$G$3+U44*$P$3</f>
        <v>0.54768916164383563</v>
      </c>
    </row>
    <row r="45" spans="1:23">
      <c r="A45" s="273"/>
      <c r="B45" s="526"/>
      <c r="C45" s="544"/>
      <c r="D45" s="522" t="s">
        <v>925</v>
      </c>
      <c r="E45" s="382">
        <f>VLOOKUP(E6,'Feed parameters'!$A$2:$G$200,4, FALSE)</f>
        <v>10.89</v>
      </c>
      <c r="F45" s="273">
        <f>VLOOKUP(F6,'Feed parameters'!$A$2:$G$200,4, FALSE)</f>
        <v>4.7</v>
      </c>
      <c r="G45" s="273">
        <f>VLOOKUP(G6,'Feed parameters'!$A$2:$G$200,4, FALSE)</f>
        <v>8.4</v>
      </c>
      <c r="H45" s="273">
        <f>VLOOKUP(H6,'Feed parameters'!$A$2:$G$200,4, FALSE)</f>
        <v>8.4</v>
      </c>
      <c r="I45" s="273">
        <f>VLOOKUP(I6,'Feed parameters'!$A$2:$G$200,4, FALSE)</f>
        <v>8.5</v>
      </c>
      <c r="J45" s="273">
        <f>VLOOKUP(J6,'Feed parameters'!$A$2:$G$200,4, FALSE)</f>
        <v>1.4821271999999999</v>
      </c>
      <c r="K45" s="273">
        <f>VLOOKUP(K6,'Feed parameters'!$A$2:$G$200,4, FALSE)</f>
        <v>0</v>
      </c>
      <c r="L45" s="392">
        <f>IFERROR(SUMPRODUCT(E42:K42,E45:K45)/ SUM(E42:K42), 0)</f>
        <v>6.1918190800000001</v>
      </c>
      <c r="M45" s="395" t="s">
        <v>925</v>
      </c>
      <c r="N45" s="755">
        <f t="shared" ref="N45:T45" si="27">N38</f>
        <v>10.89</v>
      </c>
      <c r="O45" s="755">
        <f t="shared" si="27"/>
        <v>4.7</v>
      </c>
      <c r="P45" s="755">
        <f t="shared" si="27"/>
        <v>8.4</v>
      </c>
      <c r="Q45" s="755">
        <f t="shared" si="27"/>
        <v>8.4</v>
      </c>
      <c r="R45" s="755">
        <f t="shared" si="27"/>
        <v>8.5</v>
      </c>
      <c r="S45" s="755">
        <f t="shared" si="27"/>
        <v>1.4821271999999999</v>
      </c>
      <c r="T45" s="755">
        <f t="shared" si="27"/>
        <v>0</v>
      </c>
      <c r="U45" s="383">
        <f>IFERROR(SUMPRODUCT(N42:T42,N45:T45)/ SUM(N42:T42), 0)</f>
        <v>7.3247701760000021</v>
      </c>
      <c r="V45" s="592"/>
    </row>
    <row r="46" spans="1:23" s="147" customFormat="1">
      <c r="B46" s="521"/>
      <c r="C46" s="540"/>
      <c r="D46" s="522" t="s">
        <v>1197</v>
      </c>
      <c r="E46" s="382">
        <f>VLOOKUP(E6,'Feed parameters'!$A$2:$G$200,2, FALSE)</f>
        <v>90</v>
      </c>
      <c r="F46" s="273">
        <f>VLOOKUP(F6,'Feed parameters'!$A$2:$G$200,2, FALSE)</f>
        <v>29.05</v>
      </c>
      <c r="G46" s="273">
        <f>VLOOKUP(G6,'Feed parameters'!$A$2:$G$200,2, FALSE)</f>
        <v>87</v>
      </c>
      <c r="H46" s="274">
        <f>VLOOKUP(H6,'Feed parameters'!$A$2:$G$200,2, FALSE)</f>
        <v>22</v>
      </c>
      <c r="I46" s="273">
        <f>VLOOKUP(I6,'Feed parameters'!$A$2:$G$200,2, FALSE)</f>
        <v>24.9</v>
      </c>
      <c r="J46" s="273">
        <f>VLOOKUP(J6,'Feed parameters'!$A$2:$G$200,2, FALSE)</f>
        <v>15</v>
      </c>
      <c r="K46" s="273">
        <f>VLOOKUP(K6,'Feed parameters'!$A$2:$G$200,2, FALSE)</f>
        <v>0</v>
      </c>
      <c r="L46" s="383">
        <f>IFERROR(SUMPRODUCT(E42:K42,E46:K46)/ SUM(E42:K42), 0)</f>
        <v>29.261000000000003</v>
      </c>
      <c r="M46" s="566" t="s">
        <v>1197</v>
      </c>
      <c r="N46" s="755">
        <f t="shared" ref="N46:T46" si="28">N39</f>
        <v>90</v>
      </c>
      <c r="O46" s="755">
        <f t="shared" si="28"/>
        <v>29.05</v>
      </c>
      <c r="P46" s="755">
        <f t="shared" si="28"/>
        <v>87</v>
      </c>
      <c r="Q46" s="755">
        <f t="shared" si="28"/>
        <v>22</v>
      </c>
      <c r="R46" s="755">
        <f t="shared" si="28"/>
        <v>24.9</v>
      </c>
      <c r="S46" s="755">
        <f t="shared" si="28"/>
        <v>15</v>
      </c>
      <c r="T46" s="755">
        <f t="shared" si="28"/>
        <v>0</v>
      </c>
      <c r="U46" s="392">
        <f>IFERROR(SUMPRODUCT(N42:T42,N46:T46)/ SUM(N42:T42), 0)</f>
        <v>38.591000000000015</v>
      </c>
      <c r="V46" s="592">
        <f>L46*$G$3+U46*$P$3</f>
        <v>32.916315068493162</v>
      </c>
    </row>
    <row r="47" spans="1:23" s="147" customFormat="1">
      <c r="B47" s="521"/>
      <c r="C47" s="540"/>
      <c r="D47" s="522" t="s">
        <v>1215</v>
      </c>
      <c r="E47" s="382">
        <f t="shared" ref="E47:K47" si="29">IFERROR((E42*E46)/SUMPRODUCT($E42:$K42,$E46:$K46), 0)</f>
        <v>0.15378831892279826</v>
      </c>
      <c r="F47" s="273">
        <f t="shared" si="29"/>
        <v>0.35740405317658314</v>
      </c>
      <c r="G47" s="273">
        <f t="shared" si="29"/>
        <v>5.9464816650148654E-2</v>
      </c>
      <c r="H47" s="273">
        <f t="shared" si="29"/>
        <v>3.7592700181128466E-2</v>
      </c>
      <c r="I47" s="273">
        <f t="shared" si="29"/>
        <v>0.31485595160794227</v>
      </c>
      <c r="J47" s="273">
        <f t="shared" si="29"/>
        <v>7.6894159461399131E-2</v>
      </c>
      <c r="K47" s="273">
        <f t="shared" si="29"/>
        <v>0</v>
      </c>
      <c r="L47" s="383"/>
      <c r="M47" s="566" t="s">
        <v>1215</v>
      </c>
      <c r="N47" s="273">
        <f t="shared" ref="N47:T47" si="30">IFERROR((N42*N46)/SUMPRODUCT($N42:$T42,$N46:$T46), 0)</f>
        <v>0.18657199865253554</v>
      </c>
      <c r="O47" s="273">
        <f t="shared" si="30"/>
        <v>0.15055323780155994</v>
      </c>
      <c r="P47" s="273">
        <f t="shared" si="30"/>
        <v>0.3381617475577206</v>
      </c>
      <c r="Q47" s="273">
        <f t="shared" si="30"/>
        <v>0.17102433209815757</v>
      </c>
      <c r="R47" s="273">
        <f t="shared" si="30"/>
        <v>0.12259335078127022</v>
      </c>
      <c r="S47" s="273">
        <f t="shared" si="30"/>
        <v>3.109533310875592E-2</v>
      </c>
      <c r="T47" s="273">
        <f t="shared" si="30"/>
        <v>0</v>
      </c>
      <c r="U47" s="392"/>
      <c r="V47" s="592"/>
    </row>
    <row r="48" spans="1:23" s="147" customFormat="1">
      <c r="A48" s="273"/>
      <c r="B48" s="526"/>
      <c r="C48" s="544"/>
      <c r="D48" s="522"/>
      <c r="E48" s="382"/>
      <c r="F48" s="273"/>
      <c r="G48" s="273"/>
      <c r="H48" s="273"/>
      <c r="I48" s="273"/>
      <c r="J48" s="273"/>
      <c r="K48" s="273"/>
      <c r="L48" s="386"/>
      <c r="M48" s="395"/>
      <c r="N48" s="273"/>
      <c r="O48" s="273"/>
      <c r="P48" s="273"/>
      <c r="Q48" s="273"/>
      <c r="R48" s="273"/>
      <c r="S48" s="273"/>
      <c r="T48" s="273"/>
      <c r="U48" s="386"/>
      <c r="V48" s="592"/>
    </row>
    <row r="49" spans="2:23" s="304" customFormat="1">
      <c r="B49" s="527" t="str">
        <f>INPUTS!C24</f>
        <v>Calves improved</v>
      </c>
      <c r="C49" s="545"/>
      <c r="D49" s="520" t="s">
        <v>1214</v>
      </c>
      <c r="E49" s="380">
        <f>INPUTS!I52</f>
        <v>0</v>
      </c>
      <c r="F49" s="305">
        <f>INPUTS!I53</f>
        <v>0</v>
      </c>
      <c r="G49" s="305">
        <f>INPUTS!I54</f>
        <v>0</v>
      </c>
      <c r="H49" s="306">
        <f>INPUTS!I55</f>
        <v>0</v>
      </c>
      <c r="I49" s="305">
        <f>INPUTS!I56</f>
        <v>0</v>
      </c>
      <c r="J49" s="305">
        <f>INPUTS!I57</f>
        <v>0</v>
      </c>
      <c r="K49" s="305">
        <f>INPUTS!I58</f>
        <v>0</v>
      </c>
      <c r="L49" s="381"/>
      <c r="M49" s="582" t="s">
        <v>1214</v>
      </c>
      <c r="N49" s="305">
        <f>INPUTS!S52</f>
        <v>0</v>
      </c>
      <c r="O49" s="305">
        <f>INPUTS!S53</f>
        <v>0</v>
      </c>
      <c r="P49" s="305">
        <f>INPUTS!S54</f>
        <v>0</v>
      </c>
      <c r="Q49" s="305">
        <f>INPUTS!S55</f>
        <v>0</v>
      </c>
      <c r="R49" s="305">
        <f>INPUTS!S56</f>
        <v>0</v>
      </c>
      <c r="S49" s="305">
        <f>INPUTS!S57</f>
        <v>0</v>
      </c>
      <c r="T49" s="305">
        <f>INPUTS!S58</f>
        <v>0</v>
      </c>
      <c r="U49" s="391"/>
      <c r="V49" s="591"/>
    </row>
    <row r="50" spans="2:23" s="147" customFormat="1">
      <c r="B50" s="526"/>
      <c r="C50" s="544"/>
      <c r="D50" s="522" t="s">
        <v>833</v>
      </c>
      <c r="E50" s="382">
        <f>VLOOKUP(E6,'Feed parameters'!$A$2:$G$200,6, FALSE)</f>
        <v>14.4</v>
      </c>
      <c r="F50" s="273">
        <f>VLOOKUP(F6,'Feed parameters'!$A$2:$G$200,6, FALSE)</f>
        <v>4.3899999999999997</v>
      </c>
      <c r="G50" s="273">
        <f>VLOOKUP(G6,'Feed parameters'!$A$2:$G$200,6, FALSE)</f>
        <v>6.8</v>
      </c>
      <c r="H50" s="274">
        <f>VLOOKUP(H6,'Feed parameters'!$A$2:$G$200,6, FALSE)</f>
        <v>8.8000000000000007</v>
      </c>
      <c r="I50" s="273">
        <f>VLOOKUP(I6,'Feed parameters'!$A$2:$G$200,6, FALSE)</f>
        <v>9</v>
      </c>
      <c r="J50" s="273">
        <f>VLOOKUP(J6,'Feed parameters'!$A$2:$G$200,6, FALSE)</f>
        <v>9.5</v>
      </c>
      <c r="K50" s="273">
        <f>VLOOKUP(K6,'Feed parameters'!$A$2:$G$200,6, FALSE)</f>
        <v>0</v>
      </c>
      <c r="L50" s="383">
        <f>IFERROR(SUMPRODUCT(E49:K49,E50:K50)/ SUM(E49:K49), 0)</f>
        <v>0</v>
      </c>
      <c r="M50" s="395" t="s">
        <v>833</v>
      </c>
      <c r="N50" s="755">
        <f>N43</f>
        <v>14.4</v>
      </c>
      <c r="O50" s="755">
        <f t="shared" ref="O50:T50" si="31">O43</f>
        <v>4.3899999999999997</v>
      </c>
      <c r="P50" s="755">
        <f t="shared" si="31"/>
        <v>6.8</v>
      </c>
      <c r="Q50" s="755">
        <f t="shared" si="31"/>
        <v>8.8000000000000007</v>
      </c>
      <c r="R50" s="755">
        <f t="shared" si="31"/>
        <v>9</v>
      </c>
      <c r="S50" s="755">
        <f t="shared" si="31"/>
        <v>9.5</v>
      </c>
      <c r="T50" s="755">
        <f t="shared" si="31"/>
        <v>0</v>
      </c>
      <c r="U50" s="392">
        <f>IFERROR(SUMPRODUCT(N49:T49,N50:T50)/ SUM(N49:T49), 0)</f>
        <v>0</v>
      </c>
      <c r="V50" s="592">
        <f>L50*$G$3+U50*$P$3</f>
        <v>0</v>
      </c>
      <c r="W50" s="500" t="e">
        <f>L50*$G$3/(L53*0.01)+U50*$P$3/(U53*0.01)</f>
        <v>#DIV/0!</v>
      </c>
    </row>
    <row r="51" spans="2:23" s="147" customFormat="1">
      <c r="B51" s="526"/>
      <c r="C51" s="544"/>
      <c r="D51" s="522" t="s">
        <v>834</v>
      </c>
      <c r="E51" s="382">
        <f>VLOOKUP(E6,'Feed parameters'!$A$2:$G$200,7, FALSE)</f>
        <v>0.79859999999999998</v>
      </c>
      <c r="F51" s="273">
        <f>VLOOKUP(F6,'Feed parameters'!$A$2:$G$200,7, FALSE)</f>
        <v>0.44</v>
      </c>
      <c r="G51" s="273">
        <f>VLOOKUP(G6,'Feed parameters'!$A$2:$G$200,7, FALSE)</f>
        <v>0.49</v>
      </c>
      <c r="H51" s="274">
        <f>VLOOKUP(H6,'Feed parameters'!$A$2:$G$200,7, FALSE)</f>
        <v>0.56999999999999995</v>
      </c>
      <c r="I51" s="273">
        <f>VLOOKUP(I6,'Feed parameters'!$A$2:$G$200,7, FALSE)</f>
        <v>0.57999999999999996</v>
      </c>
      <c r="J51" s="273">
        <f>VLOOKUP(J6,'Feed parameters'!$A$2:$G$200,7, FALSE)</f>
        <v>0.61</v>
      </c>
      <c r="K51" s="273">
        <f>VLOOKUP(K6,'Feed parameters'!$A$2:$G$200,7, FALSE)</f>
        <v>0</v>
      </c>
      <c r="L51" s="383">
        <f>IFERROR(SUMPRODUCT(E49:K49,E51:K51)/ SUM(E49:K49), 0)</f>
        <v>0</v>
      </c>
      <c r="M51" s="395" t="s">
        <v>834</v>
      </c>
      <c r="N51" s="755">
        <f t="shared" ref="N51:T51" si="32">N44</f>
        <v>0.79859999999999998</v>
      </c>
      <c r="O51" s="755">
        <f t="shared" si="32"/>
        <v>0.44</v>
      </c>
      <c r="P51" s="755">
        <f t="shared" si="32"/>
        <v>0.49</v>
      </c>
      <c r="Q51" s="755">
        <f t="shared" si="32"/>
        <v>0.56999999999999995</v>
      </c>
      <c r="R51" s="755">
        <f t="shared" si="32"/>
        <v>0.57999999999999996</v>
      </c>
      <c r="S51" s="755">
        <f t="shared" si="32"/>
        <v>0.61</v>
      </c>
      <c r="T51" s="755">
        <f t="shared" si="32"/>
        <v>0</v>
      </c>
      <c r="U51" s="392">
        <f>IFERROR(SUMPRODUCT(N49:T49,N51:T51)/ SUM(N49:T49), 0)</f>
        <v>0</v>
      </c>
      <c r="V51" s="592">
        <f>L51*$G$3+U51*$P$3</f>
        <v>0</v>
      </c>
    </row>
    <row r="52" spans="2:23" s="147" customFormat="1">
      <c r="B52" s="526"/>
      <c r="C52" s="544"/>
      <c r="D52" s="522" t="s">
        <v>925</v>
      </c>
      <c r="E52" s="382">
        <f>VLOOKUP(E6,'Feed parameters'!$A$2:$G$200,4, FALSE)</f>
        <v>10.89</v>
      </c>
      <c r="F52" s="273">
        <f>VLOOKUP(F6,'Feed parameters'!$A$2:$G$200,4, FALSE)</f>
        <v>4.7</v>
      </c>
      <c r="G52" s="273">
        <f>VLOOKUP(G6,'Feed parameters'!$A$2:$G$200,4, FALSE)</f>
        <v>8.4</v>
      </c>
      <c r="H52" s="274">
        <f>VLOOKUP(H6,'Feed parameters'!$A$2:$G$200,4, FALSE)</f>
        <v>8.4</v>
      </c>
      <c r="I52" s="273">
        <f>VLOOKUP(I6,'Feed parameters'!$A$2:$G$200,4, FALSE)</f>
        <v>8.5</v>
      </c>
      <c r="J52" s="273">
        <f>VLOOKUP(J6,'Feed parameters'!$A$2:$G$200,4, FALSE)</f>
        <v>1.4821271999999999</v>
      </c>
      <c r="K52" s="273">
        <f>VLOOKUP(K6,'Feed parameters'!$A$2:$G$200,4, FALSE)</f>
        <v>0</v>
      </c>
      <c r="L52" s="383">
        <f>IFERROR(SUMPRODUCT(E49:K49,E52:K52)/ SUM(E49:K49), 0)</f>
        <v>0</v>
      </c>
      <c r="M52" s="395" t="s">
        <v>925</v>
      </c>
      <c r="N52" s="755">
        <f t="shared" ref="N52:T52" si="33">N45</f>
        <v>10.89</v>
      </c>
      <c r="O52" s="755">
        <f t="shared" si="33"/>
        <v>4.7</v>
      </c>
      <c r="P52" s="755">
        <f t="shared" si="33"/>
        <v>8.4</v>
      </c>
      <c r="Q52" s="755">
        <f t="shared" si="33"/>
        <v>8.4</v>
      </c>
      <c r="R52" s="755">
        <f t="shared" si="33"/>
        <v>8.5</v>
      </c>
      <c r="S52" s="755">
        <f t="shared" si="33"/>
        <v>1.4821271999999999</v>
      </c>
      <c r="T52" s="755">
        <f t="shared" si="33"/>
        <v>0</v>
      </c>
      <c r="U52" s="392">
        <f>IFERROR(SUMPRODUCT(N49:T49,N52:T52)/ SUM(N49:T49), 0)</f>
        <v>0</v>
      </c>
      <c r="V52" s="592"/>
    </row>
    <row r="53" spans="2:23" s="147" customFormat="1">
      <c r="B53" s="521"/>
      <c r="C53" s="540"/>
      <c r="D53" s="522" t="s">
        <v>1197</v>
      </c>
      <c r="E53" s="382">
        <f>VLOOKUP(E6,'Feed parameters'!$A$2:$G$200,2, FALSE)</f>
        <v>90</v>
      </c>
      <c r="F53" s="273">
        <f>VLOOKUP(F6,'Feed parameters'!$A$2:$G$200,2, FALSE)</f>
        <v>29.05</v>
      </c>
      <c r="G53" s="273">
        <f>VLOOKUP(G6,'Feed parameters'!$A$2:$G$200,2, FALSE)</f>
        <v>87</v>
      </c>
      <c r="H53" s="274">
        <f>VLOOKUP(H6,'Feed parameters'!$A$2:$G$200,2, FALSE)</f>
        <v>22</v>
      </c>
      <c r="I53" s="273">
        <f>VLOOKUP(I6,'Feed parameters'!$A$2:$G$200,2, FALSE)</f>
        <v>24.9</v>
      </c>
      <c r="J53" s="273">
        <f>VLOOKUP(J6,'Feed parameters'!$A$2:$G$200,2, FALSE)</f>
        <v>15</v>
      </c>
      <c r="K53" s="273">
        <f>VLOOKUP(K6,'Feed parameters'!$A$2:$G$200,2, FALSE)</f>
        <v>0</v>
      </c>
      <c r="L53" s="383">
        <f>IFERROR(SUMPRODUCT(E49:K49,E53:K53)/ SUM(E49:K49), 0)</f>
        <v>0</v>
      </c>
      <c r="M53" s="566" t="s">
        <v>1197</v>
      </c>
      <c r="N53" s="755">
        <f t="shared" ref="N53:T53" si="34">N46</f>
        <v>90</v>
      </c>
      <c r="O53" s="755">
        <f t="shared" si="34"/>
        <v>29.05</v>
      </c>
      <c r="P53" s="755">
        <f t="shared" si="34"/>
        <v>87</v>
      </c>
      <c r="Q53" s="755">
        <f t="shared" si="34"/>
        <v>22</v>
      </c>
      <c r="R53" s="755">
        <f t="shared" si="34"/>
        <v>24.9</v>
      </c>
      <c r="S53" s="755">
        <f t="shared" si="34"/>
        <v>15</v>
      </c>
      <c r="T53" s="755">
        <f t="shared" si="34"/>
        <v>0</v>
      </c>
      <c r="U53" s="392">
        <f>IFERROR(SUMPRODUCT(N49:T49,N53:T53)/ SUM(N49:T49), 0)</f>
        <v>0</v>
      </c>
      <c r="V53" s="592">
        <f>L53*$G$3+U53*$P$3</f>
        <v>0</v>
      </c>
    </row>
    <row r="54" spans="2:23" s="147" customFormat="1">
      <c r="B54" s="521"/>
      <c r="C54" s="540"/>
      <c r="D54" s="522" t="s">
        <v>1215</v>
      </c>
      <c r="E54" s="382">
        <f t="shared" ref="E54:K54" si="35">IFERROR((E49*E53)/SUMPRODUCT($E49:$K49,$E53:$K53), 0)</f>
        <v>0</v>
      </c>
      <c r="F54" s="273">
        <f t="shared" si="35"/>
        <v>0</v>
      </c>
      <c r="G54" s="273">
        <f t="shared" si="35"/>
        <v>0</v>
      </c>
      <c r="H54" s="273">
        <f t="shared" si="35"/>
        <v>0</v>
      </c>
      <c r="I54" s="273">
        <f t="shared" si="35"/>
        <v>0</v>
      </c>
      <c r="J54" s="273">
        <f t="shared" si="35"/>
        <v>0</v>
      </c>
      <c r="K54" s="273">
        <f t="shared" si="35"/>
        <v>0</v>
      </c>
      <c r="L54" s="383"/>
      <c r="M54" s="566" t="s">
        <v>1215</v>
      </c>
      <c r="N54" s="273">
        <f t="shared" ref="N54:T54" si="36">IFERROR((N49*N53)/SUMPRODUCT($N49:$T49,$N53:$T53), 0)</f>
        <v>0</v>
      </c>
      <c r="O54" s="273">
        <f t="shared" si="36"/>
        <v>0</v>
      </c>
      <c r="P54" s="273">
        <f t="shared" si="36"/>
        <v>0</v>
      </c>
      <c r="Q54" s="273">
        <f t="shared" si="36"/>
        <v>0</v>
      </c>
      <c r="R54" s="273">
        <f t="shared" si="36"/>
        <v>0</v>
      </c>
      <c r="S54" s="273">
        <f t="shared" si="36"/>
        <v>0</v>
      </c>
      <c r="T54" s="273">
        <f t="shared" si="36"/>
        <v>0</v>
      </c>
      <c r="U54" s="392"/>
      <c r="V54" s="592"/>
    </row>
    <row r="55" spans="2:23" s="147" customFormat="1">
      <c r="B55" s="528"/>
      <c r="C55" s="546"/>
      <c r="D55" s="522"/>
      <c r="E55" s="387"/>
      <c r="H55" s="231"/>
      <c r="L55" s="388"/>
      <c r="M55" s="396"/>
      <c r="U55" s="394"/>
      <c r="V55" s="592"/>
    </row>
    <row r="56" spans="2:23" s="305" customFormat="1">
      <c r="B56" s="527" t="str">
        <f>INPUTS!C25</f>
        <v>Sheep</v>
      </c>
      <c r="C56" s="545"/>
      <c r="D56" s="520" t="s">
        <v>1214</v>
      </c>
      <c r="E56" s="380">
        <f>INPUTS!J52</f>
        <v>0</v>
      </c>
      <c r="F56" s="305">
        <f>INPUTS!J53</f>
        <v>0</v>
      </c>
      <c r="G56" s="305">
        <f>INPUTS!J54</f>
        <v>0</v>
      </c>
      <c r="H56" s="305">
        <f>INPUTS!J55</f>
        <v>0</v>
      </c>
      <c r="I56" s="305">
        <f>INPUTS!J56</f>
        <v>0</v>
      </c>
      <c r="J56" s="305">
        <f>INPUTS!J57</f>
        <v>0</v>
      </c>
      <c r="K56" s="305">
        <f>INPUTS!J58</f>
        <v>0</v>
      </c>
      <c r="L56" s="381"/>
      <c r="M56" s="582" t="s">
        <v>1214</v>
      </c>
      <c r="N56" s="305">
        <f>INPUTS!T52</f>
        <v>0</v>
      </c>
      <c r="O56" s="305">
        <f>INPUTS!T53</f>
        <v>0</v>
      </c>
      <c r="P56" s="305">
        <f>INPUTS!T54</f>
        <v>0</v>
      </c>
      <c r="Q56" s="305">
        <f>INPUTS!T55</f>
        <v>0</v>
      </c>
      <c r="R56" s="305">
        <f>INPUTS!T56</f>
        <v>0</v>
      </c>
      <c r="S56" s="305">
        <f>INPUTS!T57</f>
        <v>0</v>
      </c>
      <c r="T56" s="305">
        <f>INPUTS!T58</f>
        <v>0</v>
      </c>
      <c r="U56" s="391"/>
      <c r="V56" s="591"/>
    </row>
    <row r="57" spans="2:23" s="147" customFormat="1">
      <c r="B57" s="524"/>
      <c r="C57" s="542"/>
      <c r="D57" s="522" t="s">
        <v>833</v>
      </c>
      <c r="E57" s="384">
        <f>VLOOKUP(E6,'Feed parameters'!$A$2:$G$200,6, FALSE)</f>
        <v>14.4</v>
      </c>
      <c r="F57" s="189">
        <f>VLOOKUP(F6,'Feed parameters'!$A$2:$G$200,6, FALSE)</f>
        <v>4.3899999999999997</v>
      </c>
      <c r="G57" s="189">
        <f>VLOOKUP(G6,'Feed parameters'!$A$2:$G$200,6, FALSE)</f>
        <v>6.8</v>
      </c>
      <c r="H57" s="231">
        <f>VLOOKUP(H6,'Feed parameters'!$A$2:$G$200,6, FALSE)</f>
        <v>8.8000000000000007</v>
      </c>
      <c r="I57" s="189">
        <f>VLOOKUP(I6,'Feed parameters'!$A$2:$G$200,6, FALSE)</f>
        <v>9</v>
      </c>
      <c r="J57" s="189">
        <f>VLOOKUP(J6,'Feed parameters'!$A$2:$G$200,6, FALSE)</f>
        <v>9.5</v>
      </c>
      <c r="K57" s="189">
        <f>VLOOKUP(K6,'Feed parameters'!$A$2:$G$200,6, FALSE)</f>
        <v>0</v>
      </c>
      <c r="L57" s="385">
        <f>IFERROR(SUMPRODUCT(E56:K56,E57:K57)/ SUM(E56:K56),0)</f>
        <v>0</v>
      </c>
      <c r="M57" s="395" t="s">
        <v>833</v>
      </c>
      <c r="N57" s="755">
        <f>N50</f>
        <v>14.4</v>
      </c>
      <c r="O57" s="755">
        <f t="shared" ref="O57:T57" si="37">O50</f>
        <v>4.3899999999999997</v>
      </c>
      <c r="P57" s="755">
        <f t="shared" si="37"/>
        <v>6.8</v>
      </c>
      <c r="Q57" s="755">
        <f t="shared" si="37"/>
        <v>8.8000000000000007</v>
      </c>
      <c r="R57" s="755">
        <f t="shared" si="37"/>
        <v>9</v>
      </c>
      <c r="S57" s="755">
        <f t="shared" si="37"/>
        <v>9.5</v>
      </c>
      <c r="T57" s="755">
        <f t="shared" si="37"/>
        <v>0</v>
      </c>
      <c r="U57" s="393">
        <f>IFERROR(SUMPRODUCT(N56:T56,N57:T57)/ SUM(N56:T56),0)</f>
        <v>0</v>
      </c>
      <c r="V57" s="592">
        <f>L57*$G$3+U57*$P$3</f>
        <v>0</v>
      </c>
      <c r="W57" s="500" t="e">
        <f>L57*$G$3/(L60*0.01)+U57*$P$3/(U60*0.01)</f>
        <v>#DIV/0!</v>
      </c>
    </row>
    <row r="58" spans="2:23" s="147" customFormat="1">
      <c r="B58" s="528"/>
      <c r="C58" s="546"/>
      <c r="D58" s="522" t="s">
        <v>834</v>
      </c>
      <c r="E58" s="387">
        <f>VLOOKUP(E6,'Feed parameters'!$A$2:$G$200,7, FALSE)</f>
        <v>0.79859999999999998</v>
      </c>
      <c r="F58" s="147">
        <f>VLOOKUP(F6,'Feed parameters'!$A$2:$G$200,7, FALSE)</f>
        <v>0.44</v>
      </c>
      <c r="G58" s="147">
        <f>VLOOKUP(G6,'Feed parameters'!$A$2:$G$200,7, FALSE)</f>
        <v>0.49</v>
      </c>
      <c r="H58" s="231">
        <f>VLOOKUP(H6,'Feed parameters'!$A$2:$G$200,7, FALSE)</f>
        <v>0.56999999999999995</v>
      </c>
      <c r="I58" s="147">
        <f>VLOOKUP(I6,'Feed parameters'!$A$2:$G$200,7, FALSE)</f>
        <v>0.57999999999999996</v>
      </c>
      <c r="J58" s="147">
        <f>VLOOKUP(J6,'Feed parameters'!$A$2:$G$200,7, FALSE)</f>
        <v>0.61</v>
      </c>
      <c r="K58" s="147">
        <f>VLOOKUP(K6,'Feed parameters'!$A$2:$G$200,7, FALSE)</f>
        <v>0</v>
      </c>
      <c r="L58" s="388">
        <f>IFERROR(SUMPRODUCT(E56:K56,E58:K58)/ SUM(E56:K56),0)</f>
        <v>0</v>
      </c>
      <c r="M58" s="395" t="s">
        <v>834</v>
      </c>
      <c r="N58" s="755">
        <f t="shared" ref="N58:T58" si="38">N51</f>
        <v>0.79859999999999998</v>
      </c>
      <c r="O58" s="755">
        <f t="shared" si="38"/>
        <v>0.44</v>
      </c>
      <c r="P58" s="755">
        <f t="shared" si="38"/>
        <v>0.49</v>
      </c>
      <c r="Q58" s="755">
        <f t="shared" si="38"/>
        <v>0.56999999999999995</v>
      </c>
      <c r="R58" s="755">
        <f t="shared" si="38"/>
        <v>0.57999999999999996</v>
      </c>
      <c r="S58" s="755">
        <f t="shared" si="38"/>
        <v>0.61</v>
      </c>
      <c r="T58" s="755">
        <f t="shared" si="38"/>
        <v>0</v>
      </c>
      <c r="U58" s="394">
        <f>IFERROR(SUMPRODUCT(N56:T56,N58:T58)/ SUM(N56:T56),0)</f>
        <v>0</v>
      </c>
      <c r="V58" s="592">
        <f>L58*$G$3+U58*$P$3</f>
        <v>0</v>
      </c>
    </row>
    <row r="59" spans="2:23" s="147" customFormat="1">
      <c r="B59" s="526"/>
      <c r="C59" s="544"/>
      <c r="D59" s="522" t="s">
        <v>925</v>
      </c>
      <c r="E59" s="382">
        <f>VLOOKUP(E6,'Feed parameters'!$A$2:$G$200,4, FALSE)</f>
        <v>10.89</v>
      </c>
      <c r="F59" s="273">
        <f>VLOOKUP(F6,'Feed parameters'!$A$2:$G$200,4, FALSE)</f>
        <v>4.7</v>
      </c>
      <c r="G59" s="273">
        <f>VLOOKUP(G6,'Feed parameters'!$A$2:$G$200,4, FALSE)</f>
        <v>8.4</v>
      </c>
      <c r="H59" s="274">
        <f>VLOOKUP(H6,'Feed parameters'!$A$2:$G$200,4, FALSE)</f>
        <v>8.4</v>
      </c>
      <c r="I59" s="273">
        <f>VLOOKUP(I6,'Feed parameters'!$A$2:$G$200,4, FALSE)</f>
        <v>8.5</v>
      </c>
      <c r="J59" s="273">
        <f>VLOOKUP(J6,'Feed parameters'!$A$2:$G$200,4, FALSE)</f>
        <v>1.4821271999999999</v>
      </c>
      <c r="K59" s="273">
        <f>VLOOKUP(K6,'Feed parameters'!$A$2:$G$200,4, FALSE)</f>
        <v>0</v>
      </c>
      <c r="L59" s="383">
        <f>IFERROR(SUMPRODUCT(E56:K56,E59:K59)/ SUM(E56:K56),0)</f>
        <v>0</v>
      </c>
      <c r="M59" s="395" t="s">
        <v>925</v>
      </c>
      <c r="N59" s="755">
        <f t="shared" ref="N59:T59" si="39">N52</f>
        <v>10.89</v>
      </c>
      <c r="O59" s="755">
        <f t="shared" si="39"/>
        <v>4.7</v>
      </c>
      <c r="P59" s="755">
        <f t="shared" si="39"/>
        <v>8.4</v>
      </c>
      <c r="Q59" s="755">
        <f t="shared" si="39"/>
        <v>8.4</v>
      </c>
      <c r="R59" s="755">
        <f t="shared" si="39"/>
        <v>8.5</v>
      </c>
      <c r="S59" s="755">
        <f t="shared" si="39"/>
        <v>1.4821271999999999</v>
      </c>
      <c r="T59" s="755">
        <f t="shared" si="39"/>
        <v>0</v>
      </c>
      <c r="U59" s="392">
        <f>IFERROR(SUMPRODUCT(N56:T56,N59:T59)/ SUM(N56:T56),0)</f>
        <v>0</v>
      </c>
      <c r="V59" s="592"/>
    </row>
    <row r="60" spans="2:23" s="147" customFormat="1">
      <c r="B60" s="521"/>
      <c r="C60" s="540"/>
      <c r="D60" s="522" t="s">
        <v>1197</v>
      </c>
      <c r="E60" s="382">
        <f>VLOOKUP(E6,'Feed parameters'!$A$2:$G$200,2, FALSE)</f>
        <v>90</v>
      </c>
      <c r="F60" s="273">
        <f>VLOOKUP(F6,'Feed parameters'!$A$2:$G$200,2, FALSE)</f>
        <v>29.05</v>
      </c>
      <c r="G60" s="273">
        <f>VLOOKUP(G6,'Feed parameters'!$A$2:$G$200,2, FALSE)</f>
        <v>87</v>
      </c>
      <c r="H60" s="274">
        <f>VLOOKUP(H6,'Feed parameters'!$A$2:$G$200,2, FALSE)</f>
        <v>22</v>
      </c>
      <c r="I60" s="273">
        <f>VLOOKUP(I6,'Feed parameters'!$A$2:$G$200,2, FALSE)</f>
        <v>24.9</v>
      </c>
      <c r="J60" s="273">
        <f>VLOOKUP(J6,'Feed parameters'!$A$2:$G$200,2, FALSE)</f>
        <v>15</v>
      </c>
      <c r="K60" s="273">
        <f>VLOOKUP(K6,'Feed parameters'!$A$2:$G$200,2, FALSE)</f>
        <v>0</v>
      </c>
      <c r="L60" s="383">
        <f>IFERROR(SUMPRODUCT(E56:K56,E60:K60)/ SUM(E56:K56),0)</f>
        <v>0</v>
      </c>
      <c r="M60" s="566" t="s">
        <v>1197</v>
      </c>
      <c r="N60" s="755">
        <f t="shared" ref="N60:T60" si="40">N53</f>
        <v>90</v>
      </c>
      <c r="O60" s="755">
        <f t="shared" si="40"/>
        <v>29.05</v>
      </c>
      <c r="P60" s="755">
        <f t="shared" si="40"/>
        <v>87</v>
      </c>
      <c r="Q60" s="755">
        <f t="shared" si="40"/>
        <v>22</v>
      </c>
      <c r="R60" s="755">
        <f t="shared" si="40"/>
        <v>24.9</v>
      </c>
      <c r="S60" s="755">
        <f t="shared" si="40"/>
        <v>15</v>
      </c>
      <c r="T60" s="755">
        <f t="shared" si="40"/>
        <v>0</v>
      </c>
      <c r="U60" s="392">
        <f>IFERROR(SUMPRODUCT(N56:T56,N60:T60)/ SUM(N56:T56),0)</f>
        <v>0</v>
      </c>
      <c r="V60" s="592">
        <f>L60*$G$3+U60*$P$3</f>
        <v>0</v>
      </c>
    </row>
    <row r="61" spans="2:23" s="147" customFormat="1">
      <c r="B61" s="521"/>
      <c r="C61" s="540"/>
      <c r="D61" s="522" t="s">
        <v>1215</v>
      </c>
      <c r="E61" s="625">
        <f t="shared" ref="E61:K61" si="41">IFERROR((E56*E60)/SUMPRODUCT($E56:$K56,$E60:$K60),0)</f>
        <v>0</v>
      </c>
      <c r="F61" s="273">
        <f t="shared" si="41"/>
        <v>0</v>
      </c>
      <c r="G61" s="273">
        <f t="shared" si="41"/>
        <v>0</v>
      </c>
      <c r="H61" s="273">
        <f t="shared" si="41"/>
        <v>0</v>
      </c>
      <c r="I61" s="273">
        <f t="shared" si="41"/>
        <v>0</v>
      </c>
      <c r="J61" s="273">
        <f t="shared" si="41"/>
        <v>0</v>
      </c>
      <c r="K61" s="273">
        <f t="shared" si="41"/>
        <v>0</v>
      </c>
      <c r="L61" s="383"/>
      <c r="M61" s="566" t="s">
        <v>1215</v>
      </c>
      <c r="N61" s="273">
        <f t="shared" ref="N61:T61" si="42">IFERROR((N56*N60)/SUMPRODUCT($N56:$T56,$N60:$T60),0)</f>
        <v>0</v>
      </c>
      <c r="O61" s="273">
        <f t="shared" si="42"/>
        <v>0</v>
      </c>
      <c r="P61" s="273">
        <f t="shared" si="42"/>
        <v>0</v>
      </c>
      <c r="Q61" s="273">
        <f t="shared" si="42"/>
        <v>0</v>
      </c>
      <c r="R61" s="273">
        <f t="shared" si="42"/>
        <v>0</v>
      </c>
      <c r="S61" s="273">
        <f t="shared" si="42"/>
        <v>0</v>
      </c>
      <c r="T61" s="273">
        <f t="shared" si="42"/>
        <v>0</v>
      </c>
      <c r="U61" s="392"/>
      <c r="V61" s="592"/>
    </row>
    <row r="62" spans="2:23" s="147" customFormat="1" ht="16.5" customHeight="1">
      <c r="B62" s="528"/>
      <c r="C62" s="546"/>
      <c r="D62" s="522"/>
      <c r="E62" s="387"/>
      <c r="H62" s="231"/>
      <c r="L62" s="388"/>
      <c r="M62" s="396"/>
      <c r="U62" s="394"/>
      <c r="V62" s="592"/>
    </row>
    <row r="63" spans="2:23" s="305" customFormat="1">
      <c r="B63" s="527" t="str">
        <f>INPUTS!C26</f>
        <v>Goats</v>
      </c>
      <c r="C63" s="545"/>
      <c r="D63" s="520" t="s">
        <v>1214</v>
      </c>
      <c r="E63" s="380">
        <f>INPUTS!K52</f>
        <v>0</v>
      </c>
      <c r="F63" s="305">
        <f>INPUTS!K53</f>
        <v>0</v>
      </c>
      <c r="G63" s="305">
        <f>INPUTS!K54</f>
        <v>0</v>
      </c>
      <c r="H63" s="305">
        <f>INPUTS!K55</f>
        <v>0</v>
      </c>
      <c r="I63" s="305">
        <f>INPUTS!K56</f>
        <v>0</v>
      </c>
      <c r="J63" s="305">
        <f>INPUTS!K57</f>
        <v>0</v>
      </c>
      <c r="K63" s="305">
        <f>INPUTS!K58</f>
        <v>0</v>
      </c>
      <c r="L63" s="381"/>
      <c r="M63" s="582" t="s">
        <v>1214</v>
      </c>
      <c r="N63" s="305">
        <f>INPUTS!U52</f>
        <v>0</v>
      </c>
      <c r="O63" s="305">
        <f>INPUTS!U53</f>
        <v>0</v>
      </c>
      <c r="P63" s="305">
        <f>INPUTS!U54</f>
        <v>0</v>
      </c>
      <c r="Q63" s="305">
        <f>INPUTS!U55</f>
        <v>0</v>
      </c>
      <c r="R63" s="305">
        <f>INPUTS!U56</f>
        <v>0</v>
      </c>
      <c r="S63" s="305">
        <f>INPUTS!U57</f>
        <v>0</v>
      </c>
      <c r="T63" s="305">
        <f>INPUTS!U58</f>
        <v>0</v>
      </c>
      <c r="U63" s="391"/>
      <c r="V63" s="591"/>
    </row>
    <row r="64" spans="2:23" s="147" customFormat="1">
      <c r="B64" s="524"/>
      <c r="C64" s="542"/>
      <c r="D64" s="522" t="s">
        <v>833</v>
      </c>
      <c r="E64" s="384">
        <f>VLOOKUP(E6,'Feed parameters'!$A$2:$G$200,6, FALSE)</f>
        <v>14.4</v>
      </c>
      <c r="F64" s="189">
        <f>VLOOKUP(F6,'Feed parameters'!$A$2:$G$200,6, FALSE)</f>
        <v>4.3899999999999997</v>
      </c>
      <c r="G64" s="189">
        <f>VLOOKUP(G6,'Feed parameters'!$A$2:$G$200,6, FALSE)</f>
        <v>6.8</v>
      </c>
      <c r="H64" s="231">
        <f>VLOOKUP(H6,'Feed parameters'!$A$2:$G$200,6, FALSE)</f>
        <v>8.8000000000000007</v>
      </c>
      <c r="I64" s="189">
        <f>VLOOKUP(I6,'Feed parameters'!$A$2:$G$200,6, FALSE)</f>
        <v>9</v>
      </c>
      <c r="J64" s="189">
        <f>VLOOKUP(J6,'Feed parameters'!$A$2:$G$200,6, FALSE)</f>
        <v>9.5</v>
      </c>
      <c r="K64" s="189">
        <f>VLOOKUP(K6,'Feed parameters'!$A$2:$G$200,6, FALSE)</f>
        <v>0</v>
      </c>
      <c r="L64" s="385">
        <f>IFERROR(SUMPRODUCT(E63:K63,E64:K64)/ SUM(E63:K63),0)</f>
        <v>0</v>
      </c>
      <c r="M64" s="395" t="s">
        <v>833</v>
      </c>
      <c r="N64" s="755">
        <f>N57</f>
        <v>14.4</v>
      </c>
      <c r="O64" s="755">
        <f t="shared" ref="O64:T64" si="43">O57</f>
        <v>4.3899999999999997</v>
      </c>
      <c r="P64" s="755">
        <f t="shared" si="43"/>
        <v>6.8</v>
      </c>
      <c r="Q64" s="755">
        <f t="shared" si="43"/>
        <v>8.8000000000000007</v>
      </c>
      <c r="R64" s="755">
        <f t="shared" si="43"/>
        <v>9</v>
      </c>
      <c r="S64" s="755">
        <f t="shared" si="43"/>
        <v>9.5</v>
      </c>
      <c r="T64" s="755">
        <f t="shared" si="43"/>
        <v>0</v>
      </c>
      <c r="U64" s="393">
        <f>IFERROR(SUMPRODUCT(N63:T63,N64:T64)/ SUM(N63:T63),0)</f>
        <v>0</v>
      </c>
      <c r="V64" s="592">
        <f>L64*$G$3+U64*$P$3</f>
        <v>0</v>
      </c>
      <c r="W64" s="500" t="e">
        <f>L64*$G$3/(L67*0.01)+U64*$P$3/(U67*0.01)</f>
        <v>#DIV/0!</v>
      </c>
    </row>
    <row r="65" spans="1:28" s="147" customFormat="1">
      <c r="B65" s="528"/>
      <c r="C65" s="546"/>
      <c r="D65" s="522" t="s">
        <v>834</v>
      </c>
      <c r="E65" s="387">
        <f>VLOOKUP(E6,'Feed parameters'!$A$2:$G$200,7, FALSE)</f>
        <v>0.79859999999999998</v>
      </c>
      <c r="F65" s="147">
        <f>VLOOKUP(F6,'Feed parameters'!$A$2:$G$200,7, FALSE)</f>
        <v>0.44</v>
      </c>
      <c r="G65" s="147">
        <f>VLOOKUP(G6,'Feed parameters'!$A$2:$G$200,7, FALSE)</f>
        <v>0.49</v>
      </c>
      <c r="H65" s="231">
        <f>VLOOKUP(H6,'Feed parameters'!$A$2:$G$200,7, FALSE)</f>
        <v>0.56999999999999995</v>
      </c>
      <c r="I65" s="147">
        <f>VLOOKUP(I6,'Feed parameters'!$A$2:$G$200,7, FALSE)</f>
        <v>0.57999999999999996</v>
      </c>
      <c r="J65" s="147">
        <f>VLOOKUP(J6,'Feed parameters'!$A$2:$G$200,7, FALSE)</f>
        <v>0.61</v>
      </c>
      <c r="K65" s="147">
        <f>VLOOKUP(K6,'Feed parameters'!$A$2:$G$200,7, FALSE)</f>
        <v>0</v>
      </c>
      <c r="L65" s="388">
        <f>IFERROR(SUMPRODUCT(E63:K63,E65:K65)/ SUM(E63:K63),0)</f>
        <v>0</v>
      </c>
      <c r="M65" s="395" t="s">
        <v>834</v>
      </c>
      <c r="N65" s="755">
        <f t="shared" ref="N65:T65" si="44">N58</f>
        <v>0.79859999999999998</v>
      </c>
      <c r="O65" s="755">
        <f t="shared" si="44"/>
        <v>0.44</v>
      </c>
      <c r="P65" s="755">
        <f t="shared" si="44"/>
        <v>0.49</v>
      </c>
      <c r="Q65" s="755">
        <f t="shared" si="44"/>
        <v>0.56999999999999995</v>
      </c>
      <c r="R65" s="755">
        <f t="shared" si="44"/>
        <v>0.57999999999999996</v>
      </c>
      <c r="S65" s="755">
        <f t="shared" si="44"/>
        <v>0.61</v>
      </c>
      <c r="T65" s="755">
        <f t="shared" si="44"/>
        <v>0</v>
      </c>
      <c r="U65" s="394">
        <f>IFERROR(SUMPRODUCT(N63:T63,N65:T65)/ SUM(N63:T63),0)</f>
        <v>0</v>
      </c>
      <c r="V65" s="592">
        <f>L65*$G$3+U65*$P$3</f>
        <v>0</v>
      </c>
    </row>
    <row r="66" spans="1:28" s="147" customFormat="1">
      <c r="B66" s="526"/>
      <c r="C66" s="544"/>
      <c r="D66" s="522" t="s">
        <v>925</v>
      </c>
      <c r="E66" s="382">
        <f>VLOOKUP(E6,'Feed parameters'!$A$2:$G$200,4, FALSE)</f>
        <v>10.89</v>
      </c>
      <c r="F66" s="273">
        <f>VLOOKUP(F6,'Feed parameters'!$A$2:$G$200,4, FALSE)</f>
        <v>4.7</v>
      </c>
      <c r="G66" s="273">
        <f>VLOOKUP(G6,'Feed parameters'!$A$2:$G$200,4, FALSE)</f>
        <v>8.4</v>
      </c>
      <c r="H66" s="274">
        <f>VLOOKUP(H6,'Feed parameters'!$A$2:$G$200,4, FALSE)</f>
        <v>8.4</v>
      </c>
      <c r="I66" s="273">
        <f>VLOOKUP(I6,'Feed parameters'!$A$2:$G$200,4, FALSE)</f>
        <v>8.5</v>
      </c>
      <c r="J66" s="273">
        <f>VLOOKUP(J6,'Feed parameters'!$A$2:$G$200,4, FALSE)</f>
        <v>1.4821271999999999</v>
      </c>
      <c r="K66" s="273">
        <f>VLOOKUP(K6,'Feed parameters'!$A$2:$G$200,4, FALSE)</f>
        <v>0</v>
      </c>
      <c r="L66" s="383">
        <f>IFERROR(SUMPRODUCT(E63:K63,E66:K66)/ SUM(E63:K63),0)</f>
        <v>0</v>
      </c>
      <c r="M66" s="395" t="s">
        <v>925</v>
      </c>
      <c r="N66" s="755">
        <f t="shared" ref="N66:T66" si="45">N59</f>
        <v>10.89</v>
      </c>
      <c r="O66" s="755">
        <f t="shared" si="45"/>
        <v>4.7</v>
      </c>
      <c r="P66" s="755">
        <f t="shared" si="45"/>
        <v>8.4</v>
      </c>
      <c r="Q66" s="755">
        <f t="shared" si="45"/>
        <v>8.4</v>
      </c>
      <c r="R66" s="755">
        <f t="shared" si="45"/>
        <v>8.5</v>
      </c>
      <c r="S66" s="755">
        <f t="shared" si="45"/>
        <v>1.4821271999999999</v>
      </c>
      <c r="T66" s="755">
        <f t="shared" si="45"/>
        <v>0</v>
      </c>
      <c r="U66" s="392">
        <f>IFERROR(SUMPRODUCT(N63:T63,N66:T66)/ SUM(N63:T63),0)</f>
        <v>0</v>
      </c>
      <c r="V66" s="592"/>
    </row>
    <row r="67" spans="1:28" s="147" customFormat="1">
      <c r="B67" s="521"/>
      <c r="C67" s="540"/>
      <c r="D67" s="522" t="s">
        <v>1197</v>
      </c>
      <c r="E67" s="382">
        <f>VLOOKUP(E6,'Feed parameters'!$A$2:$G$200,2, FALSE)</f>
        <v>90</v>
      </c>
      <c r="F67" s="273">
        <f>VLOOKUP(F6,'Feed parameters'!$A$2:$G$200,2, FALSE)</f>
        <v>29.05</v>
      </c>
      <c r="G67" s="273">
        <f>VLOOKUP(G6,'Feed parameters'!$A$2:$G$200,2, FALSE)</f>
        <v>87</v>
      </c>
      <c r="H67" s="274">
        <f>VLOOKUP(H6,'Feed parameters'!$A$2:$G$200,2, FALSE)</f>
        <v>22</v>
      </c>
      <c r="I67" s="273">
        <f>VLOOKUP(I6,'Feed parameters'!$A$2:$G$200,2, FALSE)</f>
        <v>24.9</v>
      </c>
      <c r="J67" s="273">
        <f>VLOOKUP(J6,'Feed parameters'!$A$2:$G$200,2, FALSE)</f>
        <v>15</v>
      </c>
      <c r="K67" s="273">
        <f>VLOOKUP(K6,'Feed parameters'!$A$2:$G$200,2, FALSE)</f>
        <v>0</v>
      </c>
      <c r="L67" s="383">
        <f>IFERROR(SUMPRODUCT(E63:K63,E67:K67)/ SUM(E63:K63),0)</f>
        <v>0</v>
      </c>
      <c r="M67" s="566" t="s">
        <v>1197</v>
      </c>
      <c r="N67" s="755">
        <f t="shared" ref="N67:T67" si="46">N60</f>
        <v>90</v>
      </c>
      <c r="O67" s="755">
        <f t="shared" si="46"/>
        <v>29.05</v>
      </c>
      <c r="P67" s="755">
        <f t="shared" si="46"/>
        <v>87</v>
      </c>
      <c r="Q67" s="755">
        <f t="shared" si="46"/>
        <v>22</v>
      </c>
      <c r="R67" s="755">
        <f t="shared" si="46"/>
        <v>24.9</v>
      </c>
      <c r="S67" s="755">
        <f t="shared" si="46"/>
        <v>15</v>
      </c>
      <c r="T67" s="755">
        <f t="shared" si="46"/>
        <v>0</v>
      </c>
      <c r="U67" s="392">
        <f>IFERROR(SUMPRODUCT(N63:T63,N67:T67)/ SUM(N63:T63),0)</f>
        <v>0</v>
      </c>
      <c r="V67" s="592">
        <f>L67*$G$3+U67*$P$3</f>
        <v>0</v>
      </c>
    </row>
    <row r="68" spans="1:28" s="147" customFormat="1">
      <c r="B68" s="521"/>
      <c r="C68" s="540"/>
      <c r="D68" s="522" t="s">
        <v>1215</v>
      </c>
      <c r="E68" s="382">
        <f>IFERROR((E63*E67)/SUMPRODUCT($E63:$K63,$E67:$K67), 0)</f>
        <v>0</v>
      </c>
      <c r="F68" s="273">
        <f t="shared" ref="F68:K68" si="47">IFERROR((F63*F67)/SUMPRODUCT($E63:$K63,$E67:$K67),0)</f>
        <v>0</v>
      </c>
      <c r="G68" s="273">
        <f t="shared" si="47"/>
        <v>0</v>
      </c>
      <c r="H68" s="273">
        <f t="shared" si="47"/>
        <v>0</v>
      </c>
      <c r="I68" s="273">
        <f t="shared" si="47"/>
        <v>0</v>
      </c>
      <c r="J68" s="273">
        <f t="shared" si="47"/>
        <v>0</v>
      </c>
      <c r="K68" s="273">
        <f t="shared" si="47"/>
        <v>0</v>
      </c>
      <c r="L68" s="383"/>
      <c r="M68" s="566" t="s">
        <v>1215</v>
      </c>
      <c r="N68" s="273">
        <f t="shared" ref="N68:T68" si="48">IFERROR((N63*N67)/SUMPRODUCT($N63:$T63,$N67:$T67),0)</f>
        <v>0</v>
      </c>
      <c r="O68" s="273">
        <f t="shared" si="48"/>
        <v>0</v>
      </c>
      <c r="P68" s="273">
        <f t="shared" si="48"/>
        <v>0</v>
      </c>
      <c r="Q68" s="273">
        <f t="shared" si="48"/>
        <v>0</v>
      </c>
      <c r="R68" s="273">
        <f t="shared" si="48"/>
        <v>0</v>
      </c>
      <c r="S68" s="273">
        <f t="shared" si="48"/>
        <v>0</v>
      </c>
      <c r="T68" s="273">
        <f t="shared" si="48"/>
        <v>0</v>
      </c>
      <c r="U68" s="392"/>
      <c r="V68" s="592"/>
    </row>
    <row r="69" spans="1:28" s="147" customFormat="1" ht="16.5" thickBot="1">
      <c r="B69" s="559"/>
      <c r="C69" s="560"/>
      <c r="D69" s="561"/>
      <c r="E69" s="562"/>
      <c r="F69" s="563"/>
      <c r="G69" s="563"/>
      <c r="H69" s="563"/>
      <c r="I69" s="563"/>
      <c r="J69" s="563"/>
      <c r="K69" s="563"/>
      <c r="L69" s="564"/>
      <c r="M69" s="567"/>
      <c r="N69" s="563"/>
      <c r="O69" s="563"/>
      <c r="P69" s="563"/>
      <c r="Q69" s="563"/>
      <c r="R69" s="563"/>
      <c r="S69" s="563"/>
      <c r="T69" s="563"/>
      <c r="U69" s="565"/>
      <c r="V69" s="592"/>
    </row>
    <row r="70" spans="1:28" s="147" customFormat="1">
      <c r="B70" s="271"/>
      <c r="C70" s="271"/>
      <c r="D70" s="875"/>
      <c r="O70" s="231"/>
      <c r="S70" s="232"/>
      <c r="V70" s="586"/>
      <c r="AB70" s="230"/>
    </row>
    <row r="71" spans="1:28" s="147" customFormat="1">
      <c r="A71" s="375" t="s">
        <v>1552</v>
      </c>
      <c r="B71" s="375"/>
      <c r="C71" s="375"/>
      <c r="D71" s="375"/>
      <c r="E71" s="375"/>
      <c r="F71" s="375"/>
      <c r="G71" s="375"/>
      <c r="H71" s="375"/>
      <c r="I71" s="375"/>
      <c r="J71" s="375"/>
      <c r="K71" s="375"/>
      <c r="O71" s="231"/>
      <c r="S71" s="232"/>
      <c r="V71" s="586"/>
      <c r="AB71" s="230"/>
    </row>
    <row r="72" spans="1:28" s="147" customFormat="1" ht="51" customHeight="1">
      <c r="A72" s="13"/>
      <c r="B72" s="878" t="s">
        <v>1553</v>
      </c>
      <c r="C72" s="1153" t="s">
        <v>1730</v>
      </c>
      <c r="D72" s="878" t="s">
        <v>1517</v>
      </c>
      <c r="E72" s="878" t="s">
        <v>1518</v>
      </c>
      <c r="F72" s="878" t="s">
        <v>1519</v>
      </c>
      <c r="G72" s="878" t="s">
        <v>1520</v>
      </c>
      <c r="H72" s="878" t="s">
        <v>1521</v>
      </c>
      <c r="I72" s="878" t="s">
        <v>1522</v>
      </c>
      <c r="J72" s="878" t="s">
        <v>1523</v>
      </c>
      <c r="K72" s="878" t="s">
        <v>1524</v>
      </c>
      <c r="O72" s="231"/>
      <c r="S72" s="232"/>
      <c r="V72" s="586"/>
      <c r="AB72" s="230"/>
    </row>
    <row r="73" spans="1:28" s="147" customFormat="1">
      <c r="A73" s="13" t="str">
        <f t="shared" ref="A73:A81" si="49">A87</f>
        <v>Cows - local</v>
      </c>
      <c r="B73" s="514">
        <f>'Livestock parameters'!B4^0.75*0.5</f>
        <v>0</v>
      </c>
      <c r="C73" s="1154">
        <f>'Livestock parameters'!C4*'Livestock parameters'!D4</f>
        <v>0</v>
      </c>
      <c r="D73" s="879" t="e">
        <f>((53*30)+(1*245))/(365*'Livestock parameters'!O4)</f>
        <v>#DIV/0!</v>
      </c>
      <c r="E73" s="879">
        <f>'Livestock parameters'!F4</f>
        <v>0</v>
      </c>
      <c r="F73" s="879"/>
      <c r="G73" s="881">
        <f>'Livestock parameters'!$H$4</f>
        <v>0</v>
      </c>
      <c r="H73" s="514">
        <f>'Livestock parameters'!$I$4</f>
        <v>0</v>
      </c>
      <c r="I73" s="882" t="e">
        <f>2*'Livestock parameters'!H4*120/(365*'Livestock parameters'!O4)</f>
        <v>#DIV/0!</v>
      </c>
      <c r="J73" s="880">
        <f>'Livestock parameters'!K4</f>
        <v>0</v>
      </c>
      <c r="K73" s="879"/>
      <c r="O73" s="231"/>
      <c r="S73" s="232"/>
      <c r="V73" s="586"/>
      <c r="AB73" s="230"/>
    </row>
    <row r="74" spans="1:28" s="147" customFormat="1">
      <c r="A74" s="13" t="str">
        <f t="shared" si="49"/>
        <v>Cows - improved</v>
      </c>
      <c r="B74" s="514">
        <f>'Livestock parameters'!B5^0.75*0.5</f>
        <v>43.118509116603107</v>
      </c>
      <c r="C74" s="1154">
        <f>'Livestock parameters'!C5*'Livestock parameters'!D5</f>
        <v>0</v>
      </c>
      <c r="D74" s="879">
        <f>((53*30)+(1*245))/(365*'Livestock parameters'!O5)</f>
        <v>4.1894977168949774</v>
      </c>
      <c r="E74" s="879">
        <f>'Livestock parameters'!F5</f>
        <v>5.5</v>
      </c>
      <c r="F74" s="879"/>
      <c r="G74" s="881">
        <f>'Livestock parameters'!$H$4</f>
        <v>0</v>
      </c>
      <c r="H74" s="514">
        <f>'Livestock parameters'!$I$4</f>
        <v>0</v>
      </c>
      <c r="I74" s="882">
        <f>2*'Livestock parameters'!H5*120/(365*'Livestock parameters'!O5)</f>
        <v>5.4794520547945202E-4</v>
      </c>
      <c r="J74" s="880">
        <f>'Livestock parameters'!K5</f>
        <v>0.09</v>
      </c>
      <c r="K74" s="879"/>
      <c r="O74" s="231"/>
      <c r="S74" s="232"/>
      <c r="V74" s="586"/>
      <c r="AB74" s="230"/>
    </row>
    <row r="75" spans="1:28" s="147" customFormat="1">
      <c r="A75" s="13" t="str">
        <f t="shared" si="49"/>
        <v>Adult cattle - male</v>
      </c>
      <c r="B75" s="514">
        <f>'Livestock parameters'!B6^0.75*0.5</f>
        <v>0</v>
      </c>
      <c r="C75" s="1154">
        <f>'Livestock parameters'!C6*'Livestock parameters'!D6</f>
        <v>0</v>
      </c>
      <c r="D75" s="514"/>
      <c r="E75" s="514"/>
      <c r="F75" s="879"/>
      <c r="G75" s="881">
        <f>'Livestock parameters'!$H$4</f>
        <v>0</v>
      </c>
      <c r="H75" s="514">
        <f>'Livestock parameters'!$I$4</f>
        <v>0</v>
      </c>
      <c r="I75" s="514"/>
      <c r="J75" s="514"/>
      <c r="K75" s="879"/>
      <c r="O75" s="231"/>
      <c r="S75" s="232"/>
      <c r="V75" s="586"/>
      <c r="AB75" s="230"/>
    </row>
    <row r="76" spans="1:28" s="147" customFormat="1">
      <c r="A76" s="13" t="str">
        <f t="shared" si="49"/>
        <v>Steers/heifers</v>
      </c>
      <c r="B76" s="514">
        <f>'Livestock parameters'!B7^0.75*0.5</f>
        <v>0</v>
      </c>
      <c r="C76" s="1154">
        <f>'Livestock parameters'!C7*'Livestock parameters'!D7</f>
        <v>0</v>
      </c>
      <c r="D76" s="514"/>
      <c r="E76" s="514"/>
      <c r="F76" s="514">
        <f>'Livestock parameters'!G7</f>
        <v>0</v>
      </c>
      <c r="G76" s="881">
        <f>'Livestock parameters'!$H$4</f>
        <v>0</v>
      </c>
      <c r="H76" s="514">
        <f>'Livestock parameters'!$I$4</f>
        <v>0</v>
      </c>
      <c r="I76" s="514"/>
      <c r="J76" s="514"/>
      <c r="K76" s="879">
        <f>'Livestock parameters'!L7</f>
        <v>0</v>
      </c>
      <c r="O76" s="231"/>
      <c r="S76" s="232"/>
      <c r="V76" s="586"/>
      <c r="AB76" s="230"/>
    </row>
    <row r="77" spans="1:28" s="147" customFormat="1">
      <c r="A77" s="13" t="str">
        <f t="shared" si="49"/>
        <v>Calves</v>
      </c>
      <c r="B77" s="514">
        <f>'Livestock parameters'!B8^0.75*0.5</f>
        <v>0</v>
      </c>
      <c r="C77" s="1154">
        <f>'Livestock parameters'!C8*'Livestock parameters'!D8</f>
        <v>0</v>
      </c>
      <c r="D77" s="514"/>
      <c r="E77" s="514"/>
      <c r="F77" s="514">
        <f>'Livestock parameters'!G8</f>
        <v>0</v>
      </c>
      <c r="G77" s="881">
        <f>'Livestock parameters'!$H$4</f>
        <v>0</v>
      </c>
      <c r="H77" s="514">
        <f>'Livestock parameters'!$I$4</f>
        <v>0</v>
      </c>
      <c r="I77" s="514"/>
      <c r="J77" s="514"/>
      <c r="K77" s="879">
        <f>'Livestock parameters'!L8</f>
        <v>0</v>
      </c>
      <c r="O77" s="231"/>
      <c r="S77" s="232"/>
      <c r="V77" s="586"/>
      <c r="AB77" s="230"/>
    </row>
    <row r="78" spans="1:28" s="147" customFormat="1">
      <c r="A78" s="13" t="str">
        <f t="shared" si="49"/>
        <v>Steers/heifers improved</v>
      </c>
      <c r="B78" s="514">
        <f>'Livestock parameters'!B9^0.75*0.5</f>
        <v>35.137309395138168</v>
      </c>
      <c r="C78" s="1154">
        <f>'Livestock parameters'!C9*'Livestock parameters'!D9</f>
        <v>0</v>
      </c>
      <c r="D78" s="514"/>
      <c r="E78" s="514"/>
      <c r="F78" s="514">
        <f>'Livestock parameters'!G9</f>
        <v>50</v>
      </c>
      <c r="G78" s="881">
        <f>'Livestock parameters'!$H$4</f>
        <v>0</v>
      </c>
      <c r="H78" s="514">
        <f>'Livestock parameters'!$I$4</f>
        <v>0</v>
      </c>
      <c r="I78" s="514"/>
      <c r="J78" s="514"/>
      <c r="K78" s="879">
        <f>'Livestock parameters'!L9</f>
        <v>0.4</v>
      </c>
      <c r="O78" s="231"/>
      <c r="S78" s="232"/>
      <c r="V78" s="586"/>
      <c r="AB78" s="230"/>
    </row>
    <row r="79" spans="1:28" s="147" customFormat="1">
      <c r="A79" s="13" t="str">
        <f t="shared" si="49"/>
        <v>Calves improved</v>
      </c>
      <c r="B79" s="514">
        <f>'Livestock parameters'!B10^0.75*0.5</f>
        <v>0</v>
      </c>
      <c r="C79" s="1154">
        <f>'Livestock parameters'!C10*'Livestock parameters'!D10</f>
        <v>0</v>
      </c>
      <c r="D79" s="514"/>
      <c r="E79" s="514"/>
      <c r="F79" s="514">
        <f>'Livestock parameters'!G10</f>
        <v>0</v>
      </c>
      <c r="G79" s="881">
        <f>'Livestock parameters'!$H$4</f>
        <v>0</v>
      </c>
      <c r="H79" s="514">
        <f>'Livestock parameters'!$I$4</f>
        <v>0</v>
      </c>
      <c r="I79" s="514"/>
      <c r="J79" s="514"/>
      <c r="K79" s="879">
        <f>'Livestock parameters'!L10</f>
        <v>0</v>
      </c>
      <c r="O79" s="231"/>
      <c r="S79" s="232"/>
      <c r="V79" s="586"/>
      <c r="AB79" s="230"/>
    </row>
    <row r="80" spans="1:28" s="147" customFormat="1">
      <c r="A80" s="13" t="str">
        <f t="shared" si="49"/>
        <v>Sheep</v>
      </c>
      <c r="B80" s="514">
        <f>'Livestock parameters'!B11^0.75*0.5</f>
        <v>0</v>
      </c>
      <c r="C80" s="1154">
        <f>'Livestock parameters'!C11*'Livestock parameters'!D11</f>
        <v>0</v>
      </c>
      <c r="D80" s="514"/>
      <c r="E80" s="514"/>
      <c r="F80" s="879"/>
      <c r="G80" s="514"/>
      <c r="H80" s="514"/>
      <c r="I80" s="514"/>
      <c r="J80" s="514"/>
      <c r="K80" s="514"/>
      <c r="O80" s="231"/>
      <c r="S80" s="232"/>
      <c r="V80" s="586"/>
      <c r="AB80" s="230"/>
    </row>
    <row r="81" spans="1:32" s="147" customFormat="1">
      <c r="A81" s="13" t="str">
        <f t="shared" si="49"/>
        <v>Goats</v>
      </c>
      <c r="B81" s="514">
        <f>'Livestock parameters'!B12^0.75*0.5</f>
        <v>0</v>
      </c>
      <c r="C81" s="1154">
        <f>'Livestock parameters'!C12*'Livestock parameters'!D12</f>
        <v>0</v>
      </c>
      <c r="D81" s="514"/>
      <c r="E81" s="514"/>
      <c r="F81" s="879"/>
      <c r="G81" s="514"/>
      <c r="H81" s="514"/>
      <c r="I81" s="514"/>
      <c r="J81" s="514"/>
      <c r="K81" s="514"/>
      <c r="O81" s="231"/>
      <c r="S81" s="232"/>
      <c r="V81" s="586"/>
      <c r="AB81" s="230"/>
    </row>
    <row r="82" spans="1:32" s="147" customFormat="1">
      <c r="B82" s="271"/>
      <c r="C82" s="271"/>
      <c r="D82" s="544"/>
      <c r="O82" s="231"/>
      <c r="S82" s="232"/>
      <c r="V82" s="586"/>
      <c r="AB82" s="230"/>
    </row>
    <row r="83" spans="1:32" s="147" customFormat="1">
      <c r="B83" s="271"/>
      <c r="C83" s="271"/>
      <c r="D83" s="544"/>
      <c r="O83" s="231"/>
      <c r="S83" s="232"/>
      <c r="V83" s="586"/>
      <c r="AB83" s="230"/>
    </row>
    <row r="84" spans="1:32" s="147" customFormat="1">
      <c r="O84" s="231"/>
      <c r="S84" s="232"/>
      <c r="V84" s="586"/>
      <c r="AB84" s="230"/>
    </row>
    <row r="85" spans="1:32" s="147" customFormat="1">
      <c r="A85" s="375" t="s">
        <v>1220</v>
      </c>
      <c r="B85" s="375"/>
      <c r="C85" s="375"/>
      <c r="D85" s="375"/>
      <c r="E85" s="375"/>
      <c r="F85" s="375"/>
      <c r="G85" s="375"/>
      <c r="H85" s="375"/>
      <c r="I85" s="375"/>
      <c r="J85" s="375"/>
      <c r="K85" s="375"/>
      <c r="L85" s="375"/>
      <c r="M85" s="375"/>
      <c r="N85" s="375"/>
      <c r="O85" s="375"/>
      <c r="P85" s="375"/>
      <c r="Q85" s="375"/>
      <c r="R85" s="375"/>
      <c r="S85" s="375"/>
      <c r="T85" s="375"/>
      <c r="U85" s="375"/>
      <c r="V85" s="590"/>
      <c r="W85" s="375"/>
      <c r="X85" s="375"/>
      <c r="Y85" s="375"/>
      <c r="Z85" s="375"/>
      <c r="AA85" s="375"/>
      <c r="AB85" s="375"/>
      <c r="AC85" s="375"/>
      <c r="AD85" s="375"/>
      <c r="AE85" s="375"/>
      <c r="AF85" s="375"/>
    </row>
    <row r="86" spans="1:32" s="147" customFormat="1" ht="78.75">
      <c r="A86" s="13"/>
      <c r="B86" s="511" t="s">
        <v>656</v>
      </c>
      <c r="C86" s="511" t="s">
        <v>1188</v>
      </c>
      <c r="D86" s="512" t="s">
        <v>1020</v>
      </c>
      <c r="E86" s="512" t="s">
        <v>1021</v>
      </c>
      <c r="F86" s="512" t="s">
        <v>1194</v>
      </c>
      <c r="G86" s="513" t="s">
        <v>1195</v>
      </c>
      <c r="H86" s="512" t="s">
        <v>1198</v>
      </c>
      <c r="I86" s="512" t="s">
        <v>1199</v>
      </c>
      <c r="J86" s="512" t="s">
        <v>1189</v>
      </c>
      <c r="K86" s="512" t="s">
        <v>1190</v>
      </c>
      <c r="L86" s="512" t="s">
        <v>1204</v>
      </c>
      <c r="M86" s="512" t="s">
        <v>1205</v>
      </c>
      <c r="N86" s="512" t="s">
        <v>1200</v>
      </c>
      <c r="O86" s="512" t="s">
        <v>1201</v>
      </c>
      <c r="V86" s="586"/>
    </row>
    <row r="87" spans="1:32" s="147" customFormat="1">
      <c r="A87" s="13" t="str">
        <f>INPUTS!C18</f>
        <v>Cows - local</v>
      </c>
      <c r="B87" s="1149" t="e">
        <f>(B73*365+C73*365+D73*365+INPUTS!E18*E73+F73*'Livestock parameters'!N4)*INPUTS!D18</f>
        <v>#DIV/0!</v>
      </c>
      <c r="C87" s="514" t="e">
        <f>(('Livestock parameters'!B4*(G73*365+I73*365)+(INPUTS!E18*J73+K73*'Livestock parameters'!N4))*INPUTS!D18)</f>
        <v>#DIV/0!</v>
      </c>
      <c r="D87" s="515" t="e">
        <f>B87*Feed!$G$3</f>
        <v>#DIV/0!</v>
      </c>
      <c r="E87" s="515" t="e">
        <f>B87*Feed!$P$3</f>
        <v>#DIV/0!</v>
      </c>
      <c r="F87" s="515">
        <f>IFERROR(D87/Feed!L10,0)</f>
        <v>0</v>
      </c>
      <c r="G87" s="515">
        <f>IFERROR(E87/Feed!U10,0)</f>
        <v>0</v>
      </c>
      <c r="H87" s="515">
        <f>IFERROR(F87*$L$11/100, 0)</f>
        <v>0</v>
      </c>
      <c r="I87" s="515">
        <f>IFERROR(G87*$U$11/100, 0)</f>
        <v>0</v>
      </c>
      <c r="J87" s="515">
        <f>IFERROR(C87*Feed!$G$3, 0)</f>
        <v>0</v>
      </c>
      <c r="K87" s="515">
        <f>IFERROR(C87*Feed!$P$3, 0)</f>
        <v>0</v>
      </c>
      <c r="L87" s="515">
        <f>IFERROR(J87/(Feed!L8/100),0)</f>
        <v>0</v>
      </c>
      <c r="M87" s="515">
        <f>IFERROR(K87/(Feed!U8/100),0)</f>
        <v>0</v>
      </c>
      <c r="N87" s="515">
        <f>IFERROR(L87*$L$11/100, 0)</f>
        <v>0</v>
      </c>
      <c r="O87" s="515">
        <f>IFERROR(M87*$U$11/100, 0)</f>
        <v>0</v>
      </c>
      <c r="V87" s="586"/>
    </row>
    <row r="88" spans="1:32" s="147" customFormat="1">
      <c r="A88" s="13" t="str">
        <f>INPUTS!C19</f>
        <v>Cows - improved</v>
      </c>
      <c r="B88" s="1149">
        <f>(B74*365+C74*365+D74*365+INPUTS!E19*E74+F74*'Livestock parameters'!N5)*INPUTS!D19</f>
        <v>51309.844988453602</v>
      </c>
      <c r="C88" s="514">
        <f>(('Livestock parameters'!B5*(G74*365+I74*365))+(INPUTS!E19*J74+K74*'Livestock parameters'!N5))*INPUTS!D19</f>
        <v>426.9</v>
      </c>
      <c r="D88" s="515">
        <f>B88*Feed!$G$3</f>
        <v>31207.631746401919</v>
      </c>
      <c r="E88" s="515">
        <f>B88*Feed!$P$3</f>
        <v>20102.213242051686</v>
      </c>
      <c r="F88" s="515">
        <f>IFERROR(D88/Feed!L17,0)</f>
        <v>5040.1394716465002</v>
      </c>
      <c r="G88" s="515">
        <f>IFERROR(E88/Feed!U17,0)</f>
        <v>2744.4155596741662</v>
      </c>
      <c r="H88" s="515">
        <f>IFERROR(F88*$L$18/100, 0)</f>
        <v>1474.7952107984827</v>
      </c>
      <c r="I88" s="515">
        <f>IFERROR(G88*$U$18/100, 0)</f>
        <v>1059.0974086338579</v>
      </c>
      <c r="J88" s="515">
        <f>IFERROR(C88*Feed!$G$3, 0)</f>
        <v>259.64876712328766</v>
      </c>
      <c r="K88" s="515">
        <f>IFERROR(C88*Feed!$P$3, 0)</f>
        <v>167.25123287671232</v>
      </c>
      <c r="L88" s="515">
        <f>IFERROR(J88/(Feed!L15/100),0)</f>
        <v>3402.3739696947823</v>
      </c>
      <c r="M88" s="515">
        <f>IFERROR(K88/(Feed!U15/100),0)</f>
        <v>2049.6474617244153</v>
      </c>
      <c r="N88" s="515">
        <f>IFERROR(L88*$L$18/100, 0)</f>
        <v>995.56864727239042</v>
      </c>
      <c r="O88" s="515">
        <f>IFERROR(M88*$U$18/100, 0)</f>
        <v>790.97945195406942</v>
      </c>
      <c r="V88" s="586"/>
    </row>
    <row r="89" spans="1:32" s="147" customFormat="1">
      <c r="A89" s="13" t="str">
        <f>INPUTS!C20</f>
        <v>Adult cattle - male</v>
      </c>
      <c r="B89" s="1149">
        <f>(B75*365+C75*365+D75*365+INPUTS!E20*E75+F75*'Livestock parameters'!N6)*INPUTS!D20</f>
        <v>0</v>
      </c>
      <c r="C89" s="514">
        <f>(('Livestock parameters'!B6*(G75*365+I75*365))+INPUTS!E20*J75+K75*'Livestock parameters'!N6)*INPUTS!D20</f>
        <v>0</v>
      </c>
      <c r="D89" s="515">
        <f>B89*Feed!$G$3</f>
        <v>0</v>
      </c>
      <c r="E89" s="515">
        <f>B89*Feed!$P$3</f>
        <v>0</v>
      </c>
      <c r="F89" s="515">
        <f>IFERROR(D89/Feed!L24,0)</f>
        <v>0</v>
      </c>
      <c r="G89" s="515">
        <f>IFERROR(E89/Feed!U24,0)</f>
        <v>0</v>
      </c>
      <c r="H89" s="515">
        <f>IFERROR(F89*$L$25/100, 0)</f>
        <v>0</v>
      </c>
      <c r="I89" s="515">
        <f>IFERROR(G89*$U$25/100, 0)</f>
        <v>0</v>
      </c>
      <c r="J89" s="515">
        <f>IFERROR(C89*Feed!$G$3, 0)</f>
        <v>0</v>
      </c>
      <c r="K89" s="515">
        <f>IFERROR(C89*Feed!$P$3, 0)</f>
        <v>0</v>
      </c>
      <c r="L89" s="515">
        <f>IFERROR(J89/(Feed!L22/100),0)</f>
        <v>0</v>
      </c>
      <c r="M89" s="515">
        <f>IFERROR(K89/(Feed!U22/100),0)</f>
        <v>0</v>
      </c>
      <c r="N89" s="515">
        <f>IFERROR(L89*$L$25/100, 0)</f>
        <v>0</v>
      </c>
      <c r="O89" s="515">
        <f>IFERROR(M89*$U$25/100, 0)</f>
        <v>0</v>
      </c>
      <c r="V89" s="586"/>
    </row>
    <row r="90" spans="1:32" s="147" customFormat="1">
      <c r="A90" s="13" t="str">
        <f>INPUTS!C21</f>
        <v>Steers/heifers</v>
      </c>
      <c r="B90" s="1149">
        <f>(B76*365+C76*365+D76*365+INPUTS!E21*E76+F76*'Livestock parameters'!N7)*INPUTS!D21</f>
        <v>0</v>
      </c>
      <c r="C90" s="514">
        <f>(('Livestock parameters'!B7*(G76*365+I76*365))+INPUTS!E21*J76+K76*'Livestock parameters'!N7)*INPUTS!D21</f>
        <v>0</v>
      </c>
      <c r="D90" s="515">
        <f>B90*Feed!$G$3</f>
        <v>0</v>
      </c>
      <c r="E90" s="515">
        <f>B90*Feed!$P$3</f>
        <v>0</v>
      </c>
      <c r="F90" s="515">
        <f>IFERROR(D90/Feed!L31,0)</f>
        <v>0</v>
      </c>
      <c r="G90" s="515">
        <f>IFERROR(E90/Feed!U31,0)</f>
        <v>0</v>
      </c>
      <c r="H90" s="515">
        <f>IFERROR(F90*$L$32/100, 0)</f>
        <v>0</v>
      </c>
      <c r="I90" s="515">
        <f>IFERROR(G90*$U$32/100, 0)</f>
        <v>0</v>
      </c>
      <c r="J90" s="515">
        <f>IFERROR(C90*Feed!$G$3, 0)</f>
        <v>0</v>
      </c>
      <c r="K90" s="515">
        <f>IFERROR(C90*Feed!$P$3, 0)</f>
        <v>0</v>
      </c>
      <c r="L90" s="515">
        <f>IFERROR(J90/(Feed!L29/100),0)</f>
        <v>0</v>
      </c>
      <c r="M90" s="515">
        <f>IFERROR(K90/(Feed!U29/100),0)</f>
        <v>0</v>
      </c>
      <c r="N90" s="515">
        <f>IFERROR(L90*$L$32/100, 0)</f>
        <v>0</v>
      </c>
      <c r="O90" s="515">
        <f>IFERROR(M90*$U$32/100, 0)</f>
        <v>0</v>
      </c>
      <c r="V90" s="586"/>
    </row>
    <row r="91" spans="1:32" s="147" customFormat="1">
      <c r="A91" s="13" t="str">
        <f>INPUTS!C22</f>
        <v>Calves</v>
      </c>
      <c r="B91" s="1149">
        <f>(B77*365+C77*365+D77*365+INPUTS!E22*E77+F77*'Livestock parameters'!N8)*INPUTS!D22</f>
        <v>0</v>
      </c>
      <c r="C91" s="514">
        <f>(('Livestock parameters'!B8*(G77*365+I77*365))+INPUTS!E22*J77+K77*'Livestock parameters'!N8)*INPUTS!D22</f>
        <v>0</v>
      </c>
      <c r="D91" s="515">
        <f>B91*Feed!$G$3</f>
        <v>0</v>
      </c>
      <c r="E91" s="515">
        <f>B91*Feed!$P$3</f>
        <v>0</v>
      </c>
      <c r="F91" s="515">
        <f>IFERROR(D91/Feed!L38,0)</f>
        <v>0</v>
      </c>
      <c r="G91" s="515">
        <f>IFERROR(E91/Feed!U38,0)</f>
        <v>0</v>
      </c>
      <c r="H91" s="515">
        <f>IFERROR(F91*$L$39/100, 0)</f>
        <v>0</v>
      </c>
      <c r="I91" s="515">
        <f>IFERROR(G91*$U$39/100, 0)</f>
        <v>0</v>
      </c>
      <c r="J91" s="515">
        <f>IFERROR(C91*Feed!$G$3, 0)</f>
        <v>0</v>
      </c>
      <c r="K91" s="515">
        <f>IFERROR(C91*Feed!$P$3, 0)</f>
        <v>0</v>
      </c>
      <c r="L91" s="515">
        <f>IFERROR(J91/(Feed!L36/100),0)</f>
        <v>0</v>
      </c>
      <c r="M91" s="515">
        <f>IFERROR(K91/(Feed!U36/100),0)</f>
        <v>0</v>
      </c>
      <c r="N91" s="515">
        <f>IFERROR(L91*$L$39/100, 0)</f>
        <v>0</v>
      </c>
      <c r="O91" s="515">
        <f>IFERROR(M91*$U$39/100, 0)</f>
        <v>0</v>
      </c>
      <c r="V91" s="586"/>
    </row>
    <row r="92" spans="1:32" s="147" customFormat="1">
      <c r="A92" s="13" t="str">
        <f>INPUTS!C23</f>
        <v>Steers/heifers improved</v>
      </c>
      <c r="B92" s="1149">
        <f>(B78*365+C78*365+D78*365+INPUTS!E23*E78+F78*'Livestock parameters'!N9)*INPUTS!D23</f>
        <v>61875.353787676293</v>
      </c>
      <c r="C92" s="514">
        <f>(('Livestock parameters'!B9*(G78*365+I78*365))+INPUTS!E23*J78+K78*'Livestock parameters'!N9)*INPUTS!D23</f>
        <v>187.20000000000002</v>
      </c>
      <c r="D92" s="515">
        <f>B92*Feed!$G$3</f>
        <v>37633.776824285313</v>
      </c>
      <c r="E92" s="515">
        <f>B92*Feed!$P$3</f>
        <v>24241.576963390988</v>
      </c>
      <c r="F92" s="515">
        <f>IFERROR(D92/Feed!L45,0)</f>
        <v>6077.9839233101929</v>
      </c>
      <c r="G92" s="515">
        <f>IFERROR(E92/Feed!U45,0)</f>
        <v>3309.534139763156</v>
      </c>
      <c r="H92" s="515">
        <f>IFERROR(F92*$L$46/100, 0)</f>
        <v>1778.4788757997958</v>
      </c>
      <c r="I92" s="515">
        <f>IFERROR(G92*$U$46/100, 0)</f>
        <v>1277.1823198760001</v>
      </c>
      <c r="J92" s="515">
        <f>IFERROR(C92*Feed!$G$3, 0)</f>
        <v>113.85863013698632</v>
      </c>
      <c r="K92" s="515">
        <f>IFERROR(C92*Feed!$P$3, 0)</f>
        <v>73.341369863013711</v>
      </c>
      <c r="L92" s="515">
        <f>IFERROR(J92/(Feed!L43/100),0)</f>
        <v>1491.9756550172485</v>
      </c>
      <c r="M92" s="515">
        <f>IFERROR(K92/(Feed!U43/100),0)</f>
        <v>898.79129734085404</v>
      </c>
      <c r="N92" s="515">
        <f>IFERROR(L92*$L$39/100, 0)</f>
        <v>0</v>
      </c>
      <c r="O92" s="515">
        <f>IFERROR(M92*$U$39/100, 0)</f>
        <v>0</v>
      </c>
      <c r="V92" s="586"/>
    </row>
    <row r="93" spans="1:32" s="147" customFormat="1">
      <c r="A93" s="13" t="str">
        <f>INPUTS!C24</f>
        <v>Calves improved</v>
      </c>
      <c r="B93" s="1149">
        <f>(B79*365+C79*365+D79*365+INPUTS!E24*E79+F79*'Livestock parameters'!N10)*INPUTS!D24</f>
        <v>0</v>
      </c>
      <c r="C93" s="514">
        <f>(('Livestock parameters'!B10*(G79*365+I79*365))+INPUTS!E24*J79+K79*'Livestock parameters'!N10)*INPUTS!D24</f>
        <v>0</v>
      </c>
      <c r="D93" s="515">
        <f>B93*Feed!$G$3</f>
        <v>0</v>
      </c>
      <c r="E93" s="515">
        <f>B93*Feed!$P$3</f>
        <v>0</v>
      </c>
      <c r="F93" s="515">
        <f>IFERROR(D93/Feed!L52,0)</f>
        <v>0</v>
      </c>
      <c r="G93" s="515">
        <f>IFERROR(E93/Feed!U52,0)</f>
        <v>0</v>
      </c>
      <c r="H93" s="515">
        <f>IFERROR(F93*$L$53/100, 0)</f>
        <v>0</v>
      </c>
      <c r="I93" s="515">
        <f>IFERROR(G93*$U$53/100, 0)</f>
        <v>0</v>
      </c>
      <c r="J93" s="515">
        <f>IFERROR(C93*Feed!$G$3, 0)</f>
        <v>0</v>
      </c>
      <c r="K93" s="515">
        <f>IFERROR(C93*Feed!$P$3, 0)</f>
        <v>0</v>
      </c>
      <c r="L93" s="515">
        <f>IFERROR(J93/(Feed!L50/100),0)</f>
        <v>0</v>
      </c>
      <c r="M93" s="515">
        <f>IFERROR(K93/(Feed!U50/100),0)</f>
        <v>0</v>
      </c>
      <c r="N93" s="515">
        <f>IFERROR(L93*$L$39/100, 0)</f>
        <v>0</v>
      </c>
      <c r="O93" s="515">
        <f>IFERROR(M93*$U$39/100, 0)</f>
        <v>0</v>
      </c>
      <c r="V93" s="586"/>
    </row>
    <row r="94" spans="1:32" s="147" customFormat="1">
      <c r="A94" s="13" t="str">
        <f>INPUTS!C25</f>
        <v>Sheep</v>
      </c>
      <c r="B94" s="1149">
        <f>(B80*365+C80*365+D80*365+INPUTS!E25*E80+F80*'Livestock parameters'!N11)*INPUTS!D25</f>
        <v>0</v>
      </c>
      <c r="C94" s="514"/>
      <c r="D94" s="515">
        <f>B94*Feed!$G$3</f>
        <v>0</v>
      </c>
      <c r="E94" s="515">
        <f>B94*Feed!$P$3</f>
        <v>0</v>
      </c>
      <c r="F94" s="515">
        <f>IFERROR(D94/Feed!L59,0)</f>
        <v>0</v>
      </c>
      <c r="G94" s="515">
        <f>IFERROR(E94/Feed!U59,0)</f>
        <v>0</v>
      </c>
      <c r="H94" s="515">
        <f>IFERROR(F94*$L$60/100,0)</f>
        <v>0</v>
      </c>
      <c r="I94" s="515">
        <f>IFERROR(G94*U60/100,0)</f>
        <v>0</v>
      </c>
      <c r="J94" s="515">
        <f>IFERROR(C94*Feed!$G$3, 0)</f>
        <v>0</v>
      </c>
      <c r="K94" s="515">
        <f>(IFERROR(C94*Feed!$P$3,0))</f>
        <v>0</v>
      </c>
      <c r="L94" s="515">
        <f>IFERROR(J94/(Feed!L57/100),0)</f>
        <v>0</v>
      </c>
      <c r="M94" s="515">
        <f>IFERROR(K94/(Feed!U57/100),0)</f>
        <v>0</v>
      </c>
      <c r="N94" s="515">
        <f>IFERROR(L94*$L$60/100, 0)</f>
        <v>0</v>
      </c>
      <c r="O94" s="515">
        <f>IFERROR(M94*$U$60/100, 0)</f>
        <v>0</v>
      </c>
      <c r="V94" s="586"/>
    </row>
    <row r="95" spans="1:32" s="147" customFormat="1">
      <c r="A95" s="13" t="str">
        <f>INPUTS!C26</f>
        <v>Goats</v>
      </c>
      <c r="B95" s="1149">
        <f>(B81*365+C81*365+D81*365+INPUTS!E26*E81+F81*'Livestock parameters'!N12)*INPUTS!D26</f>
        <v>0</v>
      </c>
      <c r="C95" s="514"/>
      <c r="D95" s="515">
        <f>B95*Feed!$G$3</f>
        <v>0</v>
      </c>
      <c r="E95" s="515">
        <f>B95*Feed!$P$3</f>
        <v>0</v>
      </c>
      <c r="F95" s="515">
        <f>IFERROR(D95/Feed!L66,0)</f>
        <v>0</v>
      </c>
      <c r="G95" s="515">
        <f>IFERROR(E95/Feed!U66,0)</f>
        <v>0</v>
      </c>
      <c r="H95" s="515">
        <f>IFERROR(F95*$L$67/100, 0)</f>
        <v>0</v>
      </c>
      <c r="I95" s="515">
        <f>IFERROR(G95*U67/100,0)</f>
        <v>0</v>
      </c>
      <c r="J95" s="515">
        <f>IFERROR(C95*Feed!$G$3, 0)</f>
        <v>0</v>
      </c>
      <c r="K95" s="515">
        <f>IFERROR(C95*Feed!$P$3, 0)</f>
        <v>0</v>
      </c>
      <c r="L95" s="515">
        <f>IFERROR(J95/(Feed!L64/100),0)</f>
        <v>0</v>
      </c>
      <c r="M95" s="515">
        <f>IFERROR(K95/(Feed!U64/100),0)</f>
        <v>0</v>
      </c>
      <c r="N95" s="515">
        <f>IFERROR(L95*$L$67/100, 0)</f>
        <v>0</v>
      </c>
      <c r="O95" s="515">
        <f>IFERROR(M95*$U$67/100, 0)</f>
        <v>0</v>
      </c>
      <c r="V95" s="586"/>
    </row>
    <row r="96" spans="1:32" s="147" customFormat="1">
      <c r="O96" s="231"/>
      <c r="S96" s="232"/>
      <c r="V96" s="586"/>
      <c r="AB96" s="230"/>
    </row>
    <row r="97" spans="1:32" s="147" customFormat="1">
      <c r="O97" s="231"/>
      <c r="S97" s="232"/>
      <c r="V97" s="586"/>
      <c r="AB97" s="230"/>
    </row>
    <row r="98" spans="1:32" s="147" customFormat="1">
      <c r="O98" s="231"/>
      <c r="S98" s="232"/>
      <c r="V98" s="586"/>
      <c r="AB98" s="230"/>
    </row>
    <row r="99" spans="1:32" s="147" customFormat="1">
      <c r="A99" s="177"/>
      <c r="B99" s="177" t="s">
        <v>1192</v>
      </c>
      <c r="C99" s="177" t="s">
        <v>1193</v>
      </c>
      <c r="D99" s="177" t="s">
        <v>1206</v>
      </c>
      <c r="E99" s="177" t="s">
        <v>1207</v>
      </c>
      <c r="F99" s="178" t="s">
        <v>1210</v>
      </c>
      <c r="G99" s="178" t="s">
        <v>1211</v>
      </c>
      <c r="H99" s="178" t="s">
        <v>1212</v>
      </c>
      <c r="I99" s="178" t="s">
        <v>1213</v>
      </c>
      <c r="J99" s="585" t="s">
        <v>1217</v>
      </c>
      <c r="K99" s="585" t="s">
        <v>1218</v>
      </c>
      <c r="L99" s="585" t="s">
        <v>1367</v>
      </c>
      <c r="N99" s="147" t="s">
        <v>1391</v>
      </c>
      <c r="O99" s="231"/>
      <c r="P99" s="147" t="s">
        <v>1392</v>
      </c>
      <c r="Q99" s="231"/>
      <c r="R99" s="147" t="s">
        <v>1393</v>
      </c>
      <c r="S99" s="231"/>
      <c r="T99" s="147" t="s">
        <v>1394</v>
      </c>
      <c r="U99" s="231"/>
      <c r="V99" s="147" t="s">
        <v>1395</v>
      </c>
      <c r="W99" s="231"/>
      <c r="X99" s="147" t="s">
        <v>1396</v>
      </c>
      <c r="Y99" s="231"/>
      <c r="Z99" s="147" t="s">
        <v>1397</v>
      </c>
      <c r="AA99" s="231"/>
      <c r="AB99" s="147" t="s">
        <v>1398</v>
      </c>
    </row>
    <row r="100" spans="1:32" s="147" customFormat="1">
      <c r="A100" s="177" t="str">
        <f>INPUTS!C18</f>
        <v>Cows - local</v>
      </c>
      <c r="B100" s="254">
        <f t="shared" ref="B100:B108" si="50">H87</f>
        <v>0</v>
      </c>
      <c r="C100" s="254">
        <f t="shared" ref="C100:C108" si="51">I87</f>
        <v>0</v>
      </c>
      <c r="D100" s="254">
        <f t="shared" ref="D100:E106" si="52">N87</f>
        <v>0</v>
      </c>
      <c r="E100" s="254">
        <f t="shared" si="52"/>
        <v>0</v>
      </c>
      <c r="F100" s="254">
        <f>IF(D100&gt;B100,D100,B100)</f>
        <v>0</v>
      </c>
      <c r="G100" s="254">
        <f>IF(E100&gt;C100,E100,C100)</f>
        <v>0</v>
      </c>
      <c r="H100" s="254" t="str">
        <f>IF(OR(B100=0,D100=0),"",IF(D100&gt;B100,"CP","ENERGY"))</f>
        <v/>
      </c>
      <c r="I100" s="254" t="str">
        <f t="shared" ref="H100:I104" si="53">IF(OR(C100=0,E100=0),"",IF(E100&gt;C100,"CP","ENERGY"))</f>
        <v/>
      </c>
      <c r="J100" s="762">
        <f>IFERROR((F100*L10*100/L11+G100*U10*100/U11), 0)</f>
        <v>0</v>
      </c>
      <c r="K100" s="762">
        <f>IFERROR(J100/0.81,0)</f>
        <v>0</v>
      </c>
      <c r="L100" s="762">
        <f>(F100+G100)*18.45</f>
        <v>0</v>
      </c>
      <c r="N100" s="776">
        <f>F100+G100</f>
        <v>0</v>
      </c>
      <c r="O100" s="231">
        <f>E12*$G$3+N12*$P$3</f>
        <v>0</v>
      </c>
      <c r="P100" s="147">
        <f>$N100*O100</f>
        <v>0</v>
      </c>
      <c r="Q100" s="231">
        <f>F12*$G$3+O12*$P$3</f>
        <v>0</v>
      </c>
      <c r="R100" s="147">
        <f>$N100*Q100</f>
        <v>0</v>
      </c>
      <c r="S100" s="231">
        <f>G12*$G$3+P12*$P$3</f>
        <v>0</v>
      </c>
      <c r="T100" s="147">
        <f t="shared" ref="T100:T108" si="54">$N100*S100</f>
        <v>0</v>
      </c>
      <c r="U100" s="231">
        <f>H12*$G$3+Q12*$P$3</f>
        <v>0</v>
      </c>
      <c r="V100" s="147">
        <f t="shared" ref="V100:V108" si="55">$N100*U100</f>
        <v>0</v>
      </c>
      <c r="W100" s="231">
        <f>I12*$G$3+R12*$P$3</f>
        <v>0</v>
      </c>
      <c r="X100" s="147">
        <f t="shared" ref="X100:X108" si="56">$N100*W100</f>
        <v>0</v>
      </c>
      <c r="Y100" s="231">
        <f>J12*$G$3+S12*$P$3</f>
        <v>0</v>
      </c>
      <c r="Z100" s="147">
        <f t="shared" ref="Z100:Z108" si="57">$N100*Y100</f>
        <v>0</v>
      </c>
      <c r="AA100" s="231">
        <f>K12*$G$3+T12*$K$3</f>
        <v>0</v>
      </c>
      <c r="AB100" s="147">
        <f t="shared" ref="AB100:AB108" si="58">$N100*AA100</f>
        <v>0</v>
      </c>
    </row>
    <row r="101" spans="1:32" s="147" customFormat="1">
      <c r="A101" s="177" t="str">
        <f>INPUTS!C19</f>
        <v>Cows - improved</v>
      </c>
      <c r="B101" s="254">
        <f t="shared" si="50"/>
        <v>1474.7952107984827</v>
      </c>
      <c r="C101" s="254">
        <f t="shared" si="51"/>
        <v>1059.0974086338579</v>
      </c>
      <c r="D101" s="254">
        <f t="shared" si="52"/>
        <v>995.56864727239042</v>
      </c>
      <c r="E101" s="254">
        <f t="shared" si="52"/>
        <v>790.97945195406942</v>
      </c>
      <c r="F101" s="254">
        <f t="shared" ref="F101:F108" si="59">IF(D101&gt;B101,D101,B101)</f>
        <v>1474.7952107984827</v>
      </c>
      <c r="G101" s="254">
        <f t="shared" ref="G101:G108" si="60">IF(E101&gt;C101,E101,C101)</f>
        <v>1059.0974086338579</v>
      </c>
      <c r="H101" s="254" t="str">
        <f t="shared" si="53"/>
        <v>ENERGY</v>
      </c>
      <c r="I101" s="254" t="str">
        <f t="shared" si="53"/>
        <v>ENERGY</v>
      </c>
      <c r="J101" s="762">
        <f>IFERROR((F101*L17*100/L18+G101*U17*100/U18),0)</f>
        <v>51309.844988453609</v>
      </c>
      <c r="K101" s="762">
        <f>IFERROR(J101/0.81, 0)</f>
        <v>63345.487640066181</v>
      </c>
      <c r="L101" s="762">
        <f t="shared" ref="L101:L106" si="61">(F101+G101)*18.45</f>
        <v>46750.318828526681</v>
      </c>
      <c r="N101" s="776">
        <f t="shared" ref="N101:N108" si="62">F101+G101</f>
        <v>2533.8926194323403</v>
      </c>
      <c r="O101" s="231">
        <f>E19*$G$3+N19*$P$3</f>
        <v>0.16663233591280494</v>
      </c>
      <c r="P101" s="147">
        <f t="shared" ref="P101:R108" si="63">$N101*O101</f>
        <v>422.22844612822695</v>
      </c>
      <c r="Q101" s="231">
        <f>F19*$G$3+O19*$P$3</f>
        <v>0.27636387071458779</v>
      </c>
      <c r="R101" s="147">
        <f t="shared" si="63"/>
        <v>700.27637228144749</v>
      </c>
      <c r="S101" s="231">
        <f>G19*$G$3+P19*$P$3</f>
        <v>0.16865292930708781</v>
      </c>
      <c r="T101" s="147">
        <f t="shared" si="54"/>
        <v>427.34841281687403</v>
      </c>
      <c r="U101" s="231">
        <f>H19*$G$3+Q19*$P$3</f>
        <v>8.9868654603416587E-2</v>
      </c>
      <c r="V101" s="147">
        <f t="shared" si="55"/>
        <v>227.7175206179115</v>
      </c>
      <c r="W101" s="231">
        <f>I19*$G$3+R19*$P$3</f>
        <v>0.23953115183201323</v>
      </c>
      <c r="X101" s="147">
        <f t="shared" si="56"/>
        <v>606.94621775126564</v>
      </c>
      <c r="Y101" s="231">
        <f>J19*$G$3+S19*$P$3</f>
        <v>5.8951057630089607E-2</v>
      </c>
      <c r="Z101" s="147">
        <f t="shared" si="57"/>
        <v>149.3756498366146</v>
      </c>
      <c r="AA101" s="231">
        <f>K19*$G$3+T19*$K$3</f>
        <v>0</v>
      </c>
      <c r="AB101" s="147">
        <f t="shared" si="58"/>
        <v>0</v>
      </c>
    </row>
    <row r="102" spans="1:32" s="147" customFormat="1">
      <c r="A102" s="177" t="str">
        <f>INPUTS!C20</f>
        <v>Adult cattle - male</v>
      </c>
      <c r="B102" s="254">
        <f t="shared" si="50"/>
        <v>0</v>
      </c>
      <c r="C102" s="254">
        <f t="shared" si="51"/>
        <v>0</v>
      </c>
      <c r="D102" s="254">
        <f t="shared" si="52"/>
        <v>0</v>
      </c>
      <c r="E102" s="254">
        <f t="shared" si="52"/>
        <v>0</v>
      </c>
      <c r="F102" s="254">
        <f t="shared" si="59"/>
        <v>0</v>
      </c>
      <c r="G102" s="254">
        <f t="shared" si="60"/>
        <v>0</v>
      </c>
      <c r="H102" s="254" t="str">
        <f t="shared" si="53"/>
        <v/>
      </c>
      <c r="I102" s="254" t="str">
        <f t="shared" si="53"/>
        <v/>
      </c>
      <c r="J102" s="762">
        <f>IFERROR((F102*L24*100/L25+G102*U24*100/U25), 0)</f>
        <v>0</v>
      </c>
      <c r="K102" s="762">
        <f>IFERROR(J102/0.81, "")</f>
        <v>0</v>
      </c>
      <c r="L102" s="762">
        <f t="shared" si="61"/>
        <v>0</v>
      </c>
      <c r="N102" s="776">
        <f t="shared" si="62"/>
        <v>0</v>
      </c>
      <c r="O102" s="231">
        <f>E26*$G$3+N26*$P$3</f>
        <v>0</v>
      </c>
      <c r="P102" s="147">
        <f t="shared" si="63"/>
        <v>0</v>
      </c>
      <c r="Q102" s="231">
        <f>F26*$G$3+O26*$P$3</f>
        <v>0</v>
      </c>
      <c r="R102" s="147">
        <f t="shared" si="63"/>
        <v>0</v>
      </c>
      <c r="S102" s="231">
        <f>G26*$G$3+P26*$P$3</f>
        <v>0</v>
      </c>
      <c r="T102" s="147">
        <f t="shared" si="54"/>
        <v>0</v>
      </c>
      <c r="U102" s="231">
        <f>H26*$G$3+Q26*$P$3</f>
        <v>0</v>
      </c>
      <c r="V102" s="147">
        <f t="shared" si="55"/>
        <v>0</v>
      </c>
      <c r="W102" s="231">
        <f>I26*$G$3+R26*$P$3</f>
        <v>0</v>
      </c>
      <c r="X102" s="147">
        <f t="shared" si="56"/>
        <v>0</v>
      </c>
      <c r="Y102" s="231">
        <f>J26*$G$3+S26*$P$3</f>
        <v>0</v>
      </c>
      <c r="Z102" s="147">
        <f t="shared" si="57"/>
        <v>0</v>
      </c>
      <c r="AA102" s="231">
        <f>K26*$G$3+T26*$K$3</f>
        <v>0</v>
      </c>
      <c r="AB102" s="147">
        <f t="shared" si="58"/>
        <v>0</v>
      </c>
    </row>
    <row r="103" spans="1:32" s="147" customFormat="1">
      <c r="A103" s="177" t="str">
        <f>INPUTS!C21</f>
        <v>Steers/heifers</v>
      </c>
      <c r="B103" s="254">
        <f t="shared" si="50"/>
        <v>0</v>
      </c>
      <c r="C103" s="254">
        <f t="shared" si="51"/>
        <v>0</v>
      </c>
      <c r="D103" s="254">
        <f t="shared" si="52"/>
        <v>0</v>
      </c>
      <c r="E103" s="254">
        <f t="shared" si="52"/>
        <v>0</v>
      </c>
      <c r="F103" s="254">
        <f t="shared" si="59"/>
        <v>0</v>
      </c>
      <c r="G103" s="254">
        <f t="shared" si="60"/>
        <v>0</v>
      </c>
      <c r="H103" s="254" t="str">
        <f t="shared" si="53"/>
        <v/>
      </c>
      <c r="I103" s="254" t="str">
        <f t="shared" si="53"/>
        <v/>
      </c>
      <c r="J103" s="762">
        <f>IFERROR((F103*L31*100/L32+G103*U31*100/U32), 0)</f>
        <v>0</v>
      </c>
      <c r="K103" s="762">
        <f>IFERROR(J103/0.81,0)</f>
        <v>0</v>
      </c>
      <c r="L103" s="762">
        <f t="shared" si="61"/>
        <v>0</v>
      </c>
      <c r="N103" s="776">
        <f t="shared" si="62"/>
        <v>0</v>
      </c>
      <c r="O103" s="231">
        <f>E33*$G$3+N33*$P$3</f>
        <v>0</v>
      </c>
      <c r="P103" s="147">
        <f t="shared" si="63"/>
        <v>0</v>
      </c>
      <c r="Q103" s="231">
        <f>F33*$G$3+O33*$P$3</f>
        <v>0</v>
      </c>
      <c r="R103" s="147">
        <f t="shared" si="63"/>
        <v>0</v>
      </c>
      <c r="S103" s="231">
        <f>G33*$G$3+P33*$P$3</f>
        <v>0</v>
      </c>
      <c r="T103" s="147">
        <f t="shared" si="54"/>
        <v>0</v>
      </c>
      <c r="U103" s="231">
        <f>H33*$G$3+Q33*$P$3</f>
        <v>0</v>
      </c>
      <c r="V103" s="147">
        <f t="shared" si="55"/>
        <v>0</v>
      </c>
      <c r="W103" s="231">
        <f>I33*$G$3+R33*$P$3</f>
        <v>0</v>
      </c>
      <c r="X103" s="147">
        <f t="shared" si="56"/>
        <v>0</v>
      </c>
      <c r="Y103" s="231">
        <f>J33*$G$3+S33*$P$3</f>
        <v>0</v>
      </c>
      <c r="Z103" s="147">
        <f t="shared" si="57"/>
        <v>0</v>
      </c>
      <c r="AA103" s="231">
        <f>K33*$G$3+T33*$K$3</f>
        <v>0</v>
      </c>
      <c r="AB103" s="147">
        <f t="shared" si="58"/>
        <v>0</v>
      </c>
    </row>
    <row r="104" spans="1:32" s="147" customFormat="1">
      <c r="A104" s="177" t="str">
        <f>INPUTS!C22</f>
        <v>Calves</v>
      </c>
      <c r="B104" s="254">
        <f t="shared" si="50"/>
        <v>0</v>
      </c>
      <c r="C104" s="254">
        <f t="shared" si="51"/>
        <v>0</v>
      </c>
      <c r="D104" s="254">
        <f t="shared" si="52"/>
        <v>0</v>
      </c>
      <c r="E104" s="254">
        <f t="shared" si="52"/>
        <v>0</v>
      </c>
      <c r="F104" s="254">
        <f t="shared" si="59"/>
        <v>0</v>
      </c>
      <c r="G104" s="254">
        <f t="shared" si="60"/>
        <v>0</v>
      </c>
      <c r="H104" s="254" t="str">
        <f t="shared" si="53"/>
        <v/>
      </c>
      <c r="I104" s="254" t="str">
        <f t="shared" si="53"/>
        <v/>
      </c>
      <c r="J104" s="762" t="str">
        <f>IFERROR((F104*L38*100/L39+G104*U38*100/U39), "")</f>
        <v/>
      </c>
      <c r="K104" s="762">
        <f>IFERROR(J104/0.81,0)</f>
        <v>0</v>
      </c>
      <c r="L104" s="762">
        <f t="shared" si="61"/>
        <v>0</v>
      </c>
      <c r="N104" s="776">
        <f t="shared" si="62"/>
        <v>0</v>
      </c>
      <c r="O104" s="231">
        <f>E40*$G$3+N40*$P$3</f>
        <v>0</v>
      </c>
      <c r="P104" s="147">
        <f t="shared" si="63"/>
        <v>0</v>
      </c>
      <c r="Q104" s="231">
        <f>F40*$G$3+O40*$P$3</f>
        <v>0</v>
      </c>
      <c r="R104" s="147">
        <f t="shared" si="63"/>
        <v>0</v>
      </c>
      <c r="S104" s="231">
        <f>G40*$G$3+P40*$P$3</f>
        <v>0</v>
      </c>
      <c r="T104" s="147">
        <f t="shared" si="54"/>
        <v>0</v>
      </c>
      <c r="U104" s="231">
        <f>H40*$G$3+Q40*$P$3</f>
        <v>0</v>
      </c>
      <c r="V104" s="147">
        <f t="shared" si="55"/>
        <v>0</v>
      </c>
      <c r="W104" s="231">
        <f>I40*$G$3+R40*$P$3</f>
        <v>0</v>
      </c>
      <c r="X104" s="147">
        <f t="shared" si="56"/>
        <v>0</v>
      </c>
      <c r="Y104" s="231">
        <f>J40*$G$3+S40*$P$3</f>
        <v>0</v>
      </c>
      <c r="Z104" s="147">
        <f t="shared" si="57"/>
        <v>0</v>
      </c>
      <c r="AA104" s="231">
        <f>K40*$G$3+T40*$K$3</f>
        <v>0</v>
      </c>
      <c r="AB104" s="147">
        <f t="shared" si="58"/>
        <v>0</v>
      </c>
    </row>
    <row r="105" spans="1:32" s="147" customFormat="1">
      <c r="A105" s="177" t="str">
        <f>INPUTS!C23</f>
        <v>Steers/heifers improved</v>
      </c>
      <c r="B105" s="254">
        <f t="shared" si="50"/>
        <v>1778.4788757997958</v>
      </c>
      <c r="C105" s="254">
        <f t="shared" si="51"/>
        <v>1277.1823198760001</v>
      </c>
      <c r="D105" s="254">
        <f t="shared" si="52"/>
        <v>0</v>
      </c>
      <c r="E105" s="254">
        <f t="shared" si="52"/>
        <v>0</v>
      </c>
      <c r="F105" s="254">
        <f>IF(D105&gt;B105,D105,B105)</f>
        <v>1778.4788757997958</v>
      </c>
      <c r="G105" s="254">
        <f>IF(E105&gt;C105,E105,C105)</f>
        <v>1277.1823198760001</v>
      </c>
      <c r="H105" s="254" t="str">
        <f t="shared" ref="H105:I108" si="64">IF(OR(B105=0,D105=0),"",IF(D105&gt;B105,"CP","ENERGY"))</f>
        <v/>
      </c>
      <c r="I105" s="254" t="str">
        <f t="shared" si="64"/>
        <v/>
      </c>
      <c r="J105" s="762">
        <f>IFERROR((F105*L45*100/L46+G105*U45*100/U46), "")</f>
        <v>61875.3537876763</v>
      </c>
      <c r="K105" s="762">
        <f>IFERROR(J105/0.81,0)</f>
        <v>76389.325663797892</v>
      </c>
      <c r="L105" s="762">
        <f t="shared" si="61"/>
        <v>56376.949060218438</v>
      </c>
      <c r="N105" s="776">
        <f t="shared" si="62"/>
        <v>3055.6611956757961</v>
      </c>
      <c r="O105" s="231">
        <f>E47*$G$3+N47*$P$3</f>
        <v>0.16663233591280494</v>
      </c>
      <c r="P105" s="147">
        <f t="shared" si="63"/>
        <v>509.17196279357245</v>
      </c>
      <c r="Q105" s="231">
        <f>F47*$G$3+O47*$P$3</f>
        <v>0.27636387071458779</v>
      </c>
      <c r="R105" s="147">
        <f t="shared" si="63"/>
        <v>844.47435562932844</v>
      </c>
      <c r="S105" s="231">
        <f>G47*$G$3+P47*$P$3</f>
        <v>0.16865292930708781</v>
      </c>
      <c r="T105" s="147">
        <f t="shared" si="54"/>
        <v>515.34621162072142</v>
      </c>
      <c r="U105" s="231">
        <f>H47*$G$3+Q47*$P$3</f>
        <v>8.9868654603416587E-2</v>
      </c>
      <c r="V105" s="147">
        <f t="shared" si="55"/>
        <v>274.60816057925109</v>
      </c>
      <c r="W105" s="231">
        <f>I47*$G$3+R47*$P$3</f>
        <v>0.23953115183201323</v>
      </c>
      <c r="X105" s="147">
        <f t="shared" si="56"/>
        <v>731.92604580861018</v>
      </c>
      <c r="Y105" s="231">
        <f>J47*$G$3+S47*$P$3</f>
        <v>5.8951057630089607E-2</v>
      </c>
      <c r="Z105" s="147">
        <f t="shared" si="57"/>
        <v>180.13445924431238</v>
      </c>
      <c r="AA105" s="231">
        <f>K47*$G$3+T47*$K$3</f>
        <v>0</v>
      </c>
      <c r="AB105" s="147">
        <f t="shared" si="58"/>
        <v>0</v>
      </c>
    </row>
    <row r="106" spans="1:32" s="147" customFormat="1">
      <c r="A106" s="177" t="str">
        <f>INPUTS!C24</f>
        <v>Calves improved</v>
      </c>
      <c r="B106" s="254">
        <f t="shared" si="50"/>
        <v>0</v>
      </c>
      <c r="C106" s="254">
        <f t="shared" si="51"/>
        <v>0</v>
      </c>
      <c r="D106" s="254">
        <f t="shared" si="52"/>
        <v>0</v>
      </c>
      <c r="E106" s="254">
        <f t="shared" si="52"/>
        <v>0</v>
      </c>
      <c r="F106" s="254">
        <f>IF(D106&gt;B106,D106,B106)</f>
        <v>0</v>
      </c>
      <c r="G106" s="254">
        <f>IF(E106&gt;C106,E106,C106)</f>
        <v>0</v>
      </c>
      <c r="H106" s="254" t="str">
        <f t="shared" si="64"/>
        <v/>
      </c>
      <c r="I106" s="254" t="str">
        <f t="shared" si="64"/>
        <v/>
      </c>
      <c r="J106" s="762" t="str">
        <f>IFERROR((F106*L52*100/L53+G106*U52*100/U53), "")</f>
        <v/>
      </c>
      <c r="K106" s="762">
        <f>IFERROR(J106/0.81,0)</f>
        <v>0</v>
      </c>
      <c r="L106" s="762">
        <f t="shared" si="61"/>
        <v>0</v>
      </c>
      <c r="N106" s="776">
        <f t="shared" si="62"/>
        <v>0</v>
      </c>
      <c r="O106" s="231">
        <f>E54*$G$3+N54*$P$3</f>
        <v>0</v>
      </c>
      <c r="P106" s="147">
        <f t="shared" si="63"/>
        <v>0</v>
      </c>
      <c r="Q106" s="231">
        <f>F54*$G$3+O54*$P$3</f>
        <v>0</v>
      </c>
      <c r="R106" s="147">
        <f t="shared" si="63"/>
        <v>0</v>
      </c>
      <c r="S106" s="231">
        <f>G54*$G$3+P54*$P$3</f>
        <v>0</v>
      </c>
      <c r="T106" s="147">
        <f t="shared" si="54"/>
        <v>0</v>
      </c>
      <c r="U106" s="231">
        <f>H54*$G$3+Q54*$P$3</f>
        <v>0</v>
      </c>
      <c r="V106" s="147">
        <f t="shared" si="55"/>
        <v>0</v>
      </c>
      <c r="W106" s="231">
        <f>I54*$G$3+R54*$P$3</f>
        <v>0</v>
      </c>
      <c r="X106" s="147">
        <f t="shared" si="56"/>
        <v>0</v>
      </c>
      <c r="Y106" s="231">
        <f>J54*$G$3+S54*$P$3</f>
        <v>0</v>
      </c>
      <c r="Z106" s="147">
        <f t="shared" si="57"/>
        <v>0</v>
      </c>
      <c r="AA106" s="231">
        <f>K54*$G$3+T54*$K$3</f>
        <v>0</v>
      </c>
      <c r="AB106" s="147">
        <f t="shared" si="58"/>
        <v>0</v>
      </c>
    </row>
    <row r="107" spans="1:32" s="147" customFormat="1">
      <c r="A107" s="177" t="str">
        <f>INPUTS!C25</f>
        <v>Sheep</v>
      </c>
      <c r="B107" s="254">
        <f t="shared" si="50"/>
        <v>0</v>
      </c>
      <c r="C107" s="254">
        <f t="shared" si="51"/>
        <v>0</v>
      </c>
      <c r="D107" s="254">
        <f>L94</f>
        <v>0</v>
      </c>
      <c r="E107" s="254">
        <f>M94</f>
        <v>0</v>
      </c>
      <c r="F107" s="254">
        <f t="shared" si="59"/>
        <v>0</v>
      </c>
      <c r="G107" s="254">
        <f t="shared" si="60"/>
        <v>0</v>
      </c>
      <c r="H107" s="254" t="str">
        <f t="shared" si="64"/>
        <v/>
      </c>
      <c r="I107" s="254" t="str">
        <f t="shared" si="64"/>
        <v/>
      </c>
      <c r="J107" s="762">
        <f>IFERROR((F107*L59*100/L60+G107*U59*100/U60),0)</f>
        <v>0</v>
      </c>
      <c r="K107" s="762">
        <f>IFERROR(J107/0.81,0)</f>
        <v>0</v>
      </c>
      <c r="L107" s="762">
        <f>IFERROR(K107/0.81,0)</f>
        <v>0</v>
      </c>
      <c r="N107" s="776">
        <f t="shared" si="62"/>
        <v>0</v>
      </c>
      <c r="O107" s="231">
        <f>E61*$G$3+N61*$P$3</f>
        <v>0</v>
      </c>
      <c r="P107" s="147">
        <f t="shared" si="63"/>
        <v>0</v>
      </c>
      <c r="Q107" s="231">
        <f>F61*$G$3+O61*$P$3</f>
        <v>0</v>
      </c>
      <c r="R107" s="147">
        <f t="shared" si="63"/>
        <v>0</v>
      </c>
      <c r="S107" s="231">
        <f>G61*$G$3+P61*$P$3</f>
        <v>0</v>
      </c>
      <c r="T107" s="147">
        <f t="shared" si="54"/>
        <v>0</v>
      </c>
      <c r="U107" s="231">
        <f>H61*$G$3+Q61*$P$3</f>
        <v>0</v>
      </c>
      <c r="V107" s="147">
        <f t="shared" si="55"/>
        <v>0</v>
      </c>
      <c r="W107" s="231">
        <f>I61*$G$3+R61*$P$3</f>
        <v>0</v>
      </c>
      <c r="X107" s="147">
        <f t="shared" si="56"/>
        <v>0</v>
      </c>
      <c r="Y107" s="231">
        <f>J61*$G$3+S61*$P$3</f>
        <v>0</v>
      </c>
      <c r="Z107" s="147">
        <f t="shared" si="57"/>
        <v>0</v>
      </c>
      <c r="AA107" s="231">
        <f>K61*$G$3+T61*$K$3</f>
        <v>0</v>
      </c>
      <c r="AB107" s="147">
        <f t="shared" si="58"/>
        <v>0</v>
      </c>
    </row>
    <row r="108" spans="1:32" s="147" customFormat="1">
      <c r="A108" s="177" t="str">
        <f>INPUTS!C26</f>
        <v>Goats</v>
      </c>
      <c r="B108" s="254">
        <f t="shared" si="50"/>
        <v>0</v>
      </c>
      <c r="C108" s="254">
        <f t="shared" si="51"/>
        <v>0</v>
      </c>
      <c r="D108" s="254">
        <f>L95</f>
        <v>0</v>
      </c>
      <c r="E108" s="254">
        <f>M95</f>
        <v>0</v>
      </c>
      <c r="F108" s="254">
        <f t="shared" si="59"/>
        <v>0</v>
      </c>
      <c r="G108" s="254">
        <f t="shared" si="60"/>
        <v>0</v>
      </c>
      <c r="H108" s="254" t="str">
        <f t="shared" si="64"/>
        <v/>
      </c>
      <c r="I108" s="254" t="str">
        <f t="shared" si="64"/>
        <v/>
      </c>
      <c r="J108" s="762">
        <f>IFERROR((F108*L66*100/L67+G108*U66*100/U67),0)</f>
        <v>0</v>
      </c>
      <c r="K108" s="762">
        <f>IFERROR(J108/0.81, 0)</f>
        <v>0</v>
      </c>
      <c r="L108" s="762">
        <f>IFERROR(K108/0.81, 0)</f>
        <v>0</v>
      </c>
      <c r="N108" s="776">
        <f t="shared" si="62"/>
        <v>0</v>
      </c>
      <c r="O108" s="231">
        <f>E68*$G$3+N68*$P$3</f>
        <v>0</v>
      </c>
      <c r="P108" s="147">
        <f t="shared" si="63"/>
        <v>0</v>
      </c>
      <c r="Q108" s="231">
        <f>F68*$G$3+O68*$P$3</f>
        <v>0</v>
      </c>
      <c r="R108" s="147">
        <f t="shared" si="63"/>
        <v>0</v>
      </c>
      <c r="S108" s="231">
        <f>G68*$G$3+P68*$P$3</f>
        <v>0</v>
      </c>
      <c r="T108" s="147">
        <f t="shared" si="54"/>
        <v>0</v>
      </c>
      <c r="U108" s="231">
        <f>H68*$G$3+Q68*$P$3</f>
        <v>0</v>
      </c>
      <c r="V108" s="147">
        <f t="shared" si="55"/>
        <v>0</v>
      </c>
      <c r="W108" s="231">
        <f>I68*$G$3+R68*$P$3</f>
        <v>0</v>
      </c>
      <c r="X108" s="147">
        <f t="shared" si="56"/>
        <v>0</v>
      </c>
      <c r="Y108" s="231">
        <f>J68*$G$3+S68*$P$3</f>
        <v>0</v>
      </c>
      <c r="Z108" s="147">
        <f t="shared" si="57"/>
        <v>0</v>
      </c>
      <c r="AA108" s="231">
        <f>K68*$G$3+T68*$K$3</f>
        <v>0</v>
      </c>
      <c r="AB108" s="147">
        <f t="shared" si="58"/>
        <v>0</v>
      </c>
    </row>
    <row r="109" spans="1:32" s="147" customFormat="1">
      <c r="D109" s="547"/>
      <c r="K109" s="761">
        <f>SUM(K100:K108)</f>
        <v>139734.81330386407</v>
      </c>
      <c r="N109" s="776">
        <f>SUM(N100:N108)</f>
        <v>5589.5538151081364</v>
      </c>
      <c r="O109" s="231"/>
      <c r="S109" s="232"/>
      <c r="V109" s="586"/>
      <c r="AB109" s="230"/>
    </row>
    <row r="110" spans="1:32" s="147" customFormat="1">
      <c r="O110" s="231"/>
      <c r="S110" s="232"/>
      <c r="V110" s="586"/>
      <c r="AB110" s="230"/>
    </row>
    <row r="111" spans="1:32" s="147" customFormat="1">
      <c r="A111" s="375" t="s">
        <v>1196</v>
      </c>
      <c r="B111" s="375"/>
      <c r="C111" s="375"/>
      <c r="D111" s="375"/>
      <c r="E111" s="375"/>
      <c r="F111" s="375"/>
      <c r="G111" s="375"/>
      <c r="H111" s="375"/>
      <c r="I111" s="375"/>
      <c r="J111" s="375"/>
      <c r="K111" s="375"/>
      <c r="L111" s="375"/>
      <c r="M111" s="375"/>
      <c r="N111" s="375"/>
      <c r="O111" s="375"/>
      <c r="P111" s="375"/>
      <c r="Q111" s="375"/>
      <c r="R111" s="375"/>
      <c r="S111" s="375"/>
      <c r="T111" s="375"/>
      <c r="U111" s="375"/>
      <c r="V111" s="590"/>
      <c r="W111" s="375"/>
      <c r="X111" s="375"/>
      <c r="Y111" s="375"/>
      <c r="Z111" s="375"/>
      <c r="AA111" s="375"/>
      <c r="AB111" s="375"/>
      <c r="AC111" s="375"/>
      <c r="AD111" s="375"/>
      <c r="AE111" s="375"/>
      <c r="AF111" s="375"/>
    </row>
    <row r="112" spans="1:32" s="147" customFormat="1" ht="141.75">
      <c r="A112" s="13"/>
      <c r="B112" s="512" t="s">
        <v>1022</v>
      </c>
      <c r="C112" s="512" t="s">
        <v>1023</v>
      </c>
      <c r="D112" s="512" t="s">
        <v>1208</v>
      </c>
      <c r="E112" s="512" t="s">
        <v>1647</v>
      </c>
      <c r="F112" s="749" t="s">
        <v>1338</v>
      </c>
      <c r="G112" s="749" t="s">
        <v>1339</v>
      </c>
      <c r="H112" s="749" t="s">
        <v>1340</v>
      </c>
      <c r="I112" s="749" t="s">
        <v>1341</v>
      </c>
      <c r="J112" s="749" t="s">
        <v>1342</v>
      </c>
      <c r="K112" s="749" t="s">
        <v>1646</v>
      </c>
      <c r="L112" s="749" t="s">
        <v>1343</v>
      </c>
      <c r="M112" s="749" t="s">
        <v>1344</v>
      </c>
      <c r="N112" s="513" t="s">
        <v>1648</v>
      </c>
      <c r="O112" s="155" t="s">
        <v>1345</v>
      </c>
      <c r="P112" s="513" t="s">
        <v>1346</v>
      </c>
      <c r="Q112" s="155" t="s">
        <v>1347</v>
      </c>
      <c r="R112" s="513" t="s">
        <v>1649</v>
      </c>
      <c r="S112" s="155" t="s">
        <v>1348</v>
      </c>
      <c r="U112" s="586"/>
    </row>
    <row r="113" spans="1:28" s="147" customFormat="1">
      <c r="A113" s="13" t="str">
        <f>INPUTS!C18</f>
        <v>Cows - local</v>
      </c>
      <c r="B113" s="655">
        <f t="shared" ref="B113:B121" si="65">MAX(B100,D100)</f>
        <v>0</v>
      </c>
      <c r="C113" s="655">
        <f t="shared" ref="C113:C121" si="66">MAX(C100,E100)</f>
        <v>0</v>
      </c>
      <c r="D113" s="662">
        <f t="shared" ref="D113:D119" si="67">IF(B113+C113 = 0, 0, IFERROR(((B113+C113)/365)*0.365,""))</f>
        <v>0</v>
      </c>
      <c r="E113" s="516">
        <f>IFERROR(D113*365,"")</f>
        <v>0</v>
      </c>
      <c r="F113" s="750">
        <f>INPUTS!H18</f>
        <v>0</v>
      </c>
      <c r="G113" s="750">
        <f>INPUTS!I18</f>
        <v>0</v>
      </c>
      <c r="H113" s="750">
        <f>INPUTS!J18</f>
        <v>0</v>
      </c>
      <c r="I113" s="750">
        <f>INPUTS!K18</f>
        <v>0</v>
      </c>
      <c r="J113" s="750">
        <f>INPUTS!M18</f>
        <v>0</v>
      </c>
      <c r="K113" s="750">
        <f>INPUTS!N18</f>
        <v>0</v>
      </c>
      <c r="L113" s="750">
        <f>INPUTS!O18</f>
        <v>0</v>
      </c>
      <c r="M113" s="750">
        <f>INPUTS!Q18</f>
        <v>0</v>
      </c>
      <c r="N113" s="751">
        <f>E113*H113 - E113*H113*L113</f>
        <v>0</v>
      </c>
      <c r="O113" s="752">
        <f>N113*'Livestock parameters'!W4</f>
        <v>0</v>
      </c>
      <c r="P113" s="751">
        <f>E113*(F113*J113+G113*K113+H113*L113)*M113</f>
        <v>0</v>
      </c>
      <c r="Q113" s="752">
        <f>P113*'Livestock parameters'!W4</f>
        <v>0</v>
      </c>
      <c r="R113" s="751">
        <f>O113+Q113</f>
        <v>0</v>
      </c>
      <c r="S113" s="752"/>
      <c r="U113" s="586"/>
    </row>
    <row r="114" spans="1:28" s="147" customFormat="1">
      <c r="A114" s="13" t="str">
        <f>INPUTS!C19</f>
        <v>Cows - improved</v>
      </c>
      <c r="B114" s="655">
        <f t="shared" si="65"/>
        <v>1474.7952107984827</v>
      </c>
      <c r="C114" s="655">
        <f t="shared" si="66"/>
        <v>1059.0974086338579</v>
      </c>
      <c r="D114" s="662">
        <f t="shared" si="67"/>
        <v>2.5338926194323403</v>
      </c>
      <c r="E114" s="516">
        <f t="shared" ref="E114:E121" si="68">IFERROR(D114*365,"")</f>
        <v>924.87080609280417</v>
      </c>
      <c r="F114" s="750">
        <f>INPUTS!H19</f>
        <v>1</v>
      </c>
      <c r="G114" s="750">
        <f>INPUTS!I19</f>
        <v>0</v>
      </c>
      <c r="H114" s="750">
        <f>INPUTS!J19</f>
        <v>0</v>
      </c>
      <c r="I114" s="750">
        <f>INPUTS!K19</f>
        <v>0</v>
      </c>
      <c r="J114" s="750">
        <f>INPUTS!M19</f>
        <v>1</v>
      </c>
      <c r="K114" s="750">
        <f>INPUTS!N19</f>
        <v>0</v>
      </c>
      <c r="L114" s="750">
        <f>INPUTS!O19</f>
        <v>0</v>
      </c>
      <c r="M114" s="750">
        <f>INPUTS!Q19</f>
        <v>0.9</v>
      </c>
      <c r="N114" s="751">
        <f t="shared" ref="N114:N121" si="69">E114*H114 - E114*H114*L114</f>
        <v>0</v>
      </c>
      <c r="O114" s="752">
        <f>N114*'Livestock parameters'!W5</f>
        <v>0</v>
      </c>
      <c r="P114" s="751">
        <f t="shared" ref="P114:P121" si="70">E114*(F114*J114+G114*K114+H114*L114)*M114</f>
        <v>832.38372548352379</v>
      </c>
      <c r="Q114" s="752">
        <f>P114*'Livestock parameters'!W5</f>
        <v>24.139128039022189</v>
      </c>
      <c r="R114" s="751">
        <f t="shared" ref="R114:R121" si="71">O114+Q114</f>
        <v>24.139128039022189</v>
      </c>
      <c r="S114" s="752"/>
      <c r="U114" s="586"/>
    </row>
    <row r="115" spans="1:28" s="147" customFormat="1">
      <c r="A115" s="13" t="str">
        <f>INPUTS!C20</f>
        <v>Adult cattle - male</v>
      </c>
      <c r="B115" s="655">
        <f t="shared" si="65"/>
        <v>0</v>
      </c>
      <c r="C115" s="655">
        <f t="shared" si="66"/>
        <v>0</v>
      </c>
      <c r="D115" s="662">
        <f t="shared" si="67"/>
        <v>0</v>
      </c>
      <c r="E115" s="516">
        <f t="shared" si="68"/>
        <v>0</v>
      </c>
      <c r="F115" s="750">
        <f>INPUTS!H20</f>
        <v>0</v>
      </c>
      <c r="G115" s="750">
        <f>INPUTS!I20</f>
        <v>0</v>
      </c>
      <c r="H115" s="750">
        <f>INPUTS!J20</f>
        <v>0</v>
      </c>
      <c r="I115" s="750">
        <f>INPUTS!K20</f>
        <v>0</v>
      </c>
      <c r="J115" s="750">
        <f>INPUTS!M20</f>
        <v>0</v>
      </c>
      <c r="K115" s="750">
        <f>INPUTS!N20</f>
        <v>0</v>
      </c>
      <c r="L115" s="750">
        <f>INPUTS!O20</f>
        <v>0</v>
      </c>
      <c r="M115" s="750">
        <f>INPUTS!Q20</f>
        <v>0</v>
      </c>
      <c r="N115" s="751">
        <f t="shared" si="69"/>
        <v>0</v>
      </c>
      <c r="O115" s="752">
        <f>N115*'Livestock parameters'!W6</f>
        <v>0</v>
      </c>
      <c r="P115" s="751">
        <f t="shared" si="70"/>
        <v>0</v>
      </c>
      <c r="Q115" s="752">
        <f>P115*'Livestock parameters'!W6</f>
        <v>0</v>
      </c>
      <c r="R115" s="751">
        <f t="shared" si="71"/>
        <v>0</v>
      </c>
      <c r="S115" s="752"/>
      <c r="U115" s="586"/>
    </row>
    <row r="116" spans="1:28" s="147" customFormat="1">
      <c r="A116" s="13" t="str">
        <f>INPUTS!C21</f>
        <v>Steers/heifers</v>
      </c>
      <c r="B116" s="655">
        <f t="shared" si="65"/>
        <v>0</v>
      </c>
      <c r="C116" s="655">
        <f t="shared" si="66"/>
        <v>0</v>
      </c>
      <c r="D116" s="662">
        <f t="shared" si="67"/>
        <v>0</v>
      </c>
      <c r="E116" s="516">
        <f t="shared" si="68"/>
        <v>0</v>
      </c>
      <c r="F116" s="750">
        <f>INPUTS!H21</f>
        <v>0</v>
      </c>
      <c r="G116" s="750">
        <f>INPUTS!I21</f>
        <v>0</v>
      </c>
      <c r="H116" s="750">
        <f>INPUTS!J21</f>
        <v>0</v>
      </c>
      <c r="I116" s="750">
        <f>INPUTS!K21</f>
        <v>0</v>
      </c>
      <c r="J116" s="750">
        <f>INPUTS!M21</f>
        <v>0</v>
      </c>
      <c r="K116" s="750">
        <f>INPUTS!N21</f>
        <v>0</v>
      </c>
      <c r="L116" s="750">
        <f>INPUTS!O21</f>
        <v>0</v>
      </c>
      <c r="M116" s="750">
        <f>INPUTS!Q21</f>
        <v>0</v>
      </c>
      <c r="N116" s="751">
        <f t="shared" si="69"/>
        <v>0</v>
      </c>
      <c r="O116" s="752">
        <f>N116*'Livestock parameters'!W7</f>
        <v>0</v>
      </c>
      <c r="P116" s="751">
        <f t="shared" si="70"/>
        <v>0</v>
      </c>
      <c r="Q116" s="752">
        <f>P116*'Livestock parameters'!W7</f>
        <v>0</v>
      </c>
      <c r="R116" s="751">
        <f t="shared" si="71"/>
        <v>0</v>
      </c>
      <c r="S116" s="752"/>
      <c r="U116" s="586"/>
    </row>
    <row r="117" spans="1:28" s="147" customFormat="1">
      <c r="A117" s="13" t="str">
        <f>INPUTS!C22</f>
        <v>Calves</v>
      </c>
      <c r="B117" s="655">
        <f t="shared" si="65"/>
        <v>0</v>
      </c>
      <c r="C117" s="655">
        <f t="shared" si="66"/>
        <v>0</v>
      </c>
      <c r="D117" s="662">
        <f t="shared" si="67"/>
        <v>0</v>
      </c>
      <c r="E117" s="516">
        <f t="shared" si="68"/>
        <v>0</v>
      </c>
      <c r="F117" s="750">
        <f>INPUTS!H22</f>
        <v>0</v>
      </c>
      <c r="G117" s="750">
        <f>INPUTS!I22</f>
        <v>0</v>
      </c>
      <c r="H117" s="750">
        <f>INPUTS!J22</f>
        <v>0</v>
      </c>
      <c r="I117" s="750">
        <f>INPUTS!K22</f>
        <v>0</v>
      </c>
      <c r="J117" s="750">
        <f>INPUTS!M22</f>
        <v>0</v>
      </c>
      <c r="K117" s="750">
        <f>INPUTS!N22</f>
        <v>0</v>
      </c>
      <c r="L117" s="750">
        <f>INPUTS!O22</f>
        <v>0</v>
      </c>
      <c r="M117" s="750">
        <f>INPUTS!Q22</f>
        <v>0</v>
      </c>
      <c r="N117" s="751">
        <f t="shared" si="69"/>
        <v>0</v>
      </c>
      <c r="O117" s="752">
        <f>N117*'Livestock parameters'!W8</f>
        <v>0</v>
      </c>
      <c r="P117" s="751">
        <f t="shared" si="70"/>
        <v>0</v>
      </c>
      <c r="Q117" s="752">
        <f>P117*'Livestock parameters'!W8</f>
        <v>0</v>
      </c>
      <c r="R117" s="751">
        <f t="shared" si="71"/>
        <v>0</v>
      </c>
      <c r="S117" s="752"/>
      <c r="U117" s="586"/>
    </row>
    <row r="118" spans="1:28" s="147" customFormat="1">
      <c r="A118" s="13" t="str">
        <f>INPUTS!C23</f>
        <v>Steers/heifers improved</v>
      </c>
      <c r="B118" s="655">
        <f t="shared" si="65"/>
        <v>1778.4788757997958</v>
      </c>
      <c r="C118" s="655">
        <f t="shared" si="66"/>
        <v>1277.1823198760001</v>
      </c>
      <c r="D118" s="662">
        <f t="shared" si="67"/>
        <v>3.0556611956757962</v>
      </c>
      <c r="E118" s="516">
        <f t="shared" si="68"/>
        <v>1115.3163364216657</v>
      </c>
      <c r="F118" s="750">
        <f>INPUTS!H23</f>
        <v>1</v>
      </c>
      <c r="G118" s="750">
        <f>INPUTS!I23</f>
        <v>0</v>
      </c>
      <c r="H118" s="750">
        <f>INPUTS!J23</f>
        <v>0</v>
      </c>
      <c r="I118" s="750">
        <f>INPUTS!K23</f>
        <v>0</v>
      </c>
      <c r="J118" s="750">
        <f>INPUTS!M23</f>
        <v>1</v>
      </c>
      <c r="K118" s="750">
        <f>INPUTS!N23</f>
        <v>0</v>
      </c>
      <c r="L118" s="750">
        <f>INPUTS!O23</f>
        <v>0</v>
      </c>
      <c r="M118" s="750">
        <f>INPUTS!Q23</f>
        <v>0.9</v>
      </c>
      <c r="N118" s="751">
        <f t="shared" si="69"/>
        <v>0</v>
      </c>
      <c r="O118" s="752">
        <f>N118*'Livestock parameters'!W9</f>
        <v>0</v>
      </c>
      <c r="P118" s="751">
        <f t="shared" si="70"/>
        <v>1003.7847027794992</v>
      </c>
      <c r="Q118" s="752">
        <f>P118*'Livestock parameters'!W9</f>
        <v>29.109756380605479</v>
      </c>
      <c r="R118" s="751">
        <f t="shared" si="71"/>
        <v>29.109756380605479</v>
      </c>
      <c r="S118" s="752"/>
      <c r="U118" s="586"/>
    </row>
    <row r="119" spans="1:28" s="147" customFormat="1">
      <c r="A119" s="13" t="str">
        <f>INPUTS!C24</f>
        <v>Calves improved</v>
      </c>
      <c r="B119" s="655">
        <f t="shared" si="65"/>
        <v>0</v>
      </c>
      <c r="C119" s="655">
        <f t="shared" si="66"/>
        <v>0</v>
      </c>
      <c r="D119" s="662">
        <f t="shared" si="67"/>
        <v>0</v>
      </c>
      <c r="E119" s="516">
        <f t="shared" si="68"/>
        <v>0</v>
      </c>
      <c r="F119" s="750">
        <f>INPUTS!H24</f>
        <v>0</v>
      </c>
      <c r="G119" s="750">
        <f>INPUTS!I24</f>
        <v>0</v>
      </c>
      <c r="H119" s="750">
        <f>INPUTS!J24</f>
        <v>0</v>
      </c>
      <c r="I119" s="750">
        <f>INPUTS!K24</f>
        <v>0</v>
      </c>
      <c r="J119" s="750">
        <f>INPUTS!M24</f>
        <v>0</v>
      </c>
      <c r="K119" s="750">
        <f>INPUTS!N24</f>
        <v>0</v>
      </c>
      <c r="L119" s="750">
        <f>INPUTS!O24</f>
        <v>0</v>
      </c>
      <c r="M119" s="750">
        <f>INPUTS!Q24</f>
        <v>0</v>
      </c>
      <c r="N119" s="751">
        <f t="shared" si="69"/>
        <v>0</v>
      </c>
      <c r="O119" s="752">
        <f>N119*'Livestock parameters'!W10</f>
        <v>0</v>
      </c>
      <c r="P119" s="751">
        <f t="shared" si="70"/>
        <v>0</v>
      </c>
      <c r="Q119" s="752">
        <f>P119*'Livestock parameters'!W10</f>
        <v>0</v>
      </c>
      <c r="R119" s="751">
        <f t="shared" si="71"/>
        <v>0</v>
      </c>
      <c r="S119" s="752"/>
      <c r="U119" s="586"/>
    </row>
    <row r="120" spans="1:28" s="147" customFormat="1">
      <c r="A120" s="13" t="str">
        <f>INPUTS!C25</f>
        <v>Sheep</v>
      </c>
      <c r="B120" s="655">
        <f t="shared" si="65"/>
        <v>0</v>
      </c>
      <c r="C120" s="655">
        <f t="shared" si="66"/>
        <v>0</v>
      </c>
      <c r="D120" s="662">
        <f>IF(B120+C120 = 0, 0, IFERROR(((B120+C120)/365)*0.365,""))</f>
        <v>0</v>
      </c>
      <c r="E120" s="516">
        <f t="shared" si="68"/>
        <v>0</v>
      </c>
      <c r="F120" s="750">
        <f>INPUTS!H25</f>
        <v>0</v>
      </c>
      <c r="G120" s="750">
        <f>INPUTS!I25</f>
        <v>0</v>
      </c>
      <c r="H120" s="750">
        <f>INPUTS!J25</f>
        <v>0</v>
      </c>
      <c r="I120" s="750">
        <f>INPUTS!K25</f>
        <v>0</v>
      </c>
      <c r="J120" s="750">
        <f>INPUTS!M25</f>
        <v>0</v>
      </c>
      <c r="K120" s="750">
        <f>INPUTS!N25</f>
        <v>0</v>
      </c>
      <c r="L120" s="750">
        <f>INPUTS!O25</f>
        <v>0</v>
      </c>
      <c r="M120" s="750">
        <f>INPUTS!Q25</f>
        <v>0</v>
      </c>
      <c r="N120" s="751">
        <f t="shared" si="69"/>
        <v>0</v>
      </c>
      <c r="O120" s="752">
        <f>N120*'Livestock parameters'!W11</f>
        <v>0</v>
      </c>
      <c r="P120" s="751">
        <f t="shared" si="70"/>
        <v>0</v>
      </c>
      <c r="Q120" s="752">
        <f>P120*'Livestock parameters'!W11</f>
        <v>0</v>
      </c>
      <c r="R120" s="751">
        <f t="shared" si="71"/>
        <v>0</v>
      </c>
      <c r="S120" s="752"/>
      <c r="U120" s="586"/>
    </row>
    <row r="121" spans="1:28" s="147" customFormat="1">
      <c r="A121" s="13" t="str">
        <f>INPUTS!C26</f>
        <v>Goats</v>
      </c>
      <c r="B121" s="655">
        <f t="shared" si="65"/>
        <v>0</v>
      </c>
      <c r="C121" s="655">
        <f t="shared" si="66"/>
        <v>0</v>
      </c>
      <c r="D121" s="662">
        <f>IF(B121+C121 = 0, 0, IFERROR(((B121+C121)/365)*0.365,""))</f>
        <v>0</v>
      </c>
      <c r="E121" s="516">
        <f t="shared" si="68"/>
        <v>0</v>
      </c>
      <c r="F121" s="750">
        <f>INPUTS!H26</f>
        <v>0</v>
      </c>
      <c r="G121" s="750">
        <f>INPUTS!I26</f>
        <v>0</v>
      </c>
      <c r="H121" s="750">
        <f>INPUTS!J26</f>
        <v>0</v>
      </c>
      <c r="I121" s="750">
        <f>INPUTS!K26</f>
        <v>0</v>
      </c>
      <c r="J121" s="750">
        <f>INPUTS!M26</f>
        <v>0</v>
      </c>
      <c r="K121" s="750">
        <f>INPUTS!N26</f>
        <v>0</v>
      </c>
      <c r="L121" s="750">
        <f>INPUTS!O26</f>
        <v>0</v>
      </c>
      <c r="M121" s="750">
        <f>INPUTS!Q26</f>
        <v>0</v>
      </c>
      <c r="N121" s="751">
        <f t="shared" si="69"/>
        <v>0</v>
      </c>
      <c r="O121" s="752">
        <f>N121*'Livestock parameters'!W12</f>
        <v>0</v>
      </c>
      <c r="P121" s="751">
        <f t="shared" si="70"/>
        <v>0</v>
      </c>
      <c r="Q121" s="752">
        <f>P121*'Livestock parameters'!W12</f>
        <v>0</v>
      </c>
      <c r="R121" s="751">
        <f t="shared" si="71"/>
        <v>0</v>
      </c>
      <c r="S121" s="752"/>
      <c r="U121" s="586"/>
    </row>
    <row r="122" spans="1:28" s="147" customFormat="1">
      <c r="E122" s="624">
        <f>SUM(E113:E121)</f>
        <v>2040.18714251447</v>
      </c>
      <c r="N122" s="753">
        <f>SUM(N113:N121)</f>
        <v>0</v>
      </c>
      <c r="O122" s="282">
        <f>SUM(O113:O121)</f>
        <v>0</v>
      </c>
      <c r="P122" s="282">
        <f>SUM(P113:P121)</f>
        <v>1836.1684282630231</v>
      </c>
      <c r="Q122" s="282">
        <f>SUM(Q113:Q121)</f>
        <v>53.248884419627672</v>
      </c>
      <c r="R122" s="753">
        <f>SUM(R113:R121)</f>
        <v>53.248884419627672</v>
      </c>
      <c r="S122" s="282">
        <f>SUM(INPUTS!D34:'INPUTS'!D37)</f>
        <v>4.66</v>
      </c>
      <c r="U122" s="586"/>
      <c r="W122" s="230"/>
    </row>
    <row r="123" spans="1:28" s="147" customFormat="1">
      <c r="O123" s="231"/>
      <c r="S123" s="232"/>
      <c r="V123" s="586"/>
      <c r="AB123" s="230"/>
    </row>
    <row r="124" spans="1:28" s="147" customFormat="1">
      <c r="O124" s="231"/>
      <c r="S124" s="232"/>
      <c r="V124" s="586"/>
      <c r="AB124" s="230"/>
    </row>
    <row r="125" spans="1:28" s="147" customFormat="1">
      <c r="O125" s="231"/>
      <c r="S125" s="232"/>
      <c r="V125" s="586"/>
      <c r="AB125" s="230"/>
    </row>
    <row r="126" spans="1:28" s="147" customFormat="1">
      <c r="O126" s="231"/>
      <c r="S126" s="232"/>
      <c r="V126" s="586"/>
      <c r="AB126" s="230"/>
    </row>
    <row r="127" spans="1:28" s="147" customFormat="1">
      <c r="O127" s="231"/>
      <c r="S127" s="232"/>
      <c r="V127" s="586"/>
      <c r="AB127" s="230"/>
    </row>
    <row r="128" spans="1:28" s="147" customFormat="1">
      <c r="O128" s="231"/>
      <c r="S128" s="232"/>
      <c r="V128" s="586"/>
      <c r="AB128" s="230"/>
    </row>
    <row r="129" spans="15:28" s="147" customFormat="1">
      <c r="O129" s="231"/>
      <c r="S129" s="232"/>
      <c r="V129" s="586"/>
      <c r="AB129" s="230"/>
    </row>
    <row r="130" spans="15:28" s="147" customFormat="1">
      <c r="O130" s="231"/>
      <c r="S130" s="232"/>
      <c r="V130" s="586"/>
      <c r="AB130" s="230"/>
    </row>
    <row r="131" spans="15:28" s="147" customFormat="1">
      <c r="O131" s="231"/>
      <c r="S131" s="232"/>
      <c r="V131" s="586"/>
      <c r="AB131" s="230"/>
    </row>
    <row r="132" spans="15:28" s="147" customFormat="1">
      <c r="O132" s="231"/>
      <c r="S132" s="232"/>
      <c r="V132" s="586"/>
      <c r="AB132" s="230"/>
    </row>
    <row r="133" spans="15:28" s="147" customFormat="1">
      <c r="O133" s="231"/>
      <c r="S133" s="232"/>
      <c r="V133" s="586"/>
      <c r="AB133" s="230"/>
    </row>
    <row r="134" spans="15:28" s="147" customFormat="1">
      <c r="O134" s="231"/>
      <c r="S134" s="232"/>
      <c r="V134" s="586"/>
      <c r="AB134" s="230"/>
    </row>
    <row r="135" spans="15:28" s="147" customFormat="1">
      <c r="O135" s="231"/>
      <c r="S135" s="232"/>
      <c r="V135" s="586"/>
      <c r="AB135" s="230"/>
    </row>
    <row r="136" spans="15:28" s="147" customFormat="1">
      <c r="O136" s="231"/>
      <c r="S136" s="232"/>
      <c r="V136" s="586"/>
      <c r="AB136" s="230"/>
    </row>
    <row r="137" spans="15:28" s="147" customFormat="1">
      <c r="O137" s="231"/>
      <c r="S137" s="232"/>
      <c r="V137" s="586"/>
      <c r="AB137" s="230"/>
    </row>
    <row r="138" spans="15:28" s="147" customFormat="1">
      <c r="O138" s="231"/>
      <c r="S138" s="232"/>
      <c r="V138" s="586"/>
      <c r="AB138" s="230"/>
    </row>
    <row r="139" spans="15:28" s="147" customFormat="1">
      <c r="O139" s="231"/>
      <c r="S139" s="232"/>
      <c r="V139" s="586"/>
      <c r="AB139" s="230"/>
    </row>
    <row r="140" spans="15:28" s="147" customFormat="1">
      <c r="O140" s="231"/>
      <c r="S140" s="232"/>
      <c r="V140" s="586"/>
      <c r="AB140" s="230"/>
    </row>
    <row r="141" spans="15:28" s="147" customFormat="1">
      <c r="O141" s="231"/>
      <c r="S141" s="232"/>
      <c r="V141" s="586"/>
      <c r="AB141" s="230"/>
    </row>
    <row r="142" spans="15:28" s="147" customFormat="1">
      <c r="O142" s="231"/>
      <c r="S142" s="232"/>
      <c r="V142" s="586"/>
      <c r="AB142" s="230"/>
    </row>
    <row r="143" spans="15:28" s="147" customFormat="1">
      <c r="O143" s="231"/>
      <c r="S143" s="232"/>
      <c r="V143" s="586"/>
      <c r="AB143" s="230"/>
    </row>
    <row r="144" spans="15:28" s="147" customFormat="1">
      <c r="O144" s="231"/>
      <c r="S144" s="232"/>
      <c r="V144" s="586"/>
      <c r="AB144" s="230"/>
    </row>
    <row r="145" spans="15:28" s="147" customFormat="1">
      <c r="O145" s="231"/>
      <c r="S145" s="232"/>
      <c r="V145" s="586"/>
      <c r="AB145" s="230"/>
    </row>
    <row r="146" spans="15:28" s="147" customFormat="1">
      <c r="O146" s="231"/>
      <c r="S146" s="232"/>
      <c r="V146" s="586"/>
      <c r="AB146" s="230"/>
    </row>
    <row r="147" spans="15:28" s="147" customFormat="1">
      <c r="O147" s="231"/>
      <c r="S147" s="232"/>
      <c r="V147" s="586"/>
      <c r="AB147" s="230"/>
    </row>
    <row r="148" spans="15:28" s="147" customFormat="1">
      <c r="O148" s="231"/>
      <c r="S148" s="232"/>
      <c r="V148" s="586"/>
      <c r="AB148" s="230"/>
    </row>
    <row r="149" spans="15:28" s="147" customFormat="1">
      <c r="O149" s="231"/>
      <c r="S149" s="232"/>
      <c r="V149" s="586"/>
      <c r="AB149" s="230"/>
    </row>
    <row r="150" spans="15:28" s="147" customFormat="1">
      <c r="O150" s="231"/>
      <c r="S150" s="232"/>
      <c r="V150" s="586"/>
      <c r="AB150" s="230"/>
    </row>
    <row r="151" spans="15:28" s="147" customFormat="1">
      <c r="O151" s="231"/>
      <c r="S151" s="232"/>
      <c r="V151" s="586"/>
      <c r="AB151" s="230"/>
    </row>
    <row r="152" spans="15:28" s="147" customFormat="1">
      <c r="O152" s="231"/>
      <c r="S152" s="232"/>
      <c r="V152" s="586"/>
      <c r="AB152" s="230"/>
    </row>
    <row r="153" spans="15:28" s="147" customFormat="1">
      <c r="O153" s="231"/>
      <c r="S153" s="232"/>
      <c r="V153" s="586"/>
      <c r="AB153" s="230"/>
    </row>
    <row r="154" spans="15:28" s="147" customFormat="1">
      <c r="O154" s="231"/>
      <c r="S154" s="232"/>
      <c r="V154" s="586"/>
      <c r="AB154" s="230"/>
    </row>
    <row r="155" spans="15:28" s="147" customFormat="1">
      <c r="O155" s="231"/>
      <c r="S155" s="232"/>
      <c r="V155" s="586"/>
      <c r="AB155" s="230"/>
    </row>
    <row r="156" spans="15:28" s="147" customFormat="1">
      <c r="O156" s="231"/>
      <c r="S156" s="232"/>
      <c r="V156" s="586"/>
      <c r="AB156" s="230"/>
    </row>
    <row r="157" spans="15:28" s="147" customFormat="1">
      <c r="O157" s="231"/>
      <c r="S157" s="232"/>
      <c r="V157" s="586"/>
      <c r="AB157" s="230"/>
    </row>
    <row r="158" spans="15:28" s="147" customFormat="1">
      <c r="O158" s="231"/>
      <c r="S158" s="232"/>
      <c r="V158" s="586"/>
      <c r="AB158" s="230"/>
    </row>
    <row r="159" spans="15:28" s="147" customFormat="1">
      <c r="O159" s="231"/>
      <c r="S159" s="232"/>
      <c r="V159" s="586"/>
      <c r="AB159" s="230"/>
    </row>
    <row r="160" spans="15:28" s="147" customFormat="1">
      <c r="O160" s="231"/>
      <c r="S160" s="232"/>
      <c r="V160" s="586"/>
      <c r="AB160" s="230"/>
    </row>
    <row r="161" spans="15:28" s="147" customFormat="1">
      <c r="O161" s="231"/>
      <c r="S161" s="232"/>
      <c r="V161" s="586"/>
      <c r="AB161" s="230"/>
    </row>
    <row r="162" spans="15:28" s="147" customFormat="1">
      <c r="O162" s="231"/>
      <c r="S162" s="232"/>
      <c r="V162" s="586"/>
      <c r="AB162" s="230"/>
    </row>
    <row r="163" spans="15:28" s="147" customFormat="1">
      <c r="O163" s="231"/>
      <c r="S163" s="232"/>
      <c r="V163" s="586"/>
      <c r="AB163" s="230"/>
    </row>
    <row r="164" spans="15:28" s="147" customFormat="1">
      <c r="O164" s="231"/>
      <c r="S164" s="232"/>
      <c r="V164" s="586"/>
      <c r="AB164" s="230"/>
    </row>
    <row r="165" spans="15:28" s="147" customFormat="1">
      <c r="O165" s="231"/>
      <c r="S165" s="232"/>
      <c r="V165" s="586"/>
      <c r="AB165" s="230"/>
    </row>
    <row r="166" spans="15:28" s="147" customFormat="1">
      <c r="O166" s="231"/>
      <c r="S166" s="232"/>
      <c r="V166" s="586"/>
      <c r="AB166" s="230"/>
    </row>
    <row r="167" spans="15:28" s="147" customFormat="1">
      <c r="O167" s="231"/>
      <c r="S167" s="232"/>
      <c r="V167" s="586"/>
      <c r="AB167" s="230"/>
    </row>
    <row r="168" spans="15:28" s="147" customFormat="1">
      <c r="O168" s="231"/>
      <c r="S168" s="232"/>
      <c r="V168" s="586"/>
      <c r="AB168" s="230"/>
    </row>
    <row r="169" spans="15:28" s="147" customFormat="1">
      <c r="O169" s="231"/>
      <c r="S169" s="232"/>
      <c r="V169" s="586"/>
      <c r="AB169" s="230"/>
    </row>
    <row r="170" spans="15:28" s="147" customFormat="1">
      <c r="O170" s="231"/>
      <c r="S170" s="232"/>
      <c r="V170" s="586"/>
      <c r="AB170" s="230"/>
    </row>
    <row r="171" spans="15:28" s="147" customFormat="1">
      <c r="O171" s="231"/>
      <c r="S171" s="232"/>
      <c r="V171" s="586"/>
      <c r="AB171" s="230"/>
    </row>
    <row r="172" spans="15:28" s="147" customFormat="1">
      <c r="O172" s="231"/>
      <c r="S172" s="232"/>
      <c r="V172" s="586"/>
      <c r="AB172" s="230"/>
    </row>
    <row r="173" spans="15:28" s="147" customFormat="1">
      <c r="O173" s="231"/>
      <c r="S173" s="232"/>
      <c r="V173" s="586"/>
      <c r="AB173" s="230"/>
    </row>
    <row r="174" spans="15:28" s="147" customFormat="1">
      <c r="O174" s="231"/>
      <c r="S174" s="232"/>
      <c r="V174" s="586"/>
      <c r="AB174" s="230"/>
    </row>
    <row r="175" spans="15:28" s="147" customFormat="1">
      <c r="O175" s="231"/>
      <c r="S175" s="232"/>
      <c r="V175" s="586"/>
      <c r="AB175" s="230"/>
    </row>
    <row r="176" spans="15:28" s="147" customFormat="1">
      <c r="O176" s="231"/>
      <c r="S176" s="232"/>
      <c r="V176" s="586"/>
      <c r="AB176" s="230"/>
    </row>
    <row r="177" spans="15:28" s="147" customFormat="1">
      <c r="O177" s="231"/>
      <c r="S177" s="232"/>
      <c r="V177" s="586"/>
      <c r="AB177" s="230"/>
    </row>
    <row r="178" spans="15:28" s="147" customFormat="1">
      <c r="O178" s="231"/>
      <c r="S178" s="232"/>
      <c r="V178" s="586"/>
      <c r="AB178" s="230"/>
    </row>
    <row r="179" spans="15:28" s="147" customFormat="1">
      <c r="O179" s="231"/>
      <c r="S179" s="232"/>
      <c r="V179" s="586"/>
      <c r="AB179" s="230"/>
    </row>
    <row r="180" spans="15:28" s="147" customFormat="1">
      <c r="O180" s="231"/>
      <c r="S180" s="232"/>
      <c r="V180" s="586"/>
      <c r="AB180" s="230"/>
    </row>
    <row r="181" spans="15:28" s="147" customFormat="1">
      <c r="O181" s="231"/>
      <c r="S181" s="232"/>
      <c r="V181" s="586"/>
      <c r="AB181" s="230"/>
    </row>
    <row r="182" spans="15:28" s="147" customFormat="1">
      <c r="O182" s="231"/>
      <c r="S182" s="232"/>
      <c r="V182" s="586"/>
      <c r="AB182" s="230"/>
    </row>
    <row r="183" spans="15:28" s="147" customFormat="1">
      <c r="O183" s="231"/>
      <c r="S183" s="232"/>
      <c r="V183" s="586"/>
      <c r="AB183" s="230"/>
    </row>
    <row r="184" spans="15:28" s="147" customFormat="1">
      <c r="O184" s="231"/>
      <c r="S184" s="232"/>
      <c r="V184" s="586"/>
      <c r="AB184" s="230"/>
    </row>
    <row r="185" spans="15:28" s="147" customFormat="1">
      <c r="O185" s="231"/>
      <c r="S185" s="232"/>
      <c r="V185" s="586"/>
      <c r="AB185" s="230"/>
    </row>
    <row r="186" spans="15:28" s="147" customFormat="1">
      <c r="O186" s="231"/>
      <c r="S186" s="232"/>
      <c r="V186" s="586"/>
      <c r="AB186" s="230"/>
    </row>
    <row r="187" spans="15:28" s="147" customFormat="1">
      <c r="O187" s="231"/>
      <c r="S187" s="232"/>
      <c r="V187" s="586"/>
      <c r="AB187" s="230"/>
    </row>
    <row r="188" spans="15:28" s="147" customFormat="1">
      <c r="O188" s="231"/>
      <c r="S188" s="232"/>
      <c r="V188" s="586"/>
      <c r="AB188" s="230"/>
    </row>
    <row r="189" spans="15:28" s="147" customFormat="1">
      <c r="O189" s="231"/>
      <c r="S189" s="232"/>
      <c r="V189" s="586"/>
      <c r="AB189" s="230"/>
    </row>
    <row r="190" spans="15:28" s="147" customFormat="1">
      <c r="O190" s="231"/>
      <c r="S190" s="232"/>
      <c r="V190" s="586"/>
      <c r="AB190" s="230"/>
    </row>
    <row r="191" spans="15:28" s="147" customFormat="1">
      <c r="O191" s="231"/>
      <c r="S191" s="232"/>
      <c r="V191" s="586"/>
      <c r="AB191" s="230"/>
    </row>
    <row r="192" spans="15:28" s="147" customFormat="1">
      <c r="O192" s="231"/>
      <c r="S192" s="232"/>
      <c r="V192" s="586"/>
      <c r="AB192" s="230"/>
    </row>
    <row r="193" spans="15:28" s="147" customFormat="1">
      <c r="O193" s="231"/>
      <c r="S193" s="232"/>
      <c r="V193" s="586"/>
      <c r="AB193" s="230"/>
    </row>
    <row r="194" spans="15:28" s="147" customFormat="1">
      <c r="O194" s="231"/>
      <c r="S194" s="232"/>
      <c r="V194" s="586"/>
      <c r="AB194" s="230"/>
    </row>
    <row r="195" spans="15:28" s="147" customFormat="1">
      <c r="O195" s="231"/>
      <c r="S195" s="232"/>
      <c r="V195" s="586"/>
      <c r="AB195" s="230"/>
    </row>
    <row r="196" spans="15:28" s="147" customFormat="1">
      <c r="O196" s="231"/>
      <c r="S196" s="232"/>
      <c r="V196" s="586"/>
      <c r="AB196" s="230"/>
    </row>
    <row r="197" spans="15:28" s="147" customFormat="1">
      <c r="O197" s="231"/>
      <c r="S197" s="232"/>
      <c r="V197" s="586"/>
      <c r="AB197" s="230"/>
    </row>
    <row r="198" spans="15:28" s="147" customFormat="1">
      <c r="O198" s="231"/>
      <c r="S198" s="232"/>
      <c r="V198" s="586"/>
      <c r="AB198" s="230"/>
    </row>
    <row r="199" spans="15:28" s="147" customFormat="1">
      <c r="O199" s="231"/>
      <c r="S199" s="232"/>
      <c r="V199" s="586"/>
      <c r="AB199" s="230"/>
    </row>
    <row r="200" spans="15:28" s="147" customFormat="1">
      <c r="O200" s="231"/>
      <c r="S200" s="232"/>
      <c r="V200" s="586"/>
      <c r="AB200" s="230"/>
    </row>
    <row r="201" spans="15:28" s="147" customFormat="1">
      <c r="O201" s="231"/>
      <c r="S201" s="232"/>
      <c r="V201" s="586"/>
      <c r="AB201" s="230"/>
    </row>
    <row r="202" spans="15:28" s="147" customFormat="1">
      <c r="O202" s="231"/>
      <c r="S202" s="232"/>
      <c r="V202" s="586"/>
      <c r="AB202" s="230"/>
    </row>
    <row r="203" spans="15:28" s="147" customFormat="1">
      <c r="O203" s="231"/>
      <c r="S203" s="232"/>
      <c r="V203" s="586"/>
      <c r="AB203" s="230"/>
    </row>
    <row r="204" spans="15:28" s="147" customFormat="1">
      <c r="O204" s="231"/>
      <c r="S204" s="232"/>
      <c r="V204" s="586"/>
      <c r="AB204" s="230"/>
    </row>
    <row r="205" spans="15:28" s="147" customFormat="1">
      <c r="O205" s="231"/>
      <c r="S205" s="232"/>
      <c r="V205" s="586"/>
      <c r="AB205" s="230"/>
    </row>
    <row r="206" spans="15:28" s="147" customFormat="1">
      <c r="O206" s="231"/>
      <c r="S206" s="232"/>
      <c r="V206" s="586"/>
      <c r="AB206" s="230"/>
    </row>
    <row r="207" spans="15:28" s="147" customFormat="1">
      <c r="O207" s="231"/>
      <c r="S207" s="232"/>
      <c r="V207" s="586"/>
      <c r="AB207" s="230"/>
    </row>
    <row r="208" spans="15:28" s="147" customFormat="1">
      <c r="O208" s="231"/>
      <c r="S208" s="232"/>
      <c r="V208" s="586"/>
      <c r="AB208" s="230"/>
    </row>
    <row r="209" spans="15:28" s="147" customFormat="1">
      <c r="O209" s="231"/>
      <c r="S209" s="232"/>
      <c r="V209" s="586"/>
      <c r="AB209" s="230"/>
    </row>
    <row r="210" spans="15:28" s="147" customFormat="1">
      <c r="O210" s="231"/>
      <c r="S210" s="232"/>
      <c r="V210" s="586"/>
      <c r="AB210" s="230"/>
    </row>
    <row r="211" spans="15:28" s="147" customFormat="1">
      <c r="O211" s="231"/>
      <c r="S211" s="232"/>
      <c r="V211" s="586"/>
      <c r="AB211" s="230"/>
    </row>
    <row r="212" spans="15:28" s="147" customFormat="1">
      <c r="O212" s="231"/>
      <c r="S212" s="232"/>
      <c r="V212" s="586"/>
      <c r="AB212" s="230"/>
    </row>
    <row r="213" spans="15:28" s="147" customFormat="1">
      <c r="O213" s="231"/>
      <c r="S213" s="232"/>
      <c r="V213" s="586"/>
      <c r="AB213" s="230"/>
    </row>
    <row r="214" spans="15:28" s="147" customFormat="1">
      <c r="O214" s="231"/>
      <c r="S214" s="232"/>
      <c r="V214" s="586"/>
      <c r="AB214" s="230"/>
    </row>
    <row r="215" spans="15:28" s="147" customFormat="1">
      <c r="O215" s="231"/>
      <c r="S215" s="232"/>
      <c r="V215" s="586"/>
      <c r="AB215" s="230"/>
    </row>
    <row r="216" spans="15:28" s="147" customFormat="1">
      <c r="O216" s="231"/>
      <c r="S216" s="232"/>
      <c r="V216" s="586"/>
      <c r="AB216" s="230"/>
    </row>
    <row r="217" spans="15:28" s="147" customFormat="1">
      <c r="O217" s="231"/>
      <c r="S217" s="232"/>
      <c r="V217" s="586"/>
      <c r="AB217" s="230"/>
    </row>
    <row r="218" spans="15:28" s="147" customFormat="1">
      <c r="O218" s="231"/>
      <c r="S218" s="232"/>
      <c r="V218" s="586"/>
      <c r="AB218" s="230"/>
    </row>
    <row r="219" spans="15:28" s="147" customFormat="1">
      <c r="O219" s="231"/>
      <c r="S219" s="232"/>
      <c r="V219" s="586"/>
      <c r="AB219" s="230"/>
    </row>
    <row r="220" spans="15:28" s="147" customFormat="1">
      <c r="O220" s="231"/>
      <c r="S220" s="232"/>
      <c r="V220" s="586"/>
      <c r="AB220" s="230"/>
    </row>
    <row r="221" spans="15:28" s="147" customFormat="1">
      <c r="O221" s="231"/>
      <c r="S221" s="232"/>
      <c r="V221" s="586"/>
      <c r="AB221" s="230"/>
    </row>
    <row r="222" spans="15:28" s="147" customFormat="1">
      <c r="O222" s="231"/>
      <c r="S222" s="232"/>
      <c r="V222" s="586"/>
      <c r="AB222" s="230"/>
    </row>
    <row r="223" spans="15:28" s="147" customFormat="1">
      <c r="O223" s="231"/>
      <c r="S223" s="232"/>
      <c r="V223" s="586"/>
      <c r="AB223" s="230"/>
    </row>
    <row r="224" spans="15:28" s="147" customFormat="1">
      <c r="O224" s="231"/>
      <c r="S224" s="232"/>
      <c r="V224" s="586"/>
      <c r="AB224" s="230"/>
    </row>
    <row r="225" spans="15:28" s="147" customFormat="1">
      <c r="O225" s="231"/>
      <c r="S225" s="232"/>
      <c r="V225" s="586"/>
      <c r="AB225" s="230"/>
    </row>
    <row r="226" spans="15:28" s="147" customFormat="1">
      <c r="O226" s="231"/>
      <c r="S226" s="232"/>
      <c r="V226" s="586"/>
      <c r="AB226" s="230"/>
    </row>
    <row r="227" spans="15:28" s="147" customFormat="1">
      <c r="O227" s="231"/>
      <c r="S227" s="232"/>
      <c r="V227" s="586"/>
      <c r="AB227" s="230"/>
    </row>
    <row r="228" spans="15:28" s="147" customFormat="1">
      <c r="O228" s="231"/>
      <c r="S228" s="232"/>
      <c r="V228" s="586"/>
      <c r="AB228" s="230"/>
    </row>
    <row r="229" spans="15:28" s="147" customFormat="1">
      <c r="O229" s="231"/>
      <c r="S229" s="232"/>
      <c r="V229" s="586"/>
      <c r="AB229" s="230"/>
    </row>
    <row r="230" spans="15:28" s="147" customFormat="1">
      <c r="O230" s="231"/>
      <c r="S230" s="232"/>
      <c r="V230" s="586"/>
      <c r="AB230" s="230"/>
    </row>
    <row r="231" spans="15:28" s="147" customFormat="1">
      <c r="O231" s="231"/>
      <c r="S231" s="232"/>
      <c r="V231" s="586"/>
      <c r="AB231" s="230"/>
    </row>
    <row r="232" spans="15:28" s="147" customFormat="1">
      <c r="O232" s="231"/>
      <c r="S232" s="232"/>
      <c r="V232" s="586"/>
      <c r="AB232" s="230"/>
    </row>
    <row r="233" spans="15:28" s="147" customFormat="1">
      <c r="O233" s="231"/>
      <c r="S233" s="232"/>
      <c r="V233" s="586"/>
      <c r="AB233" s="230"/>
    </row>
    <row r="234" spans="15:28" s="147" customFormat="1">
      <c r="O234" s="231"/>
      <c r="S234" s="232"/>
      <c r="V234" s="586"/>
      <c r="AB234" s="230"/>
    </row>
    <row r="235" spans="15:28" s="147" customFormat="1">
      <c r="O235" s="231"/>
      <c r="S235" s="232"/>
      <c r="V235" s="586"/>
      <c r="AB235" s="230"/>
    </row>
    <row r="236" spans="15:28" s="147" customFormat="1">
      <c r="O236" s="231"/>
      <c r="S236" s="232"/>
      <c r="V236" s="586"/>
      <c r="AB236" s="230"/>
    </row>
    <row r="237" spans="15:28" s="147" customFormat="1">
      <c r="O237" s="231"/>
      <c r="S237" s="232"/>
      <c r="V237" s="586"/>
      <c r="AB237" s="230"/>
    </row>
    <row r="238" spans="15:28" s="147" customFormat="1">
      <c r="O238" s="231"/>
      <c r="S238" s="232"/>
      <c r="V238" s="586"/>
      <c r="AB238" s="230"/>
    </row>
  </sheetData>
  <pageMargins left="0.75" right="0.75" top="1" bottom="1" header="0.5" footer="0.5"/>
  <pageSetup paperSize="9" orientation="portrait" horizontalDpi="4294967292" verticalDpi="4294967292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CM28"/>
  <sheetViews>
    <sheetView workbookViewId="0">
      <selection activeCell="D6" sqref="D6"/>
    </sheetView>
  </sheetViews>
  <sheetFormatPr defaultRowHeight="15.75"/>
  <cols>
    <col min="1" max="1" width="25" customWidth="1"/>
    <col min="2" max="2" width="11.25" customWidth="1"/>
    <col min="3" max="3" width="12.375" customWidth="1"/>
    <col min="4" max="6" width="10.25" customWidth="1"/>
    <col min="7" max="12" width="11.75" customWidth="1"/>
    <col min="13" max="13" width="10.875" customWidth="1"/>
    <col min="14" max="14" width="13" bestFit="1" customWidth="1"/>
    <col min="15" max="17" width="10.25" customWidth="1"/>
    <col min="18" max="18" width="12.25" bestFit="1" customWidth="1"/>
    <col min="20" max="20" width="9" customWidth="1"/>
    <col min="27" max="29" width="11" customWidth="1"/>
    <col min="30" max="30" width="11.125" customWidth="1"/>
    <col min="31" max="31" width="10.25" customWidth="1"/>
    <col min="38" max="39" width="10.125" customWidth="1"/>
    <col min="50" max="50" width="10.75" customWidth="1"/>
    <col min="51" max="51" width="11.25" customWidth="1"/>
    <col min="62" max="62" width="10.75" customWidth="1"/>
    <col min="63" max="63" width="11.375" bestFit="1" customWidth="1"/>
    <col min="64" max="66" width="11.375" customWidth="1"/>
    <col min="74" max="74" width="9.5" customWidth="1"/>
    <col min="75" max="75" width="11.875" bestFit="1" customWidth="1"/>
    <col min="79" max="79" width="8.625"/>
    <col min="86" max="86" width="9" customWidth="1"/>
    <col min="87" max="87" width="8.625" customWidth="1"/>
  </cols>
  <sheetData>
    <row r="2" spans="1:91">
      <c r="A2" s="375" t="s">
        <v>1481</v>
      </c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5"/>
      <c r="V2" s="375"/>
      <c r="W2" s="375"/>
      <c r="X2" s="375"/>
      <c r="Y2" s="375"/>
      <c r="Z2" s="375"/>
      <c r="AA2" s="375"/>
      <c r="AB2" s="375"/>
      <c r="AC2" s="375"/>
      <c r="AD2" s="375"/>
      <c r="AE2" s="375"/>
      <c r="AF2" s="375"/>
      <c r="AG2" s="375"/>
      <c r="AH2" s="375"/>
      <c r="AI2" s="375"/>
      <c r="AJ2" s="375"/>
      <c r="AK2" s="375"/>
      <c r="AL2" s="375"/>
      <c r="AM2" s="375"/>
      <c r="AN2" s="375"/>
      <c r="AO2" s="375"/>
      <c r="AP2" s="375"/>
      <c r="AQ2" s="375"/>
      <c r="AR2" s="375"/>
      <c r="AS2" s="375"/>
      <c r="AT2" s="375"/>
      <c r="AU2" s="375"/>
      <c r="AV2" s="375"/>
      <c r="AW2" s="375"/>
      <c r="AX2" s="375"/>
      <c r="AY2" s="375"/>
      <c r="AZ2" s="375"/>
      <c r="BA2" s="375"/>
      <c r="BB2" s="375"/>
      <c r="BC2" s="375"/>
      <c r="BD2" s="375"/>
      <c r="BE2" s="375"/>
      <c r="BF2" s="375"/>
      <c r="BG2" s="375"/>
      <c r="BH2" s="375"/>
      <c r="BI2" s="375"/>
      <c r="BJ2" s="375"/>
      <c r="BK2" s="375"/>
      <c r="BL2" s="375"/>
      <c r="BM2" s="375"/>
      <c r="BN2" s="375"/>
      <c r="BO2" s="375"/>
      <c r="BP2" s="375"/>
      <c r="BQ2" s="375"/>
      <c r="BR2" s="375"/>
      <c r="BS2" s="375"/>
      <c r="BT2" s="375"/>
      <c r="BU2" s="375"/>
      <c r="BV2" s="375"/>
      <c r="BW2" s="375"/>
      <c r="BX2" s="375"/>
      <c r="BY2" s="375"/>
      <c r="BZ2" s="375"/>
      <c r="CA2" s="375"/>
      <c r="CB2" s="375"/>
      <c r="CC2" s="375"/>
      <c r="CD2" s="375"/>
      <c r="CE2" s="375"/>
      <c r="CF2" s="375"/>
      <c r="CG2" s="375"/>
      <c r="CH2" s="375"/>
      <c r="CI2" s="375"/>
    </row>
    <row r="3" spans="1:91" ht="15.75" customHeight="1" thickBot="1">
      <c r="A3" s="124"/>
      <c r="B3" s="1520" t="s">
        <v>1167</v>
      </c>
      <c r="C3" s="1521"/>
      <c r="D3" s="1521"/>
      <c r="E3" s="1521"/>
      <c r="F3" s="1521"/>
      <c r="G3" s="1521"/>
      <c r="H3" s="1521"/>
      <c r="I3" s="1521"/>
      <c r="J3" s="1521"/>
      <c r="K3" s="1521"/>
      <c r="L3" s="1521"/>
      <c r="M3" s="1521"/>
      <c r="N3" s="1521"/>
      <c r="O3" s="1521"/>
      <c r="P3" s="1521"/>
      <c r="Q3" s="1521"/>
      <c r="R3" s="1521"/>
      <c r="S3" s="1521"/>
      <c r="T3" s="1521"/>
      <c r="U3" s="1521"/>
      <c r="V3" s="1521"/>
      <c r="W3" s="1521"/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1"/>
      <c r="AP3" s="1521"/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1521"/>
      <c r="BJ3" s="1521"/>
      <c r="BK3" s="1521"/>
      <c r="BL3" s="1521"/>
      <c r="BM3" s="1521"/>
      <c r="BN3" s="1521"/>
      <c r="BO3" s="1521"/>
      <c r="BP3" s="1521"/>
      <c r="BQ3" s="1521"/>
      <c r="BR3" s="1521"/>
      <c r="BS3" s="1521"/>
      <c r="BT3" s="1521"/>
      <c r="BU3" s="1521"/>
      <c r="BV3" s="1521"/>
      <c r="BW3" s="1521"/>
      <c r="BX3" s="1521"/>
      <c r="BY3" s="1521"/>
      <c r="BZ3" s="1521"/>
      <c r="CA3" s="1521"/>
      <c r="CB3" s="1521"/>
      <c r="CC3" s="1521"/>
      <c r="CD3" s="1521"/>
      <c r="CE3" s="1521"/>
      <c r="CF3" s="1521"/>
      <c r="CG3" s="1521"/>
      <c r="CH3" s="1521"/>
      <c r="CI3" s="1521"/>
    </row>
    <row r="4" spans="1:91">
      <c r="A4" s="568"/>
      <c r="B4" s="1518" t="str">
        <f>CONCATENATE("Feed Item 1 - ", INPUTS!B52)</f>
        <v>Feed Item 1 - Concentrate (commercial)</v>
      </c>
      <c r="C4" s="1519"/>
      <c r="D4" s="1519"/>
      <c r="E4" s="1519"/>
      <c r="F4" s="1519"/>
      <c r="G4" s="1519"/>
      <c r="H4" s="1519"/>
      <c r="I4" s="1519"/>
      <c r="J4" s="1519"/>
      <c r="K4" s="1519"/>
      <c r="L4" s="1519"/>
      <c r="M4" s="1519"/>
      <c r="N4" s="1522" t="str">
        <f>CONCATENATE("Feed Item 2 - ", INPUTS!B53)</f>
        <v xml:space="preserve">Feed Item 2 - Naturally occuring pasture - green fodder </v>
      </c>
      <c r="O4" s="1523"/>
      <c r="P4" s="1523"/>
      <c r="Q4" s="1523"/>
      <c r="R4" s="1523"/>
      <c r="S4" s="1523"/>
      <c r="T4" s="1524"/>
      <c r="U4" s="1524"/>
      <c r="V4" s="1524"/>
      <c r="W4" s="1524"/>
      <c r="X4" s="1524"/>
      <c r="Y4" s="1525"/>
      <c r="Z4" s="1522" t="str">
        <f>CONCATENATE("Feed Item 3 - ", INPUTS!B54)</f>
        <v>Feed Item 3 - Maize (Zea mays)-stover</v>
      </c>
      <c r="AA4" s="1523"/>
      <c r="AB4" s="1523"/>
      <c r="AC4" s="1523"/>
      <c r="AD4" s="1523"/>
      <c r="AE4" s="1523"/>
      <c r="AF4" s="1523"/>
      <c r="AG4" s="1524"/>
      <c r="AH4" s="1524"/>
      <c r="AI4" s="1524"/>
      <c r="AJ4" s="1524"/>
      <c r="AK4" s="1525"/>
      <c r="AL4" s="1522" t="str">
        <f>CONCATENATE("Feed Item 4 - ", INPUTS!B55)</f>
        <v>Feed Item 4 - Guatemala grass (Tripsacum andersonii) - forage</v>
      </c>
      <c r="AM4" s="1523"/>
      <c r="AN4" s="1523"/>
      <c r="AO4" s="1523"/>
      <c r="AP4" s="1523"/>
      <c r="AQ4" s="1523"/>
      <c r="AR4" s="1523"/>
      <c r="AS4" s="1524"/>
      <c r="AT4" s="1524"/>
      <c r="AU4" s="1524"/>
      <c r="AV4" s="1524"/>
      <c r="AW4" s="1525"/>
      <c r="AX4" s="1522" t="str">
        <f>CONCATENATE("Feed Item 5 - ", INPUTS!B56)</f>
        <v>Feed Item 5 - Rhodes grass (Chloris gayana) - forage</v>
      </c>
      <c r="AY4" s="1523"/>
      <c r="AZ4" s="1523"/>
      <c r="BA4" s="1523"/>
      <c r="BB4" s="1523"/>
      <c r="BC4" s="1523"/>
      <c r="BD4" s="1523"/>
      <c r="BE4" s="1524"/>
      <c r="BF4" s="1524"/>
      <c r="BG4" s="1524"/>
      <c r="BH4" s="1524"/>
      <c r="BI4" s="1525"/>
      <c r="BJ4" s="1526" t="str">
        <f>CONCATENATE("Feed Item 6 - ", INPUTS!B57)</f>
        <v>Feed Item 6 - Napier grass (Pennisetum purpureum) - forage</v>
      </c>
      <c r="BK4" s="1527"/>
      <c r="BL4" s="1527"/>
      <c r="BM4" s="1527"/>
      <c r="BN4" s="1527"/>
      <c r="BO4" s="1527"/>
      <c r="BP4" s="1527"/>
      <c r="BQ4" s="1528"/>
      <c r="BR4" s="1528"/>
      <c r="BS4" s="1528"/>
      <c r="BT4" s="1528"/>
      <c r="BU4" s="1529"/>
      <c r="BV4" s="1522" t="str">
        <f>CONCATENATE("Feed Item 7 - ", INPUTS!B58)</f>
        <v>Feed Item 7 - N/A</v>
      </c>
      <c r="BW4" s="1523"/>
      <c r="BX4" s="1523"/>
      <c r="BY4" s="1523"/>
      <c r="BZ4" s="1523"/>
      <c r="CA4" s="1523"/>
      <c r="CB4" s="1523"/>
      <c r="CC4" s="1524"/>
      <c r="CD4" s="1524"/>
      <c r="CE4" s="1524"/>
      <c r="CF4" s="1524"/>
      <c r="CG4" s="1525"/>
      <c r="CH4" s="577"/>
      <c r="CI4" s="578"/>
    </row>
    <row r="5" spans="1:91" ht="62.25" customHeight="1">
      <c r="A5" s="569"/>
      <c r="B5" s="759" t="s">
        <v>1121</v>
      </c>
      <c r="C5" s="496" t="s">
        <v>1122</v>
      </c>
      <c r="D5" s="496" t="s">
        <v>1483</v>
      </c>
      <c r="E5" s="496" t="s">
        <v>1484</v>
      </c>
      <c r="F5" s="496" t="s">
        <v>1482</v>
      </c>
      <c r="G5" s="496" t="s">
        <v>1400</v>
      </c>
      <c r="H5" s="496" t="s">
        <v>1487</v>
      </c>
      <c r="I5" s="496" t="s">
        <v>1488</v>
      </c>
      <c r="J5" s="496" t="s">
        <v>1485</v>
      </c>
      <c r="K5" s="496" t="s">
        <v>1486</v>
      </c>
      <c r="L5" s="857" t="s">
        <v>1489</v>
      </c>
      <c r="M5" s="757" t="s">
        <v>1490</v>
      </c>
      <c r="N5" s="759" t="s">
        <v>1121</v>
      </c>
      <c r="O5" s="496" t="s">
        <v>1122</v>
      </c>
      <c r="P5" s="496" t="s">
        <v>1483</v>
      </c>
      <c r="Q5" s="496" t="s">
        <v>1484</v>
      </c>
      <c r="R5" s="496" t="s">
        <v>1482</v>
      </c>
      <c r="S5" s="496" t="s">
        <v>1400</v>
      </c>
      <c r="T5" s="496" t="s">
        <v>1487</v>
      </c>
      <c r="U5" s="496" t="s">
        <v>1488</v>
      </c>
      <c r="V5" s="496" t="s">
        <v>1485</v>
      </c>
      <c r="W5" s="496" t="s">
        <v>1486</v>
      </c>
      <c r="X5" s="857" t="s">
        <v>1489</v>
      </c>
      <c r="Y5" s="757" t="s">
        <v>1490</v>
      </c>
      <c r="Z5" s="571" t="s">
        <v>1121</v>
      </c>
      <c r="AA5" s="496" t="s">
        <v>1122</v>
      </c>
      <c r="AB5" s="496" t="s">
        <v>1483</v>
      </c>
      <c r="AC5" s="496" t="s">
        <v>1484</v>
      </c>
      <c r="AD5" s="496" t="s">
        <v>1482</v>
      </c>
      <c r="AE5" s="496" t="s">
        <v>1400</v>
      </c>
      <c r="AF5" s="496" t="s">
        <v>1487</v>
      </c>
      <c r="AG5" s="496" t="s">
        <v>1488</v>
      </c>
      <c r="AH5" s="496" t="s">
        <v>1485</v>
      </c>
      <c r="AI5" s="496" t="s">
        <v>1486</v>
      </c>
      <c r="AJ5" s="857" t="s">
        <v>1489</v>
      </c>
      <c r="AK5" s="757" t="s">
        <v>1490</v>
      </c>
      <c r="AL5" s="571" t="s">
        <v>1121</v>
      </c>
      <c r="AM5" s="496" t="s">
        <v>1122</v>
      </c>
      <c r="AN5" s="496" t="s">
        <v>1483</v>
      </c>
      <c r="AO5" s="496" t="s">
        <v>1484</v>
      </c>
      <c r="AP5" s="496" t="s">
        <v>1482</v>
      </c>
      <c r="AQ5" s="496" t="s">
        <v>1400</v>
      </c>
      <c r="AR5" s="496" t="s">
        <v>1487</v>
      </c>
      <c r="AS5" s="496" t="s">
        <v>1488</v>
      </c>
      <c r="AT5" s="496" t="s">
        <v>1485</v>
      </c>
      <c r="AU5" s="496" t="s">
        <v>1486</v>
      </c>
      <c r="AV5" s="857" t="s">
        <v>1489</v>
      </c>
      <c r="AW5" s="757" t="s">
        <v>1490</v>
      </c>
      <c r="AX5" s="571" t="s">
        <v>1121</v>
      </c>
      <c r="AY5" s="496" t="s">
        <v>1122</v>
      </c>
      <c r="AZ5" s="496" t="s">
        <v>1483</v>
      </c>
      <c r="BA5" s="496" t="s">
        <v>1484</v>
      </c>
      <c r="BB5" s="496" t="s">
        <v>1482</v>
      </c>
      <c r="BC5" s="496" t="s">
        <v>1400</v>
      </c>
      <c r="BD5" s="496" t="s">
        <v>1487</v>
      </c>
      <c r="BE5" s="496" t="s">
        <v>1488</v>
      </c>
      <c r="BF5" s="496" t="s">
        <v>1485</v>
      </c>
      <c r="BG5" s="496" t="s">
        <v>1486</v>
      </c>
      <c r="BH5" s="857" t="s">
        <v>1489</v>
      </c>
      <c r="BI5" s="757" t="s">
        <v>1490</v>
      </c>
      <c r="BJ5" s="571" t="s">
        <v>1121</v>
      </c>
      <c r="BK5" s="496" t="s">
        <v>1122</v>
      </c>
      <c r="BL5" s="496" t="s">
        <v>1483</v>
      </c>
      <c r="BM5" s="496" t="s">
        <v>1484</v>
      </c>
      <c r="BN5" s="496" t="s">
        <v>1482</v>
      </c>
      <c r="BO5" s="496" t="s">
        <v>1400</v>
      </c>
      <c r="BP5" s="496" t="s">
        <v>1487</v>
      </c>
      <c r="BQ5" s="496" t="s">
        <v>1488</v>
      </c>
      <c r="BR5" s="496" t="s">
        <v>1485</v>
      </c>
      <c r="BS5" s="496" t="s">
        <v>1486</v>
      </c>
      <c r="BT5" s="857" t="s">
        <v>1489</v>
      </c>
      <c r="BU5" s="757" t="s">
        <v>1490</v>
      </c>
      <c r="BV5" s="759" t="s">
        <v>1121</v>
      </c>
      <c r="BW5" s="496" t="s">
        <v>1122</v>
      </c>
      <c r="BX5" s="496" t="s">
        <v>1483</v>
      </c>
      <c r="BY5" s="496" t="s">
        <v>1484</v>
      </c>
      <c r="BZ5" s="496" t="s">
        <v>1482</v>
      </c>
      <c r="CA5" s="496" t="s">
        <v>1400</v>
      </c>
      <c r="CB5" s="496" t="s">
        <v>1487</v>
      </c>
      <c r="CC5" s="496" t="s">
        <v>1488</v>
      </c>
      <c r="CD5" s="496" t="s">
        <v>1485</v>
      </c>
      <c r="CE5" s="496" t="s">
        <v>1486</v>
      </c>
      <c r="CF5" s="857" t="s">
        <v>1489</v>
      </c>
      <c r="CG5" s="757" t="s">
        <v>1490</v>
      </c>
      <c r="CH5" s="572" t="s">
        <v>1357</v>
      </c>
      <c r="CI5" s="572" t="s">
        <v>1358</v>
      </c>
    </row>
    <row r="6" spans="1:91">
      <c r="A6" s="569" t="str">
        <f>'Livestock parameters'!A4</f>
        <v>Cows - local</v>
      </c>
      <c r="B6" s="756">
        <f>IFERROR(Feed!F100*Feed!E12,0)</f>
        <v>0</v>
      </c>
      <c r="C6" s="579">
        <f>IFERROR(Feed!G100*Feed!N12,0)</f>
        <v>0</v>
      </c>
      <c r="D6" s="254">
        <f>VLOOKUP(INPUTS!$D$72,'Crop parameters'!$A$3:$Z$39,4,FALSE)*1000</f>
        <v>0</v>
      </c>
      <c r="E6" s="497">
        <f>INPUTS!$E$87</f>
        <v>0</v>
      </c>
      <c r="F6" s="254">
        <f>VLOOKUP(INPUTS!$D$72,'Crop parameters'!$A$3:$Z$39,8,FALSE)*1000</f>
        <v>0</v>
      </c>
      <c r="G6" s="497">
        <f>IF(INPUTS!$E$72="Residue",INPUTS!$F$87,0)</f>
        <v>0</v>
      </c>
      <c r="H6" s="497">
        <f>IFERROR(IF(INPUTS!$E$72="Main",B6/(D6*E6),B6/(F6*G6)),0)</f>
        <v>0</v>
      </c>
      <c r="I6" s="497">
        <f>IFERROR(IF(INPUTS!$E$72="Main",C6/(D6*E6),C6/(F6*G6)),0)</f>
        <v>0</v>
      </c>
      <c r="J6" s="852">
        <f t="shared" ref="J6:J14" si="0">IF(G6&gt;0,H6*(D6*E6/(D6*E6+F6*G6)),0)</f>
        <v>0</v>
      </c>
      <c r="K6" s="870">
        <f t="shared" ref="K6:K14" si="1">IF(G6&gt;0,I6*(D6*E6/(D6*E6+F6*G6)),0)</f>
        <v>0</v>
      </c>
      <c r="L6" s="852">
        <f>IFERROR(IF(G6&gt;0,H6*(F6*G6/(D6*E6+F6*G6)),H6*(D6*E6+F6*G6)/(D6*E6+F6*G6)),0)</f>
        <v>0</v>
      </c>
      <c r="M6" s="852">
        <f>IFERROR(IF(G6&gt;0,I6*(F6*G6/(D6*E6+F6*G6)),I6*(D6*E6+F6*G6)/(D6*E6+F6*G6)),0)</f>
        <v>0</v>
      </c>
      <c r="N6" s="756">
        <f>IFERROR(Feed!F100*Feed!F12,0)</f>
        <v>0</v>
      </c>
      <c r="O6" s="579">
        <f>IFERROR(Feed!G100*Feed!O12,0)</f>
        <v>0</v>
      </c>
      <c r="P6" s="254">
        <f>VLOOKUP(INPUTS!$D$73,'Crop parameters'!$A$3:$Z$39,4,FALSE)*1000</f>
        <v>13049.999999999998</v>
      </c>
      <c r="Q6" s="497">
        <f>INPUTS!$E$88</f>
        <v>1</v>
      </c>
      <c r="R6" s="254">
        <f>VLOOKUP(INPUTS!$D$73,'Crop parameters'!$A$3:$Z$39,8,FALSE)*1000</f>
        <v>0</v>
      </c>
      <c r="S6" s="497">
        <f>IF(INPUTS!$E$73="Residue",INPUTS!$F$88,0)</f>
        <v>0</v>
      </c>
      <c r="T6" s="497">
        <f>IFERROR(IF(INPUTS!$E$73="Main",N6/(P6*Q6),N6/(R6*S6)),0)</f>
        <v>0</v>
      </c>
      <c r="U6" s="497">
        <f>IFERROR(IF(INPUTS!$E$73="Main",O6/(P6*Q6),O6/(R6*S6)),0)</f>
        <v>0</v>
      </c>
      <c r="V6" s="852">
        <f t="shared" ref="V6:V14" si="2">IF(S6&gt;0,T6*(P6*Q6/(P6*Q6+R6*S6)),0)</f>
        <v>0</v>
      </c>
      <c r="W6" s="870">
        <f t="shared" ref="W6:W14" si="3">IF(S6&gt;0,U6*(P6*Q6/(P6*Q6+R6*S6)),0)</f>
        <v>0</v>
      </c>
      <c r="X6" s="852">
        <f t="shared" ref="X6:X14" si="4">IFERROR(IF(S6&gt;0,T6*(R6*S6/(P6*Q6+R6*S6)),T6*(P6*Q6+R6*S6)/(P6*Q6+R6*S6)),0)</f>
        <v>0</v>
      </c>
      <c r="Y6" s="852">
        <f t="shared" ref="Y6:Y14" si="5">IFERROR(IF(S6&gt;0,U6*(R6*S6/(P6*Q6+R6*S6)),U6*(P6*Q6+R6*S6)/(P6*Q6+R6*S6)),0)</f>
        <v>0</v>
      </c>
      <c r="Z6" s="756">
        <f>IFERROR(Feed!F100*Feed!G12,0)</f>
        <v>0</v>
      </c>
      <c r="AA6" s="579">
        <f>IFERROR(Feed!G100*Feed!P12,0)</f>
        <v>0</v>
      </c>
      <c r="AB6" s="254">
        <f>VLOOKUP(INPUTS!$D$74,'Crop parameters'!$A$3:$Z$39,4,FALSE)*1000</f>
        <v>1299</v>
      </c>
      <c r="AC6" s="497">
        <f>INPUTS!$E$89</f>
        <v>0.4</v>
      </c>
      <c r="AD6" s="254">
        <f>VLOOKUP(INPUTS!$D$74,'Crop parameters'!$A$3:$Z$39,8,FALSE)*1000</f>
        <v>3582.4421538461534</v>
      </c>
      <c r="AE6" s="497">
        <f>IF(INPUTS!$E$74="Residue",INPUTS!$F$89,0)</f>
        <v>0.6</v>
      </c>
      <c r="AF6" s="497">
        <f>IFERROR(IF(INPUTS!$E$74="Main",Z6/(AB6*AC6),Z6/(AD6*AE6)),0)</f>
        <v>0</v>
      </c>
      <c r="AG6" s="497">
        <f>IFERROR(IF(INPUTS!$E$74="Main",AA6/(AB6*AC6),AA6/(AD6*AE6)),0)</f>
        <v>0</v>
      </c>
      <c r="AH6" s="852">
        <f>IF(AE6&gt;0,AF6*(AB6*AC6/(AB6*AC6+AD6*AE6)),0)</f>
        <v>0</v>
      </c>
      <c r="AI6" s="870">
        <f>IF(AE6&gt;0,AG6*(AB6*AC6/(AB6*AC6+AD6*AE6)),0)</f>
        <v>0</v>
      </c>
      <c r="AJ6" s="852">
        <f t="shared" ref="AJ6:AJ14" si="6">IFERROR(IF(AE6&gt;0,AF6*(AD6*AE6/(AB6*AC6+AD6*AE6)),AF6*(AB6*AC6+AD6*AE6)/(AB6*AC6+AD6*AE6)),0)</f>
        <v>0</v>
      </c>
      <c r="AK6" s="852">
        <f t="shared" ref="AK6:AK14" si="7">IFERROR(IF(AE6&gt;0,AG6*(AD6*AE6/(AB6*AC6+AD6*AE6)),AG6*(AB6*AC6+AD6*AE6)/(AB6*AC6+AD6*AE6)),0)</f>
        <v>0</v>
      </c>
      <c r="AL6" s="856">
        <f>IFERROR(Feed!F100*Feed!H12,0)</f>
        <v>0</v>
      </c>
      <c r="AM6" s="579">
        <f>IFERROR(Feed!G100*Feed!Q12,0)</f>
        <v>0</v>
      </c>
      <c r="AN6" s="254">
        <f>VLOOKUP(INPUTS!$D$75,'Crop parameters'!$A$3:$Z$39,4,FALSE)*1000</f>
        <v>19800</v>
      </c>
      <c r="AO6" s="497">
        <f>INPUTS!$E$90</f>
        <v>1</v>
      </c>
      <c r="AP6" s="254">
        <f>VLOOKUP(INPUTS!$D$75,'Crop parameters'!$A$3:$Z$39,8,FALSE)*1000</f>
        <v>0</v>
      </c>
      <c r="AQ6" s="497">
        <f>IF(INPUTS!$E$75="Residue",INPUTS!$F$90,0)</f>
        <v>0</v>
      </c>
      <c r="AR6" s="497">
        <f>IFERROR(IF(INPUTS!$E$75="Main",AL6/(AN6*AO6),AL6/(AP6*AQ6)),0)</f>
        <v>0</v>
      </c>
      <c r="AS6" s="497">
        <f>IFERROR(IF(INPUTS!$E$75="Main",AM6/(AN6*AO6),AM6/(AP6*AQ6)),0)</f>
        <v>0</v>
      </c>
      <c r="AT6" s="852">
        <f t="shared" ref="AT6:AT14" si="8">IF(AQ6&gt;0,AR6*(AN6*AO6/(AN6*AO6+AP6*AQ6)),0)</f>
        <v>0</v>
      </c>
      <c r="AU6" s="870">
        <f t="shared" ref="AU6:AU14" si="9">IF(AQ6&gt;0,AS6*(AN6*AO6/(AN6*AO6+AP6*AQ6)),0)</f>
        <v>0</v>
      </c>
      <c r="AV6" s="852">
        <f t="shared" ref="AV6:AV14" si="10">IFERROR(IF(AQ6&gt;0,AR6*(AP6*AQ6/(AN6*AO6+AP6*AQ6)),AR6*(AN6*AO6+AP6*AQ6)/(AN6*AO6+AP6*AQ6)),0)</f>
        <v>0</v>
      </c>
      <c r="AW6" s="852">
        <f t="shared" ref="AW6:AW14" si="11">IFERROR(IF(AQ6&gt;0,AS6*(AP6*AQ6/(AN6*AO6+AP6*AQ6)),AS6*(AN6*AO6+AP6*AQ6)/(AN6*AO6+AP6*AQ6)),0)</f>
        <v>0</v>
      </c>
      <c r="AX6" s="756">
        <f>IFERROR(Feed!F100*Feed!I12,0)</f>
        <v>0</v>
      </c>
      <c r="AY6" s="579">
        <f>IFERROR(Feed!G100*Feed!R12,0)</f>
        <v>0</v>
      </c>
      <c r="AZ6" s="254">
        <f>VLOOKUP(INPUTS!$D$76,'Crop parameters'!$A$3:$Z$39,4,FALSE)*1000</f>
        <v>13500</v>
      </c>
      <c r="BA6" s="497">
        <f>INPUTS!$E$91</f>
        <v>1</v>
      </c>
      <c r="BB6" s="254">
        <f>VLOOKUP(INPUTS!$D$76,'Crop parameters'!$A$3:$Z$39,8,FALSE)*1000</f>
        <v>0</v>
      </c>
      <c r="BC6" s="497">
        <f>IF(INPUTS!$E$76="Residue",INPUTS!$F$91,0)</f>
        <v>0</v>
      </c>
      <c r="BD6" s="497">
        <f>IFERROR(IF(INPUTS!$E$76="Main",AX6/(AZ6*BA6),AX6/(BB6*BC6)),0)</f>
        <v>0</v>
      </c>
      <c r="BE6" s="497">
        <f>IFERROR(IF(INPUTS!$E$76="Main",AY6/(AZ6*BA6),AY6/(BB6*BC6)),0)</f>
        <v>0</v>
      </c>
      <c r="BF6" s="852">
        <f t="shared" ref="BF6:BF14" si="12">IF(BC6&gt;0,BD6*(AZ6*BA6/(AZ6*BA6+BB6*BC6)),0)</f>
        <v>0</v>
      </c>
      <c r="BG6" s="870">
        <f t="shared" ref="BG6:BG14" si="13">IF(BC6&gt;0,BE6*(AZ6*BA6/(AZ6*BA6+BB6*BC6)),0)</f>
        <v>0</v>
      </c>
      <c r="BH6" s="852">
        <f t="shared" ref="BH6:BH14" si="14">IFERROR(IF(BC6&gt;0,BD6*(BB6*BC6/(AZ6*BA6+BB6*BC6)),BD6*(AZ6*BA6+BB6*BC6)/(AZ6*BA6+BB6*BC6)),0)</f>
        <v>0</v>
      </c>
      <c r="BI6" s="852">
        <f t="shared" ref="BI6:BI14" si="15">IFERROR(IF(BC6&gt;0,BE6*(BB6*BC6/(AZ6*BA6+BB6*BC6)),BE6*(AZ6*BA6+BB6*BC6)/(AZ6*BA6+BB6*BC6)),0)</f>
        <v>0</v>
      </c>
      <c r="BJ6" s="756">
        <f>IFERROR(Feed!F100*Feed!J12,0)</f>
        <v>0</v>
      </c>
      <c r="BK6" s="579">
        <f>IFERROR(Feed!G100*Feed!S12,0)</f>
        <v>0</v>
      </c>
      <c r="BL6" s="254">
        <f>VLOOKUP(INPUTS!$D$77,'Crop parameters'!$A$3:$Z$39,4,FALSE)*1000</f>
        <v>22050</v>
      </c>
      <c r="BM6" s="497">
        <f>INPUTS!$E$92</f>
        <v>1</v>
      </c>
      <c r="BN6" s="254">
        <f>VLOOKUP(INPUTS!$D$77,'Crop parameters'!$A$3:$Z$39,8,FALSE)*1000</f>
        <v>0</v>
      </c>
      <c r="BO6" s="497">
        <f>IF(INPUTS!$E$77="Residue",INPUTS!$F$92,0)</f>
        <v>0</v>
      </c>
      <c r="BP6" s="497">
        <f>IFERROR(IF(INPUTS!$E$77="Main",BJ6/(BL6*BM6),BJ6/(BN6*BO6)),0)</f>
        <v>0</v>
      </c>
      <c r="BQ6" s="497">
        <f>IFERROR(IF(INPUTS!$E$77="Main",BK6/(BL6*BM6),BK6/(BN6*BO6)),0)</f>
        <v>0</v>
      </c>
      <c r="BR6" s="852">
        <f t="shared" ref="BR6:BR14" si="16">IF(BO6&gt;0,BP6*(BL6*BM6/(BL6*BM6+BN6*BO6)),0)</f>
        <v>0</v>
      </c>
      <c r="BS6" s="870">
        <f t="shared" ref="BS6:BS14" si="17">IF(BO6&gt;0,BQ6*(BL6*BM6/(BL6*BM6+BN6*BO6)),0)</f>
        <v>0</v>
      </c>
      <c r="BT6" s="852">
        <f t="shared" ref="BT6:BT14" si="18">IFERROR(IF(BO6&gt;0,BP6*(BN6*BO6/(BL6*BM6+BN6*BO6)),BP6*(BL6*BM6+BN6*BO6)/(BL6*BM6+BN6*BO6)),0)</f>
        <v>0</v>
      </c>
      <c r="BU6" s="852">
        <f t="shared" ref="BU6:BU14" si="19">IFERROR(IF(BO6&gt;0,BQ6*(BN6*BO6/(BL6*BM6+BN6*BO6)),BQ6*(BL6*BM6+BN6*BO6)/(BL6*BM6+BN6*BO6)),0)</f>
        <v>0</v>
      </c>
      <c r="BV6" s="756">
        <f>IFERROR(Feed!F100*Feed!K12,0)</f>
        <v>0</v>
      </c>
      <c r="BW6" s="579">
        <f>IFERROR(Feed!G100*Feed!T12,0)</f>
        <v>0</v>
      </c>
      <c r="BX6" s="254">
        <f>VLOOKUP(INPUTS!$D$78,'Crop parameters'!$A$3:$Z$39,4,FALSE)*1000</f>
        <v>0</v>
      </c>
      <c r="BY6" s="497">
        <f>INPUTS!$E$93</f>
        <v>0</v>
      </c>
      <c r="BZ6" s="254">
        <f>VLOOKUP(INPUTS!$D$78,'Crop parameters'!$A$3:$Z$39,8,FALSE)*1000</f>
        <v>0</v>
      </c>
      <c r="CA6" s="497">
        <f>IF(INPUTS!$E$78="Residue",INPUTS!$F$93,0)</f>
        <v>0</v>
      </c>
      <c r="CB6" s="497">
        <f>IFERROR(IF(INPUTS!$E$78="Main",BV6/(BX6*BY6),BV6/(BZ6*CA6)),0)</f>
        <v>0</v>
      </c>
      <c r="CC6" s="497">
        <f>IFERROR(IF(INPUTS!$E$78="Main",BW6/(BX6*BY6),BW6/(BZ6*CA6)),0)</f>
        <v>0</v>
      </c>
      <c r="CD6" s="852">
        <f t="shared" ref="CD6:CD14" si="20">IF(CA6&gt;0,CB6*(BX6*BY6/(BX6*BY6+BZ6*CA6)),0)</f>
        <v>0</v>
      </c>
      <c r="CE6" s="870">
        <f t="shared" ref="CE6:CE14" si="21">IF(CA6&gt;0,CC6*(BX6*BY6/(BX6*BY6+BZ6*CA6)),0)</f>
        <v>0</v>
      </c>
      <c r="CF6" s="852">
        <f t="shared" ref="CF6:CF14" si="22">IFERROR(IF(CA6&gt;0,CB6*(BZ6*CA6/(BX6*BY6+BZ6*CA6)),CB6*(BX6*BY6+BZ6*CA6)/(BX6*BY6+BZ6*CA6)),0)</f>
        <v>0</v>
      </c>
      <c r="CG6" s="573">
        <f t="shared" ref="CG6:CG14" si="23">IFERROR(IF(CA6&gt;0,CC6*(BZ6*CA6/(BX6*BY6+BZ6*CA6)),CC6*(BX6*BY6+BZ6*CA6)/(BX6*BY6+BZ6*CA6)),0)</f>
        <v>0</v>
      </c>
      <c r="CH6" s="758">
        <f t="shared" ref="CH6:CH14" si="24">L6+X6+AJ6+AV6+BH6+BT6+CF6</f>
        <v>0</v>
      </c>
      <c r="CI6" s="573">
        <f t="shared" ref="CI6:CI14" si="25">M6+Y6+AK6+AW6+BI6+BU6+CG6</f>
        <v>0</v>
      </c>
    </row>
    <row r="7" spans="1:91">
      <c r="A7" s="569" t="str">
        <f>'Livestock parameters'!A5</f>
        <v>Cows - improved</v>
      </c>
      <c r="B7" s="756">
        <f>IFERROR(Feed!F101*Feed!E19,0)</f>
        <v>226.80627622409256</v>
      </c>
      <c r="C7" s="579">
        <f>IFERROR(Feed!G101*Feed!N19,0)</f>
        <v>197.59792029654002</v>
      </c>
      <c r="D7" s="254">
        <f>VLOOKUP(INPUTS!$D$72,'Crop parameters'!$A$3:$Z$39,4,FALSE)*1000</f>
        <v>0</v>
      </c>
      <c r="E7" s="497">
        <f>INPUTS!$E$87</f>
        <v>0</v>
      </c>
      <c r="F7" s="254">
        <f>VLOOKUP(INPUTS!$D$72,'Crop parameters'!$A$3:$Z$39,8,FALSE)*1000</f>
        <v>0</v>
      </c>
      <c r="G7" s="497">
        <f>IF(INPUTS!$E$72="Residue",INPUTS!$F$87,0)</f>
        <v>0</v>
      </c>
      <c r="H7" s="497">
        <f>IFERROR(IF(INPUTS!$E$72="Main",B7/(D7*E7),B7/(F7*G7)),0)</f>
        <v>0</v>
      </c>
      <c r="I7" s="497">
        <f>IFERROR(IF(INPUTS!$E$72="Main",C7/(D7*E7),C7/(F7*G7)),0)</f>
        <v>0</v>
      </c>
      <c r="J7" s="852">
        <f t="shared" si="0"/>
        <v>0</v>
      </c>
      <c r="K7" s="870">
        <f t="shared" si="1"/>
        <v>0</v>
      </c>
      <c r="L7" s="852">
        <f t="shared" ref="L7:L14" si="26">IFERROR(IF(G7&gt;0,H7*(F7*G7/(D7*E7+F7*G7)),H7*(D7*E7+F7*G7)/(D7*E7+F7*G7)),0)</f>
        <v>0</v>
      </c>
      <c r="M7" s="852">
        <f t="shared" ref="M7:M14" si="27">IFERROR(IF(G7&gt;0,I7*(F7*G7/(D7*E7+F7*G7)),I7*(D7*E7+F7*G7)/(D7*E7+F7*G7)),0)</f>
        <v>0</v>
      </c>
      <c r="N7" s="756">
        <f>IFERROR(Feed!F101*Feed!F19,0)</f>
        <v>527.09778594479099</v>
      </c>
      <c r="O7" s="579">
        <f>IFERROR(Feed!G101*Feed!O19,0)</f>
        <v>159.45054401706909</v>
      </c>
      <c r="P7" s="254">
        <f>VLOOKUP(INPUTS!$D$73,'Crop parameters'!$A$3:$Z$39,4,FALSE)*1000</f>
        <v>13049.999999999998</v>
      </c>
      <c r="Q7" s="497">
        <f>INPUTS!$E$88</f>
        <v>1</v>
      </c>
      <c r="R7" s="254">
        <f>VLOOKUP(INPUTS!$D$73,'Crop parameters'!$A$3:$Z$39,8,FALSE)*1000</f>
        <v>0</v>
      </c>
      <c r="S7" s="497">
        <f>IF(INPUTS!$E$73="Residue",INPUTS!$F$88,0)</f>
        <v>0</v>
      </c>
      <c r="T7" s="497">
        <f>IFERROR(IF(INPUTS!$E$73="Main",N7/(P7*Q7),N7/(R7*S7)),0)</f>
        <v>4.0390634938298163E-2</v>
      </c>
      <c r="U7" s="497">
        <f>IFERROR(IF(INPUTS!$E$73="Main",O7/(P7*Q7),O7/(R7*S7)),0)</f>
        <v>1.2218432491729435E-2</v>
      </c>
      <c r="V7" s="852">
        <f t="shared" si="2"/>
        <v>0</v>
      </c>
      <c r="W7" s="870">
        <f t="shared" si="3"/>
        <v>0</v>
      </c>
      <c r="X7" s="852">
        <f t="shared" si="4"/>
        <v>4.0390634938298163E-2</v>
      </c>
      <c r="Y7" s="852">
        <f t="shared" si="5"/>
        <v>1.2218432491729435E-2</v>
      </c>
      <c r="Z7" s="756">
        <f>IFERROR(Feed!F101*Feed!G19,0)</f>
        <v>87.69842680664911</v>
      </c>
      <c r="AA7" s="579">
        <f>IFERROR(Feed!G101*Feed!P19,0)</f>
        <v>358.14623053747869</v>
      </c>
      <c r="AB7" s="254">
        <f>VLOOKUP(INPUTS!$D$74,'Crop parameters'!$A$3:$Z$39,4,FALSE)*1000</f>
        <v>1299</v>
      </c>
      <c r="AC7" s="497">
        <f>INPUTS!$E$89</f>
        <v>0.4</v>
      </c>
      <c r="AD7" s="254">
        <f>VLOOKUP(INPUTS!$D$74,'Crop parameters'!$A$3:$Z$39,8,FALSE)*1000</f>
        <v>3582.4421538461534</v>
      </c>
      <c r="AE7" s="497">
        <f>IF(INPUTS!$E$74="Residue",INPUTS!$F$89,0)</f>
        <v>0.6</v>
      </c>
      <c r="AF7" s="497">
        <f>IFERROR(IF(INPUTS!$E$74="Main",Z7/(AB7*AC7),Z7/(AD7*AE7)),0)</f>
        <v>4.0800112995774414E-2</v>
      </c>
      <c r="AG7" s="497">
        <f>IFERROR(IF(INPUTS!$E$74="Main",AA7/(AB7*AC7),AA7/(AD7*AE7)),0)</f>
        <v>0.16662108098194439</v>
      </c>
      <c r="AH7" s="852">
        <f t="shared" ref="AH7:AH14" si="28">IF(AE7&gt;0,AF7*(AB7*AC7/(AB7*AC7+AD7*AE7)),0)</f>
        <v>7.9427576289356899E-3</v>
      </c>
      <c r="AI7" s="870">
        <f t="shared" ref="AI7:AI14" si="29">IF(AE7&gt;0,AG7*(AB7*AC7/(AB7*AC7+AD7*AE7)),0)</f>
        <v>3.243694109984243E-2</v>
      </c>
      <c r="AJ7" s="852">
        <f t="shared" si="6"/>
        <v>3.2857355366838724E-2</v>
      </c>
      <c r="AK7" s="852">
        <f t="shared" si="7"/>
        <v>0.13418413988210198</v>
      </c>
      <c r="AL7" s="856">
        <f>IFERROR(Feed!F101*Feed!H19,0)</f>
        <v>55.441534188111511</v>
      </c>
      <c r="AM7" s="579">
        <f>IFERROR(Feed!G101*Feed!Q19,0)</f>
        <v>181.131426938495</v>
      </c>
      <c r="AN7" s="254">
        <f>VLOOKUP(INPUTS!$D$75,'Crop parameters'!$A$3:$Z$39,4,FALSE)*1000</f>
        <v>19800</v>
      </c>
      <c r="AO7" s="497">
        <f>INPUTS!$E$90</f>
        <v>1</v>
      </c>
      <c r="AP7" s="254">
        <f>VLOOKUP(INPUTS!$D$75,'Crop parameters'!$A$3:$Z$39,8,FALSE)*1000</f>
        <v>0</v>
      </c>
      <c r="AQ7" s="497">
        <f>IF(INPUTS!$E$75="Residue",INPUTS!$F$90,0)</f>
        <v>0</v>
      </c>
      <c r="AR7" s="497">
        <f>IFERROR(IF(INPUTS!$E$75="Main",AL7/(AN7*AO7),AL7/(AP7*AQ7)),0)</f>
        <v>2.8000774842480559E-3</v>
      </c>
      <c r="AS7" s="497">
        <f>IFERROR(IF(INPUTS!$E$75="Main",AM7/(AN7*AO7),AM7/(AP7*AQ7)),0)</f>
        <v>9.1480518655805559E-3</v>
      </c>
      <c r="AT7" s="852">
        <f t="shared" si="8"/>
        <v>0</v>
      </c>
      <c r="AU7" s="870">
        <f t="shared" si="9"/>
        <v>0</v>
      </c>
      <c r="AV7" s="852">
        <f t="shared" si="10"/>
        <v>2.8000774842480559E-3</v>
      </c>
      <c r="AW7" s="852">
        <f t="shared" si="11"/>
        <v>9.1480518655805559E-3</v>
      </c>
      <c r="AX7" s="756">
        <f>IFERROR(Feed!F101*Feed!I19,0)</f>
        <v>464.34804952279211</v>
      </c>
      <c r="AY7" s="579">
        <f>IFERROR(Feed!G101*Feed!R19,0)</f>
        <v>129.83830012818481</v>
      </c>
      <c r="AZ7" s="254">
        <f>VLOOKUP(INPUTS!$D$76,'Crop parameters'!$A$3:$Z$39,4,FALSE)*1000</f>
        <v>13500</v>
      </c>
      <c r="BA7" s="497">
        <f>INPUTS!$E$91</f>
        <v>1</v>
      </c>
      <c r="BB7" s="254">
        <f>VLOOKUP(INPUTS!$D$76,'Crop parameters'!$A$3:$Z$39,8,FALSE)*1000</f>
        <v>0</v>
      </c>
      <c r="BC7" s="497">
        <f>IF(INPUTS!$E$76="Residue",INPUTS!$F$91,0)</f>
        <v>0</v>
      </c>
      <c r="BD7" s="497">
        <f>IFERROR(IF(INPUTS!$E$76="Main",AX7/(AZ7*BA7),AX7/(BB7*BC7)),0)</f>
        <v>3.4396151816503122E-2</v>
      </c>
      <c r="BE7" s="497">
        <f>IFERROR(IF(INPUTS!$E$76="Main",AY7/(AZ7*BA7),AY7/(BB7*BC7)),0)</f>
        <v>9.6176518613470229E-3</v>
      </c>
      <c r="BF7" s="852">
        <f t="shared" si="12"/>
        <v>0</v>
      </c>
      <c r="BG7" s="870">
        <f t="shared" si="13"/>
        <v>0</v>
      </c>
      <c r="BH7" s="852">
        <f t="shared" si="14"/>
        <v>3.4396151816503122E-2</v>
      </c>
      <c r="BI7" s="852">
        <f t="shared" si="15"/>
        <v>9.6176518613470229E-3</v>
      </c>
      <c r="BJ7" s="756">
        <f>IFERROR(Feed!F101*Feed!J19,0)</f>
        <v>113.40313811204628</v>
      </c>
      <c r="BK7" s="579">
        <f>IFERROR(Feed!G101*Feed!S19,0)</f>
        <v>32.932986716089999</v>
      </c>
      <c r="BL7" s="254">
        <f>VLOOKUP(INPUTS!$D$77,'Crop parameters'!$A$3:$Z$39,4,FALSE)*1000</f>
        <v>22050</v>
      </c>
      <c r="BM7" s="497">
        <f>INPUTS!$E$92</f>
        <v>1</v>
      </c>
      <c r="BN7" s="254">
        <f>VLOOKUP(INPUTS!$D$77,'Crop parameters'!$A$3:$Z$39,8,FALSE)*1000</f>
        <v>0</v>
      </c>
      <c r="BO7" s="497">
        <f>IF(INPUTS!$E$77="Residue",INPUTS!$F$92,0)</f>
        <v>0</v>
      </c>
      <c r="BP7" s="497">
        <f>IFERROR(IF(INPUTS!$E$77="Main",BJ7/(BL7*BM7),BJ7/(BN7*BO7)),0)</f>
        <v>5.1429994608637765E-3</v>
      </c>
      <c r="BQ7" s="497">
        <f>IFERROR(IF(INPUTS!$E$77="Main",BK7/(BL7*BM7),BK7/(BN7*BO7)),0)</f>
        <v>1.4935594882580499E-3</v>
      </c>
      <c r="BR7" s="852">
        <f t="shared" si="16"/>
        <v>0</v>
      </c>
      <c r="BS7" s="870">
        <f t="shared" si="17"/>
        <v>0</v>
      </c>
      <c r="BT7" s="852">
        <f t="shared" si="18"/>
        <v>5.1429994608637765E-3</v>
      </c>
      <c r="BU7" s="852">
        <f t="shared" si="19"/>
        <v>1.4935594882580499E-3</v>
      </c>
      <c r="BV7" s="756">
        <f>IFERROR(Feed!F101*Feed!K19,0)</f>
        <v>0</v>
      </c>
      <c r="BW7" s="579">
        <f>IFERROR(Feed!G101*Feed!T19,0)</f>
        <v>0</v>
      </c>
      <c r="BX7" s="254">
        <f>VLOOKUP(INPUTS!$D$78,'Crop parameters'!$A$3:$Z$39,4,FALSE)*1000</f>
        <v>0</v>
      </c>
      <c r="BY7" s="497">
        <f>INPUTS!$E$93</f>
        <v>0</v>
      </c>
      <c r="BZ7" s="254">
        <f>VLOOKUP(INPUTS!$D$78,'Crop parameters'!$A$3:$Z$39,8,FALSE)*1000</f>
        <v>0</v>
      </c>
      <c r="CA7" s="497">
        <f>IF(INPUTS!$E$78="Residue",INPUTS!$F$93,0)</f>
        <v>0</v>
      </c>
      <c r="CB7" s="497">
        <f>IFERROR(IF(INPUTS!$E$78="Main",BV7/(BX7*BY7),BV7/(BZ7*CA7)),0)</f>
        <v>0</v>
      </c>
      <c r="CC7" s="497">
        <f>IFERROR(IF(INPUTS!$E$78="Main",BW7/(BX7*BY7),BW7/(BZ7*CA7)),0)</f>
        <v>0</v>
      </c>
      <c r="CD7" s="852">
        <f t="shared" si="20"/>
        <v>0</v>
      </c>
      <c r="CE7" s="870">
        <f t="shared" si="21"/>
        <v>0</v>
      </c>
      <c r="CF7" s="852">
        <f t="shared" si="22"/>
        <v>0</v>
      </c>
      <c r="CG7" s="573">
        <f t="shared" si="23"/>
        <v>0</v>
      </c>
      <c r="CH7" s="758">
        <f t="shared" si="24"/>
        <v>0.11558721906675185</v>
      </c>
      <c r="CI7" s="573">
        <f t="shared" si="25"/>
        <v>0.16666183558901704</v>
      </c>
    </row>
    <row r="8" spans="1:91">
      <c r="A8" s="569" t="str">
        <f>'Livestock parameters'!A6</f>
        <v>Adult cattle - male</v>
      </c>
      <c r="B8" s="756">
        <f>IFERROR(Feed!F102*Feed!E26,0)</f>
        <v>0</v>
      </c>
      <c r="C8" s="579">
        <f>IFERROR(Feed!G102*Feed!N26,0)</f>
        <v>0</v>
      </c>
      <c r="D8" s="254">
        <f>VLOOKUP(INPUTS!$D$72,'Crop parameters'!$A$3:$Z$39,4,FALSE)*1000</f>
        <v>0</v>
      </c>
      <c r="E8" s="497">
        <f>INPUTS!$E$87</f>
        <v>0</v>
      </c>
      <c r="F8" s="254">
        <f>VLOOKUP(INPUTS!$D$72,'Crop parameters'!$A$3:$Z$39,8,FALSE)*1000</f>
        <v>0</v>
      </c>
      <c r="G8" s="497">
        <f>IF(INPUTS!$E$72="Residue",INPUTS!$F$87,0)</f>
        <v>0</v>
      </c>
      <c r="H8" s="497">
        <f>IFERROR(IF(INPUTS!$E$72="Main",B8/(D8*E8),B8/(F8*G8)),0)</f>
        <v>0</v>
      </c>
      <c r="I8" s="497">
        <f>IFERROR(IF(INPUTS!$E$72="Main",C8/(D8*E8),C8/(F8*G8)),0)</f>
        <v>0</v>
      </c>
      <c r="J8" s="852">
        <f t="shared" si="0"/>
        <v>0</v>
      </c>
      <c r="K8" s="870">
        <f t="shared" si="1"/>
        <v>0</v>
      </c>
      <c r="L8" s="852">
        <f t="shared" si="26"/>
        <v>0</v>
      </c>
      <c r="M8" s="852">
        <f t="shared" si="27"/>
        <v>0</v>
      </c>
      <c r="N8" s="756">
        <f>IFERROR(Feed!F102*Feed!F26,0)</f>
        <v>0</v>
      </c>
      <c r="O8" s="579">
        <f>IFERROR(Feed!G102*Feed!O26,0)</f>
        <v>0</v>
      </c>
      <c r="P8" s="254">
        <f>VLOOKUP(INPUTS!$D$73,'Crop parameters'!$A$3:$Z$39,4,FALSE)*1000</f>
        <v>13049.999999999998</v>
      </c>
      <c r="Q8" s="497">
        <f>INPUTS!$E$88</f>
        <v>1</v>
      </c>
      <c r="R8" s="254">
        <f>VLOOKUP(INPUTS!$D$73,'Crop parameters'!$A$3:$Z$39,8,FALSE)*1000</f>
        <v>0</v>
      </c>
      <c r="S8" s="497">
        <f>IF(INPUTS!$E$73="Residue",INPUTS!$F$88,0)</f>
        <v>0</v>
      </c>
      <c r="T8" s="497">
        <f>IFERROR(IF(INPUTS!$E$73="Main",N8/(P8*Q8),N8/(R8*S8)),0)</f>
        <v>0</v>
      </c>
      <c r="U8" s="497">
        <f>IFERROR(IF(INPUTS!$E$73="Main",O8/(P8*Q8),O8/(R8*S8)),0)</f>
        <v>0</v>
      </c>
      <c r="V8" s="852">
        <f t="shared" si="2"/>
        <v>0</v>
      </c>
      <c r="W8" s="870">
        <f t="shared" si="3"/>
        <v>0</v>
      </c>
      <c r="X8" s="852">
        <f t="shared" si="4"/>
        <v>0</v>
      </c>
      <c r="Y8" s="852">
        <f t="shared" si="5"/>
        <v>0</v>
      </c>
      <c r="Z8" s="756">
        <f>IFERROR(Feed!F102*Feed!G26,0)</f>
        <v>0</v>
      </c>
      <c r="AA8" s="579">
        <f>IFERROR(Feed!G102*Feed!P26,0)</f>
        <v>0</v>
      </c>
      <c r="AB8" s="254">
        <f>VLOOKUP(INPUTS!$D$74,'Crop parameters'!$A$3:$Z$39,4,FALSE)*1000</f>
        <v>1299</v>
      </c>
      <c r="AC8" s="497">
        <f>INPUTS!$E$89</f>
        <v>0.4</v>
      </c>
      <c r="AD8" s="254">
        <f>VLOOKUP(INPUTS!$D$74,'Crop parameters'!$A$3:$Z$39,8,FALSE)*1000</f>
        <v>3582.4421538461534</v>
      </c>
      <c r="AE8" s="497">
        <f>IF(INPUTS!$E$74="Residue",INPUTS!$F$89,0)</f>
        <v>0.6</v>
      </c>
      <c r="AF8" s="497">
        <f>IFERROR(IF(INPUTS!$E$74="Main",Z8/(AB8*AC8),Z8/(AD8*AE8)),0)</f>
        <v>0</v>
      </c>
      <c r="AG8" s="497">
        <f>IFERROR(IF(INPUTS!$E$74="Main",AA8/(AB8*AC8),AA8/(AD8*AE8)),0)</f>
        <v>0</v>
      </c>
      <c r="AH8" s="852">
        <f t="shared" si="28"/>
        <v>0</v>
      </c>
      <c r="AI8" s="870">
        <f t="shared" si="29"/>
        <v>0</v>
      </c>
      <c r="AJ8" s="852">
        <f t="shared" si="6"/>
        <v>0</v>
      </c>
      <c r="AK8" s="852">
        <f t="shared" si="7"/>
        <v>0</v>
      </c>
      <c r="AL8" s="856">
        <f>IFERROR(Feed!F102*Feed!H26,0)</f>
        <v>0</v>
      </c>
      <c r="AM8" s="579">
        <f>IFERROR(Feed!G102*Feed!Q26,0)</f>
        <v>0</v>
      </c>
      <c r="AN8" s="254">
        <f>VLOOKUP(INPUTS!$D$75,'Crop parameters'!$A$3:$Z$39,4,FALSE)*1000</f>
        <v>19800</v>
      </c>
      <c r="AO8" s="497">
        <f>INPUTS!$E$90</f>
        <v>1</v>
      </c>
      <c r="AP8" s="254">
        <f>VLOOKUP(INPUTS!$D$75,'Crop parameters'!$A$3:$Z$39,8,FALSE)*1000</f>
        <v>0</v>
      </c>
      <c r="AQ8" s="497">
        <f>IF(INPUTS!$E$75="Residue",INPUTS!$F$90,0)</f>
        <v>0</v>
      </c>
      <c r="AR8" s="497">
        <f>IFERROR(IF(INPUTS!$E$75="Main",AL8/(AN8*AO8),AL8/(AP8*AQ8)),0)</f>
        <v>0</v>
      </c>
      <c r="AS8" s="497">
        <f>IFERROR(IF(INPUTS!$E$75="Main",AM8/(AN8*AO8),AM8/(AP8*AQ8)),0)</f>
        <v>0</v>
      </c>
      <c r="AT8" s="852">
        <f t="shared" si="8"/>
        <v>0</v>
      </c>
      <c r="AU8" s="870">
        <f t="shared" si="9"/>
        <v>0</v>
      </c>
      <c r="AV8" s="852">
        <f t="shared" si="10"/>
        <v>0</v>
      </c>
      <c r="AW8" s="852">
        <f t="shared" si="11"/>
        <v>0</v>
      </c>
      <c r="AX8" s="756">
        <f>IFERROR(Feed!F102*Feed!I26,0)</f>
        <v>0</v>
      </c>
      <c r="AY8" s="579">
        <f>IFERROR(Feed!G102*Feed!R26,0)</f>
        <v>0</v>
      </c>
      <c r="AZ8" s="254">
        <f>VLOOKUP(INPUTS!$D$76,'Crop parameters'!$A$3:$Z$39,4,FALSE)*1000</f>
        <v>13500</v>
      </c>
      <c r="BA8" s="497">
        <f>INPUTS!$E$91</f>
        <v>1</v>
      </c>
      <c r="BB8" s="254">
        <f>VLOOKUP(INPUTS!$D$76,'Crop parameters'!$A$3:$Z$39,8,FALSE)*1000</f>
        <v>0</v>
      </c>
      <c r="BC8" s="497">
        <f>IF(INPUTS!$E$76="Residue",INPUTS!$F$91,0)</f>
        <v>0</v>
      </c>
      <c r="BD8" s="497">
        <f>IFERROR(IF(INPUTS!$E$76="Main",AX8/(AZ8*BA8),AX8/(BB8*BC8)),0)</f>
        <v>0</v>
      </c>
      <c r="BE8" s="497">
        <f>IFERROR(IF(INPUTS!$E$76="Main",AY8/(AZ8*BA8),AY8/(BB8*BC8)),0)</f>
        <v>0</v>
      </c>
      <c r="BF8" s="852">
        <f t="shared" si="12"/>
        <v>0</v>
      </c>
      <c r="BG8" s="870">
        <f t="shared" si="13"/>
        <v>0</v>
      </c>
      <c r="BH8" s="852">
        <f t="shared" si="14"/>
        <v>0</v>
      </c>
      <c r="BI8" s="852">
        <f t="shared" si="15"/>
        <v>0</v>
      </c>
      <c r="BJ8" s="756">
        <f>IFERROR(Feed!F102*Feed!J26,0)</f>
        <v>0</v>
      </c>
      <c r="BK8" s="579">
        <f>IFERROR(Feed!G102*Feed!S26,0)</f>
        <v>0</v>
      </c>
      <c r="BL8" s="254">
        <f>VLOOKUP(INPUTS!$D$77,'Crop parameters'!$A$3:$Z$39,4,FALSE)*1000</f>
        <v>22050</v>
      </c>
      <c r="BM8" s="497">
        <f>INPUTS!$E$92</f>
        <v>1</v>
      </c>
      <c r="BN8" s="254">
        <f>VLOOKUP(INPUTS!$D$77,'Crop parameters'!$A$3:$Z$39,8,FALSE)*1000</f>
        <v>0</v>
      </c>
      <c r="BO8" s="497">
        <f>IF(INPUTS!$E$77="Residue",INPUTS!$F$92,0)</f>
        <v>0</v>
      </c>
      <c r="BP8" s="497">
        <f>IFERROR(IF(INPUTS!$E$77="Main",BJ8/(BL8*BM8),BJ8/(BN8*BO8)),0)</f>
        <v>0</v>
      </c>
      <c r="BQ8" s="497">
        <f>IFERROR(IF(INPUTS!$E$77="Main",BK8/(BL8*BM8),BK8/(BN8*BO8)),0)</f>
        <v>0</v>
      </c>
      <c r="BR8" s="852">
        <f t="shared" si="16"/>
        <v>0</v>
      </c>
      <c r="BS8" s="870">
        <f t="shared" si="17"/>
        <v>0</v>
      </c>
      <c r="BT8" s="852">
        <f t="shared" si="18"/>
        <v>0</v>
      </c>
      <c r="BU8" s="852">
        <f t="shared" si="19"/>
        <v>0</v>
      </c>
      <c r="BV8" s="756">
        <f>IFERROR(Feed!F102*Feed!K26,0)</f>
        <v>0</v>
      </c>
      <c r="BW8" s="579">
        <f>IFERROR(Feed!G102*Feed!T26,0)</f>
        <v>0</v>
      </c>
      <c r="BX8" s="254">
        <f>VLOOKUP(INPUTS!$D$78,'Crop parameters'!$A$3:$Z$39,4,FALSE)*1000</f>
        <v>0</v>
      </c>
      <c r="BY8" s="497">
        <f>INPUTS!$E$93</f>
        <v>0</v>
      </c>
      <c r="BZ8" s="254">
        <f>VLOOKUP(INPUTS!$D$78,'Crop parameters'!$A$3:$Z$39,8,FALSE)*1000</f>
        <v>0</v>
      </c>
      <c r="CA8" s="497">
        <f>IF(INPUTS!$E$78="Residue",INPUTS!$F$93,0)</f>
        <v>0</v>
      </c>
      <c r="CB8" s="497">
        <f>IFERROR(IF(INPUTS!$E$78="Main",BV8/(BX8*BY8),BV8/(BZ8*CA8)),0)</f>
        <v>0</v>
      </c>
      <c r="CC8" s="497">
        <f>IFERROR(IF(INPUTS!$E$78="Main",BW8/(BX8*BY8),BW8/(BZ8*CA8)),0)</f>
        <v>0</v>
      </c>
      <c r="CD8" s="852">
        <f t="shared" si="20"/>
        <v>0</v>
      </c>
      <c r="CE8" s="870">
        <f t="shared" si="21"/>
        <v>0</v>
      </c>
      <c r="CF8" s="852">
        <f t="shared" si="22"/>
        <v>0</v>
      </c>
      <c r="CG8" s="573">
        <f t="shared" si="23"/>
        <v>0</v>
      </c>
      <c r="CH8" s="758">
        <f t="shared" si="24"/>
        <v>0</v>
      </c>
      <c r="CI8" s="573">
        <f t="shared" si="25"/>
        <v>0</v>
      </c>
    </row>
    <row r="9" spans="1:91">
      <c r="A9" s="569" t="str">
        <f>'Livestock parameters'!A7</f>
        <v>Steers/heifers</v>
      </c>
      <c r="B9" s="756">
        <f>IFERROR(Feed!F103*Feed!E33,0)</f>
        <v>0</v>
      </c>
      <c r="C9" s="579">
        <f>IFERROR(Feed!G103*Feed!N33,0)</f>
        <v>0</v>
      </c>
      <c r="D9" s="254">
        <f>VLOOKUP(INPUTS!$D$72,'Crop parameters'!$A$3:$Z$39,4,FALSE)*1000</f>
        <v>0</v>
      </c>
      <c r="E9" s="497">
        <f>INPUTS!$E$87</f>
        <v>0</v>
      </c>
      <c r="F9" s="254">
        <f>VLOOKUP(INPUTS!$D$72,'Crop parameters'!$A$3:$Z$39,8,FALSE)*1000</f>
        <v>0</v>
      </c>
      <c r="G9" s="497">
        <f>IF(INPUTS!$E$72="Residue",INPUTS!$F$87,0)</f>
        <v>0</v>
      </c>
      <c r="H9" s="497">
        <f>IFERROR(IF(INPUTS!$E$72="Main",B9/(D9*E9),B9/(F9*G9)),0)</f>
        <v>0</v>
      </c>
      <c r="I9" s="497">
        <f>IFERROR(IF(INPUTS!$E$72="Main",C9/(D9*E9),C9/(F9*G9)),0)</f>
        <v>0</v>
      </c>
      <c r="J9" s="852">
        <f t="shared" si="0"/>
        <v>0</v>
      </c>
      <c r="K9" s="870">
        <f t="shared" si="1"/>
        <v>0</v>
      </c>
      <c r="L9" s="852">
        <f t="shared" si="26"/>
        <v>0</v>
      </c>
      <c r="M9" s="852">
        <f t="shared" si="27"/>
        <v>0</v>
      </c>
      <c r="N9" s="756">
        <f>IFERROR(Feed!F103*Feed!F33,0)</f>
        <v>0</v>
      </c>
      <c r="O9" s="579">
        <f>IFERROR(Feed!G103*Feed!O33,0)</f>
        <v>0</v>
      </c>
      <c r="P9" s="254">
        <f>VLOOKUP(INPUTS!$D$73,'Crop parameters'!$A$3:$Z$39,4,FALSE)*1000</f>
        <v>13049.999999999998</v>
      </c>
      <c r="Q9" s="497">
        <f>INPUTS!$E$88</f>
        <v>1</v>
      </c>
      <c r="R9" s="254">
        <f>VLOOKUP(INPUTS!$D$73,'Crop parameters'!$A$3:$Z$39,8,FALSE)*1000</f>
        <v>0</v>
      </c>
      <c r="S9" s="497">
        <f>IF(INPUTS!$E$73="Residue",INPUTS!$F$88,0)</f>
        <v>0</v>
      </c>
      <c r="T9" s="497">
        <f>IFERROR(IF(INPUTS!$E$73="Main",N9/(P9*Q9),N9/(R9*S9)),0)</f>
        <v>0</v>
      </c>
      <c r="U9" s="497">
        <f>IFERROR(IF(INPUTS!$E$73="Main",O9/(P9*Q9),O9/(R9*S9)),0)</f>
        <v>0</v>
      </c>
      <c r="V9" s="852">
        <f t="shared" si="2"/>
        <v>0</v>
      </c>
      <c r="W9" s="870">
        <f t="shared" si="3"/>
        <v>0</v>
      </c>
      <c r="X9" s="852">
        <f t="shared" si="4"/>
        <v>0</v>
      </c>
      <c r="Y9" s="852">
        <f t="shared" si="5"/>
        <v>0</v>
      </c>
      <c r="Z9" s="756">
        <f>IFERROR(Feed!F103*Feed!G33,0)</f>
        <v>0</v>
      </c>
      <c r="AA9" s="579">
        <f>IFERROR(Feed!G103*Feed!P33,0)</f>
        <v>0</v>
      </c>
      <c r="AB9" s="254">
        <f>VLOOKUP(INPUTS!$D$74,'Crop parameters'!$A$3:$Z$39,4,FALSE)*1000</f>
        <v>1299</v>
      </c>
      <c r="AC9" s="497">
        <f>INPUTS!$E$89</f>
        <v>0.4</v>
      </c>
      <c r="AD9" s="254">
        <f>VLOOKUP(INPUTS!$D$74,'Crop parameters'!$A$3:$Z$39,8,FALSE)*1000</f>
        <v>3582.4421538461534</v>
      </c>
      <c r="AE9" s="497">
        <f>IF(INPUTS!$E$74="Residue",INPUTS!$F$89,0)</f>
        <v>0.6</v>
      </c>
      <c r="AF9" s="497">
        <f>IFERROR(IF(INPUTS!$E$74="Main",Z9/(AB9*AC9),Z9/(AD9*AE9)),0)</f>
        <v>0</v>
      </c>
      <c r="AG9" s="497">
        <f>IFERROR(IF(INPUTS!$E$74="Main",AA9/(AB9*AC9),AA9/(AD9*AE9)),0)</f>
        <v>0</v>
      </c>
      <c r="AH9" s="852">
        <f t="shared" si="28"/>
        <v>0</v>
      </c>
      <c r="AI9" s="870">
        <f t="shared" si="29"/>
        <v>0</v>
      </c>
      <c r="AJ9" s="852">
        <f t="shared" si="6"/>
        <v>0</v>
      </c>
      <c r="AK9" s="852">
        <f t="shared" si="7"/>
        <v>0</v>
      </c>
      <c r="AL9" s="856">
        <f>IFERROR(Feed!F103*Feed!H33,0)</f>
        <v>0</v>
      </c>
      <c r="AM9" s="579">
        <f>IFERROR(Feed!G103*Feed!Q33,0)</f>
        <v>0</v>
      </c>
      <c r="AN9" s="254">
        <f>VLOOKUP(INPUTS!$D$75,'Crop parameters'!$A$3:$Z$39,4,FALSE)*1000</f>
        <v>19800</v>
      </c>
      <c r="AO9" s="497">
        <f>INPUTS!$E$90</f>
        <v>1</v>
      </c>
      <c r="AP9" s="254">
        <f>VLOOKUP(INPUTS!$D$75,'Crop parameters'!$A$3:$Z$39,8,FALSE)*1000</f>
        <v>0</v>
      </c>
      <c r="AQ9" s="497">
        <f>IF(INPUTS!$E$75="Residue",INPUTS!$F$90,0)</f>
        <v>0</v>
      </c>
      <c r="AR9" s="497">
        <f>IFERROR(IF(INPUTS!$E$75="Main",AL9/(AN9*AO9),AL9/(AP9*AQ9)),0)</f>
        <v>0</v>
      </c>
      <c r="AS9" s="497">
        <f>IFERROR(IF(INPUTS!$E$75="Main",AM9/(AN9*AO9),AM9/(AP9*AQ9)),0)</f>
        <v>0</v>
      </c>
      <c r="AT9" s="852">
        <f t="shared" si="8"/>
        <v>0</v>
      </c>
      <c r="AU9" s="870">
        <f t="shared" si="9"/>
        <v>0</v>
      </c>
      <c r="AV9" s="852">
        <f t="shared" si="10"/>
        <v>0</v>
      </c>
      <c r="AW9" s="852">
        <f t="shared" si="11"/>
        <v>0</v>
      </c>
      <c r="AX9" s="756">
        <f>IFERROR(Feed!F103*Feed!I33,0)</f>
        <v>0</v>
      </c>
      <c r="AY9" s="579">
        <f>IFERROR(Feed!G103*Feed!R33,0)</f>
        <v>0</v>
      </c>
      <c r="AZ9" s="254">
        <f>VLOOKUP(INPUTS!$D$76,'Crop parameters'!$A$3:$Z$39,4,FALSE)*1000</f>
        <v>13500</v>
      </c>
      <c r="BA9" s="497">
        <f>INPUTS!$E$91</f>
        <v>1</v>
      </c>
      <c r="BB9" s="254">
        <f>VLOOKUP(INPUTS!$D$76,'Crop parameters'!$A$3:$Z$39,8,FALSE)*1000</f>
        <v>0</v>
      </c>
      <c r="BC9" s="497">
        <f>IF(INPUTS!$E$76="Residue",INPUTS!$F$91,0)</f>
        <v>0</v>
      </c>
      <c r="BD9" s="497">
        <f>IFERROR(IF(INPUTS!$E$76="Main",AX9/(AZ9*BA9),AX9/(BB9*BC9)),0)</f>
        <v>0</v>
      </c>
      <c r="BE9" s="497">
        <f>IFERROR(IF(INPUTS!$E$76="Main",AY9/(AZ9*BA9),AY9/(BB9*BC9)),0)</f>
        <v>0</v>
      </c>
      <c r="BF9" s="852">
        <f t="shared" si="12"/>
        <v>0</v>
      </c>
      <c r="BG9" s="870">
        <f t="shared" si="13"/>
        <v>0</v>
      </c>
      <c r="BH9" s="852">
        <f t="shared" si="14"/>
        <v>0</v>
      </c>
      <c r="BI9" s="852">
        <f t="shared" si="15"/>
        <v>0</v>
      </c>
      <c r="BJ9" s="756">
        <f>IFERROR(Feed!F103*Feed!J33,0)</f>
        <v>0</v>
      </c>
      <c r="BK9" s="579">
        <f>IFERROR(Feed!G103*Feed!S33,0)</f>
        <v>0</v>
      </c>
      <c r="BL9" s="254">
        <f>VLOOKUP(INPUTS!$D$77,'Crop parameters'!$A$3:$Z$39,4,FALSE)*1000</f>
        <v>22050</v>
      </c>
      <c r="BM9" s="497">
        <f>INPUTS!$E$92</f>
        <v>1</v>
      </c>
      <c r="BN9" s="254">
        <f>VLOOKUP(INPUTS!$D$77,'Crop parameters'!$A$3:$Z$39,8,FALSE)*1000</f>
        <v>0</v>
      </c>
      <c r="BO9" s="497">
        <f>IF(INPUTS!$E$77="Residue",INPUTS!$F$92,0)</f>
        <v>0</v>
      </c>
      <c r="BP9" s="497">
        <f>IFERROR(IF(INPUTS!$E$77="Main",BJ9/(BL9*BM9),BJ9/(BN9*BO9)),0)</f>
        <v>0</v>
      </c>
      <c r="BQ9" s="497">
        <f>IFERROR(IF(INPUTS!$E$77="Main",BK9/(BL9*BM9),BK9/(BN9*BO9)),0)</f>
        <v>0</v>
      </c>
      <c r="BR9" s="852">
        <f t="shared" si="16"/>
        <v>0</v>
      </c>
      <c r="BS9" s="870">
        <f t="shared" si="17"/>
        <v>0</v>
      </c>
      <c r="BT9" s="852">
        <f t="shared" si="18"/>
        <v>0</v>
      </c>
      <c r="BU9" s="852">
        <f t="shared" si="19"/>
        <v>0</v>
      </c>
      <c r="BV9" s="756">
        <f>IFERROR(Feed!F103*Feed!K33,0)</f>
        <v>0</v>
      </c>
      <c r="BW9" s="579">
        <f>IFERROR(Feed!G103*Feed!T33,0)</f>
        <v>0</v>
      </c>
      <c r="BX9" s="254">
        <f>VLOOKUP(INPUTS!$D$78,'Crop parameters'!$A$3:$Z$39,4,FALSE)*1000</f>
        <v>0</v>
      </c>
      <c r="BY9" s="497">
        <f>INPUTS!$E$93</f>
        <v>0</v>
      </c>
      <c r="BZ9" s="254">
        <f>VLOOKUP(INPUTS!$D$78,'Crop parameters'!$A$3:$Z$39,8,FALSE)*1000</f>
        <v>0</v>
      </c>
      <c r="CA9" s="497">
        <f>IF(INPUTS!$E$78="Residue",INPUTS!$F$93,0)</f>
        <v>0</v>
      </c>
      <c r="CB9" s="497">
        <f>IFERROR(IF(INPUTS!$E$78="Main",BV9/(BX9*BY9),BV9/(BZ9*CA9)),0)</f>
        <v>0</v>
      </c>
      <c r="CC9" s="497">
        <f>IFERROR(IF(INPUTS!$E$78="Main",BW9/(BX9*BY9),BW9/(BZ9*CA9)),0)</f>
        <v>0</v>
      </c>
      <c r="CD9" s="852">
        <f t="shared" si="20"/>
        <v>0</v>
      </c>
      <c r="CE9" s="870">
        <f t="shared" si="21"/>
        <v>0</v>
      </c>
      <c r="CF9" s="852">
        <f t="shared" si="22"/>
        <v>0</v>
      </c>
      <c r="CG9" s="573">
        <f t="shared" si="23"/>
        <v>0</v>
      </c>
      <c r="CH9" s="758">
        <f t="shared" si="24"/>
        <v>0</v>
      </c>
      <c r="CI9" s="573">
        <f t="shared" si="25"/>
        <v>0</v>
      </c>
    </row>
    <row r="10" spans="1:91">
      <c r="A10" s="569" t="str">
        <f>'Livestock parameters'!A8</f>
        <v>Calves</v>
      </c>
      <c r="B10" s="756">
        <f>IFERROR(Feed!F104*Feed!E40,0)</f>
        <v>0</v>
      </c>
      <c r="C10" s="579">
        <f>IFERROR(Feed!G104*Feed!N40,0)</f>
        <v>0</v>
      </c>
      <c r="D10" s="254">
        <f>VLOOKUP(INPUTS!$D$72,'Crop parameters'!$A$3:$Z$39,4,FALSE)*1000</f>
        <v>0</v>
      </c>
      <c r="E10" s="497">
        <f>INPUTS!$E$87</f>
        <v>0</v>
      </c>
      <c r="F10" s="254">
        <f>VLOOKUP(INPUTS!$D$72,'Crop parameters'!$A$3:$Z$39,8,FALSE)*1000</f>
        <v>0</v>
      </c>
      <c r="G10" s="497">
        <f>IF(INPUTS!$E$72="Residue",INPUTS!$F$87,0)</f>
        <v>0</v>
      </c>
      <c r="H10" s="497">
        <f>IFERROR(IF(INPUTS!$E$72="Main",B10/(D10*E10),B10/(F10*G10)),0)</f>
        <v>0</v>
      </c>
      <c r="I10" s="497">
        <f>IFERROR(IF(INPUTS!$E$72="Main",C10/(D10*E10),C10/(F10*G10)),0)</f>
        <v>0</v>
      </c>
      <c r="J10" s="852">
        <f t="shared" si="0"/>
        <v>0</v>
      </c>
      <c r="K10" s="870">
        <f t="shared" si="1"/>
        <v>0</v>
      </c>
      <c r="L10" s="852">
        <f t="shared" si="26"/>
        <v>0</v>
      </c>
      <c r="M10" s="852">
        <f t="shared" si="27"/>
        <v>0</v>
      </c>
      <c r="N10" s="756">
        <f>IFERROR(Feed!F104*Feed!F40,0)</f>
        <v>0</v>
      </c>
      <c r="O10" s="579">
        <f>IFERROR(Feed!G104*Feed!O40,0)</f>
        <v>0</v>
      </c>
      <c r="P10" s="254">
        <f>VLOOKUP(INPUTS!$D$73,'Crop parameters'!$A$3:$Z$39,4,FALSE)*1000</f>
        <v>13049.999999999998</v>
      </c>
      <c r="Q10" s="497">
        <f>INPUTS!$E$88</f>
        <v>1</v>
      </c>
      <c r="R10" s="254">
        <f>VLOOKUP(INPUTS!$D$73,'Crop parameters'!$A$3:$Z$39,8,FALSE)*1000</f>
        <v>0</v>
      </c>
      <c r="S10" s="497">
        <f>IF(INPUTS!$E$73="Residue",INPUTS!$F$88,0)</f>
        <v>0</v>
      </c>
      <c r="T10" s="497">
        <f>IFERROR(IF(INPUTS!$E$73="Main",N10/(P10*Q10),N10/(R10*S10)),0)</f>
        <v>0</v>
      </c>
      <c r="U10" s="497">
        <f>IFERROR(IF(INPUTS!$E$73="Main",O10/(P10*Q10),O10/(R10*S10)),0)</f>
        <v>0</v>
      </c>
      <c r="V10" s="852">
        <f t="shared" si="2"/>
        <v>0</v>
      </c>
      <c r="W10" s="870">
        <f t="shared" si="3"/>
        <v>0</v>
      </c>
      <c r="X10" s="852">
        <f t="shared" si="4"/>
        <v>0</v>
      </c>
      <c r="Y10" s="852">
        <f t="shared" si="5"/>
        <v>0</v>
      </c>
      <c r="Z10" s="756">
        <f>IFERROR(Feed!F104*Feed!G40,0)</f>
        <v>0</v>
      </c>
      <c r="AA10" s="579">
        <f>IFERROR(Feed!G104*Feed!P40,0)</f>
        <v>0</v>
      </c>
      <c r="AB10" s="254">
        <f>VLOOKUP(INPUTS!$D$74,'Crop parameters'!$A$3:$Z$39,4,FALSE)*1000</f>
        <v>1299</v>
      </c>
      <c r="AC10" s="497">
        <f>INPUTS!$E$89</f>
        <v>0.4</v>
      </c>
      <c r="AD10" s="254">
        <f>VLOOKUP(INPUTS!$D$74,'Crop parameters'!$A$3:$Z$39,8,FALSE)*1000</f>
        <v>3582.4421538461534</v>
      </c>
      <c r="AE10" s="497">
        <f>IF(INPUTS!$E$74="Residue",INPUTS!$F$89,0)</f>
        <v>0.6</v>
      </c>
      <c r="AF10" s="497">
        <f>IFERROR(IF(INPUTS!$E$74="Main",Z10/(AB10*AC10),Z10/(AD10*AE10)),0)</f>
        <v>0</v>
      </c>
      <c r="AG10" s="497">
        <f>IFERROR(IF(INPUTS!$E$74="Main",AA10/(AB10*AC10),AA10/(AD10*AE10)),0)</f>
        <v>0</v>
      </c>
      <c r="AH10" s="852">
        <f t="shared" si="28"/>
        <v>0</v>
      </c>
      <c r="AI10" s="870">
        <f t="shared" si="29"/>
        <v>0</v>
      </c>
      <c r="AJ10" s="852">
        <f t="shared" si="6"/>
        <v>0</v>
      </c>
      <c r="AK10" s="852">
        <f t="shared" si="7"/>
        <v>0</v>
      </c>
      <c r="AL10" s="856">
        <f>IFERROR(Feed!F104*Feed!H40,0)</f>
        <v>0</v>
      </c>
      <c r="AM10" s="579">
        <f>IFERROR(Feed!G104*Feed!Q40,0)</f>
        <v>0</v>
      </c>
      <c r="AN10" s="254">
        <f>VLOOKUP(INPUTS!$D$75,'Crop parameters'!$A$3:$Z$39,4,FALSE)*1000</f>
        <v>19800</v>
      </c>
      <c r="AO10" s="497">
        <f>INPUTS!$E$90</f>
        <v>1</v>
      </c>
      <c r="AP10" s="254">
        <f>VLOOKUP(INPUTS!$D$75,'Crop parameters'!$A$3:$Z$39,8,FALSE)*1000</f>
        <v>0</v>
      </c>
      <c r="AQ10" s="497">
        <f>IF(INPUTS!$E$75="Residue",INPUTS!$F$90,0)</f>
        <v>0</v>
      </c>
      <c r="AR10" s="497">
        <f>IFERROR(IF(INPUTS!$E$75="Main",AL10/(AN10*AO10),AL10/(AP10*AQ10)),0)</f>
        <v>0</v>
      </c>
      <c r="AS10" s="497">
        <f>IFERROR(IF(INPUTS!$E$75="Main",AM10/(AN10*AO10),AM10/(AP10*AQ10)),0)</f>
        <v>0</v>
      </c>
      <c r="AT10" s="852">
        <f t="shared" si="8"/>
        <v>0</v>
      </c>
      <c r="AU10" s="870">
        <f t="shared" si="9"/>
        <v>0</v>
      </c>
      <c r="AV10" s="852">
        <f t="shared" si="10"/>
        <v>0</v>
      </c>
      <c r="AW10" s="852">
        <f t="shared" si="11"/>
        <v>0</v>
      </c>
      <c r="AX10" s="756">
        <f>IFERROR(Feed!F104*Feed!I40,0)</f>
        <v>0</v>
      </c>
      <c r="AY10" s="579">
        <f>IFERROR(Feed!G104*Feed!R40,0)</f>
        <v>0</v>
      </c>
      <c r="AZ10" s="254">
        <f>VLOOKUP(INPUTS!$D$76,'Crop parameters'!$A$3:$Z$39,4,FALSE)*1000</f>
        <v>13500</v>
      </c>
      <c r="BA10" s="497">
        <f>INPUTS!$E$91</f>
        <v>1</v>
      </c>
      <c r="BB10" s="254">
        <f>VLOOKUP(INPUTS!$D$76,'Crop parameters'!$A$3:$Z$39,8,FALSE)*1000</f>
        <v>0</v>
      </c>
      <c r="BC10" s="497">
        <f>IF(INPUTS!$E$76="Residue",INPUTS!$F$91,0)</f>
        <v>0</v>
      </c>
      <c r="BD10" s="497">
        <f>IFERROR(IF(INPUTS!$E$76="Main",AX10/(AZ10*BA10),AX10/(BB10*BC10)),0)</f>
        <v>0</v>
      </c>
      <c r="BE10" s="497">
        <f>IFERROR(IF(INPUTS!$E$76="Main",AY10/(AZ10*BA10),AY10/(BB10*BC10)),0)</f>
        <v>0</v>
      </c>
      <c r="BF10" s="852">
        <f t="shared" si="12"/>
        <v>0</v>
      </c>
      <c r="BG10" s="870">
        <f t="shared" si="13"/>
        <v>0</v>
      </c>
      <c r="BH10" s="852">
        <f t="shared" si="14"/>
        <v>0</v>
      </c>
      <c r="BI10" s="852">
        <f t="shared" si="15"/>
        <v>0</v>
      </c>
      <c r="BJ10" s="756">
        <f>IFERROR(Feed!F104*Feed!J40,0)</f>
        <v>0</v>
      </c>
      <c r="BK10" s="579">
        <f>IFERROR(Feed!G104*Feed!S40,0)</f>
        <v>0</v>
      </c>
      <c r="BL10" s="254">
        <f>VLOOKUP(INPUTS!$D$77,'Crop parameters'!$A$3:$Z$39,4,FALSE)*1000</f>
        <v>22050</v>
      </c>
      <c r="BM10" s="497">
        <f>INPUTS!$E$92</f>
        <v>1</v>
      </c>
      <c r="BN10" s="254">
        <f>VLOOKUP(INPUTS!$D$77,'Crop parameters'!$A$3:$Z$39,8,FALSE)*1000</f>
        <v>0</v>
      </c>
      <c r="BO10" s="497">
        <f>IF(INPUTS!$E$77="Residue",INPUTS!$F$92,0)</f>
        <v>0</v>
      </c>
      <c r="BP10" s="497">
        <f>IFERROR(IF(INPUTS!$E$77="Main",BJ10/(BL10*BM10),BJ10/(BN10*BO10)),0)</f>
        <v>0</v>
      </c>
      <c r="BQ10" s="497">
        <f>IFERROR(IF(INPUTS!$E$77="Main",BK10/(BL10*BM10),BK10/(BN10*BO10)),0)</f>
        <v>0</v>
      </c>
      <c r="BR10" s="852">
        <f t="shared" si="16"/>
        <v>0</v>
      </c>
      <c r="BS10" s="870">
        <f t="shared" si="17"/>
        <v>0</v>
      </c>
      <c r="BT10" s="852">
        <f t="shared" si="18"/>
        <v>0</v>
      </c>
      <c r="BU10" s="852">
        <f t="shared" si="19"/>
        <v>0</v>
      </c>
      <c r="BV10" s="756">
        <f>IFERROR(Feed!F104*Feed!K40,0)</f>
        <v>0</v>
      </c>
      <c r="BW10" s="579">
        <f>IFERROR(Feed!G104*Feed!T40,0)</f>
        <v>0</v>
      </c>
      <c r="BX10" s="254">
        <f>VLOOKUP(INPUTS!$D$78,'Crop parameters'!$A$3:$Z$39,4,FALSE)*1000</f>
        <v>0</v>
      </c>
      <c r="BY10" s="497">
        <f>INPUTS!$E$93</f>
        <v>0</v>
      </c>
      <c r="BZ10" s="254">
        <f>VLOOKUP(INPUTS!$D$78,'Crop parameters'!$A$3:$Z$39,8,FALSE)*1000</f>
        <v>0</v>
      </c>
      <c r="CA10" s="497">
        <f>IF(INPUTS!$E$78="Residue",INPUTS!$F$93,0)</f>
        <v>0</v>
      </c>
      <c r="CB10" s="497">
        <f>IFERROR(IF(INPUTS!$E$78="Main",BV10/(BX10*BY10),BV10/(BZ10*CA10)),0)</f>
        <v>0</v>
      </c>
      <c r="CC10" s="497">
        <f>IFERROR(IF(INPUTS!$E$78="Main",BW10/(BX10*BY10),BW10/(BZ10*CA10)),0)</f>
        <v>0</v>
      </c>
      <c r="CD10" s="852">
        <f t="shared" si="20"/>
        <v>0</v>
      </c>
      <c r="CE10" s="870">
        <f t="shared" si="21"/>
        <v>0</v>
      </c>
      <c r="CF10" s="852">
        <f t="shared" si="22"/>
        <v>0</v>
      </c>
      <c r="CG10" s="573">
        <f t="shared" si="23"/>
        <v>0</v>
      </c>
      <c r="CH10" s="758">
        <f t="shared" si="24"/>
        <v>0</v>
      </c>
      <c r="CI10" s="573">
        <f t="shared" si="25"/>
        <v>0</v>
      </c>
    </row>
    <row r="11" spans="1:91">
      <c r="A11" s="569" t="str">
        <f>'Livestock parameters'!A9</f>
        <v>Steers/heifers improved</v>
      </c>
      <c r="B11" s="756">
        <f>IFERROR(Feed!F105*Feed!E47,0)</f>
        <v>273.50927654895872</v>
      </c>
      <c r="C11" s="579">
        <f>IFERROR(Feed!G105*Feed!N47,0)</f>
        <v>238.2864580629473</v>
      </c>
      <c r="D11" s="254">
        <f>VLOOKUP(INPUTS!$D$72,'Crop parameters'!$A$3:$Z$39,4,FALSE)*1000</f>
        <v>0</v>
      </c>
      <c r="E11" s="497">
        <f>INPUTS!$E$87</f>
        <v>0</v>
      </c>
      <c r="F11" s="254">
        <f>VLOOKUP(INPUTS!$D$72,'Crop parameters'!$A$3:$Z$39,8,FALSE)*1000</f>
        <v>0</v>
      </c>
      <c r="G11" s="497">
        <f>IF(INPUTS!$E$72="Residue",INPUTS!$F$87,0)</f>
        <v>0</v>
      </c>
      <c r="H11" s="497">
        <f>IFERROR(IF(INPUTS!$E$72="Main",B11/(D11*E11),B11/(F11*G11)),0)</f>
        <v>0</v>
      </c>
      <c r="I11" s="497">
        <f>IFERROR(IF(INPUTS!$E$72="Main",C11/(D11*E11),C11/(F11*G11)),0)</f>
        <v>0</v>
      </c>
      <c r="J11" s="852">
        <f t="shared" si="0"/>
        <v>0</v>
      </c>
      <c r="K11" s="870">
        <f t="shared" si="1"/>
        <v>0</v>
      </c>
      <c r="L11" s="852">
        <f t="shared" si="26"/>
        <v>0</v>
      </c>
      <c r="M11" s="852">
        <f t="shared" si="27"/>
        <v>0</v>
      </c>
      <c r="N11" s="756">
        <f>IFERROR(Feed!F105*Feed!F47,0)</f>
        <v>635.63555869978006</v>
      </c>
      <c r="O11" s="579">
        <f>IFERROR(Feed!G105*Feed!O47,0)</f>
        <v>192.28393352023943</v>
      </c>
      <c r="P11" s="254">
        <f>VLOOKUP(INPUTS!$D$73,'Crop parameters'!$A$3:$Z$39,4,FALSE)*1000</f>
        <v>13049.999999999998</v>
      </c>
      <c r="Q11" s="497">
        <f>INPUTS!$E$88</f>
        <v>1</v>
      </c>
      <c r="R11" s="254">
        <f>VLOOKUP(INPUTS!$D$73,'Crop parameters'!$A$3:$Z$39,8,FALSE)*1000</f>
        <v>0</v>
      </c>
      <c r="S11" s="497">
        <f>IF(INPUTS!$E$73="Residue",INPUTS!$F$88,0)</f>
        <v>0</v>
      </c>
      <c r="T11" s="497">
        <f>IFERROR(IF(INPUTS!$E$73="Main",N11/(P11*Q11),N11/(R11*S11)),0)</f>
        <v>4.870770564749273E-2</v>
      </c>
      <c r="U11" s="497">
        <f>IFERROR(IF(INPUTS!$E$73="Main",O11/(P11*Q11),O11/(R11*S11)),0)</f>
        <v>1.4734401036033675E-2</v>
      </c>
      <c r="V11" s="852">
        <f t="shared" si="2"/>
        <v>0</v>
      </c>
      <c r="W11" s="870">
        <f t="shared" si="3"/>
        <v>0</v>
      </c>
      <c r="X11" s="852">
        <f t="shared" si="4"/>
        <v>4.870770564749273E-2</v>
      </c>
      <c r="Y11" s="852">
        <f t="shared" si="5"/>
        <v>1.4734401036033675E-2</v>
      </c>
      <c r="Z11" s="756">
        <f>IFERROR(Feed!F105*Feed!G47,0)</f>
        <v>105.75692026559736</v>
      </c>
      <c r="AA11" s="579">
        <f>IFERROR(Feed!G105*Feed!P47,0)</f>
        <v>431.89420523909189</v>
      </c>
      <c r="AB11" s="254">
        <f>VLOOKUP(INPUTS!$D$74,'Crop parameters'!$A$3:$Z$39,4,FALSE)*1000</f>
        <v>1299</v>
      </c>
      <c r="AC11" s="497">
        <f>INPUTS!$E$89</f>
        <v>0.4</v>
      </c>
      <c r="AD11" s="254">
        <f>VLOOKUP(INPUTS!$D$74,'Crop parameters'!$A$3:$Z$39,8,FALSE)*1000</f>
        <v>3582.4421538461534</v>
      </c>
      <c r="AE11" s="497">
        <f>IF(INPUTS!$E$74="Residue",INPUTS!$F$89,0)</f>
        <v>0.6</v>
      </c>
      <c r="AF11" s="497">
        <f>IFERROR(IF(INPUTS!$E$74="Main",Z11/(AB11*AC11),Z11/(AD11*AE11)),0)</f>
        <v>4.9201501714901126E-2</v>
      </c>
      <c r="AG11" s="497">
        <f>IFERROR(IF(INPUTS!$E$74="Main",AA11/(AB11*AC11),AA11/(AD11*AE11)),0)</f>
        <v>0.20093099748328808</v>
      </c>
      <c r="AH11" s="852">
        <f t="shared" si="28"/>
        <v>9.5782970782849856E-3</v>
      </c>
      <c r="AI11" s="870">
        <f t="shared" si="29"/>
        <v>3.9116220421137882E-2</v>
      </c>
      <c r="AJ11" s="852">
        <f t="shared" si="6"/>
        <v>3.9623204636616144E-2</v>
      </c>
      <c r="AK11" s="852">
        <f t="shared" si="7"/>
        <v>0.16181477706215019</v>
      </c>
      <c r="AL11" s="856">
        <f>IFERROR(Feed!F105*Feed!H47,0)</f>
        <v>66.857823156412138</v>
      </c>
      <c r="AM11" s="579">
        <f>IFERROR(Feed!G105*Feed!Q47,0)</f>
        <v>218.42925322436835</v>
      </c>
      <c r="AN11" s="254">
        <f>VLOOKUP(INPUTS!$D$75,'Crop parameters'!$A$3:$Z$39,4,FALSE)*1000</f>
        <v>19800</v>
      </c>
      <c r="AO11" s="497">
        <f>INPUTS!$E$90</f>
        <v>1</v>
      </c>
      <c r="AP11" s="254">
        <f>VLOOKUP(INPUTS!$D$75,'Crop parameters'!$A$3:$Z$39,8,FALSE)*1000</f>
        <v>0</v>
      </c>
      <c r="AQ11" s="497">
        <f>IF(INPUTS!$E$75="Residue",INPUTS!$F$90,0)</f>
        <v>0</v>
      </c>
      <c r="AR11" s="497">
        <f>IFERROR(IF(INPUTS!$E$75="Main",AL11/(AN11*AO11),AL11/(AP11*AQ11)),0)</f>
        <v>3.3766577351723301E-3</v>
      </c>
      <c r="AS11" s="497">
        <f>IFERROR(IF(INPUTS!$E$75="Main",AM11/(AN11*AO11),AM11/(AP11*AQ11)),0)</f>
        <v>1.1031780465877189E-2</v>
      </c>
      <c r="AT11" s="852">
        <f t="shared" si="8"/>
        <v>0</v>
      </c>
      <c r="AU11" s="870">
        <f t="shared" si="9"/>
        <v>0</v>
      </c>
      <c r="AV11" s="852">
        <f t="shared" si="10"/>
        <v>3.3766577351723301E-3</v>
      </c>
      <c r="AW11" s="852">
        <f t="shared" si="11"/>
        <v>1.1031780465877189E-2</v>
      </c>
      <c r="AX11" s="756">
        <f>IFERROR(Feed!F105*Feed!I47,0)</f>
        <v>559.96465885456803</v>
      </c>
      <c r="AY11" s="579">
        <f>IFERROR(Feed!G105*Feed!R47,0)</f>
        <v>156.57406015219493</v>
      </c>
      <c r="AZ11" s="254">
        <f>VLOOKUP(INPUTS!$D$76,'Crop parameters'!$A$3:$Z$39,4,FALSE)*1000</f>
        <v>13500</v>
      </c>
      <c r="BA11" s="497">
        <f>INPUTS!$E$91</f>
        <v>1</v>
      </c>
      <c r="BB11" s="254">
        <f>VLOOKUP(INPUTS!$D$76,'Crop parameters'!$A$3:$Z$39,8,FALSE)*1000</f>
        <v>0</v>
      </c>
      <c r="BC11" s="497">
        <f>IF(INPUTS!$E$76="Residue",INPUTS!$F$91,0)</f>
        <v>0</v>
      </c>
      <c r="BD11" s="497">
        <f>IFERROR(IF(INPUTS!$E$76="Main",AX11/(AZ11*BA11),AX11/(BB11*BC11)),0)</f>
        <v>4.1478863618856894E-2</v>
      </c>
      <c r="BE11" s="497">
        <f>IFERROR(IF(INPUTS!$E$76="Main",AY11/(AZ11*BA11),AY11/(BB11*BC11)),0)</f>
        <v>1.1598078529792217E-2</v>
      </c>
      <c r="BF11" s="852">
        <f t="shared" si="12"/>
        <v>0</v>
      </c>
      <c r="BG11" s="870">
        <f t="shared" si="13"/>
        <v>0</v>
      </c>
      <c r="BH11" s="852">
        <f t="shared" si="14"/>
        <v>4.1478863618856894E-2</v>
      </c>
      <c r="BI11" s="852">
        <f t="shared" si="15"/>
        <v>1.1598078529792217E-2</v>
      </c>
      <c r="BJ11" s="756">
        <f>IFERROR(Feed!F105*Feed!J47,0)</f>
        <v>136.75463827447936</v>
      </c>
      <c r="BK11" s="579">
        <f>IFERROR(Feed!G105*Feed!S47,0)</f>
        <v>39.714409677157882</v>
      </c>
      <c r="BL11" s="254">
        <f>VLOOKUP(INPUTS!$D$77,'Crop parameters'!$A$3:$Z$39,4,FALSE)*1000</f>
        <v>22050</v>
      </c>
      <c r="BM11" s="497">
        <f>INPUTS!$E$92</f>
        <v>1</v>
      </c>
      <c r="BN11" s="254">
        <f>VLOOKUP(INPUTS!$D$77,'Crop parameters'!$A$3:$Z$39,8,FALSE)*1000</f>
        <v>0</v>
      </c>
      <c r="BO11" s="497">
        <f>IF(INPUTS!$E$77="Residue",INPUTS!$F$92,0)</f>
        <v>0</v>
      </c>
      <c r="BP11" s="497">
        <f>IFERROR(IF(INPUTS!$E$77="Main",BJ11/(BL11*BM11),BJ11/(BN11*BO11)),0)</f>
        <v>6.2020244115410144E-3</v>
      </c>
      <c r="BQ11" s="497">
        <f>IFERROR(IF(INPUTS!$E$77="Main",BK11/(BL11*BM11),BK11/(BN11*BO11)),0)</f>
        <v>1.8011070148370922E-3</v>
      </c>
      <c r="BR11" s="852">
        <f t="shared" si="16"/>
        <v>0</v>
      </c>
      <c r="BS11" s="870">
        <f t="shared" si="17"/>
        <v>0</v>
      </c>
      <c r="BT11" s="852">
        <f t="shared" si="18"/>
        <v>6.2020244115410144E-3</v>
      </c>
      <c r="BU11" s="852">
        <f t="shared" si="19"/>
        <v>1.8011070148370922E-3</v>
      </c>
      <c r="BV11" s="756">
        <f>IFERROR(Feed!F105*Feed!K47,0)</f>
        <v>0</v>
      </c>
      <c r="BW11" s="579">
        <f>IFERROR(Feed!G105*Feed!T47,0)</f>
        <v>0</v>
      </c>
      <c r="BX11" s="254">
        <f>VLOOKUP(INPUTS!$D$78,'Crop parameters'!$A$3:$Z$39,4,FALSE)*1000</f>
        <v>0</v>
      </c>
      <c r="BY11" s="497">
        <f>INPUTS!$E$93</f>
        <v>0</v>
      </c>
      <c r="BZ11" s="254">
        <f>VLOOKUP(INPUTS!$D$78,'Crop parameters'!$A$3:$Z$39,8,FALSE)*1000</f>
        <v>0</v>
      </c>
      <c r="CA11" s="497">
        <f>IF(INPUTS!$E$78="Residue",INPUTS!$F$93,0)</f>
        <v>0</v>
      </c>
      <c r="CB11" s="497">
        <f>IFERROR(IF(INPUTS!$E$78="Main",BV11/(BX11*BY11),BV11/(BZ11*CA11)),0)</f>
        <v>0</v>
      </c>
      <c r="CC11" s="497">
        <f>IFERROR(IF(INPUTS!$E$78="Main",BW11/(BX11*BY11),BW11/(BZ11*CA11)),0)</f>
        <v>0</v>
      </c>
      <c r="CD11" s="852">
        <f t="shared" si="20"/>
        <v>0</v>
      </c>
      <c r="CE11" s="870">
        <f t="shared" si="21"/>
        <v>0</v>
      </c>
      <c r="CF11" s="852">
        <f t="shared" si="22"/>
        <v>0</v>
      </c>
      <c r="CG11" s="573">
        <f t="shared" si="23"/>
        <v>0</v>
      </c>
      <c r="CH11" s="758">
        <f t="shared" si="24"/>
        <v>0.13938845604967912</v>
      </c>
      <c r="CI11" s="573">
        <f t="shared" si="25"/>
        <v>0.20098014410869039</v>
      </c>
    </row>
    <row r="12" spans="1:91">
      <c r="A12" s="569" t="str">
        <f>'Livestock parameters'!A10</f>
        <v>Calves improved</v>
      </c>
      <c r="B12" s="756">
        <f>IFERROR(Feed!F106*Feed!E54,0)</f>
        <v>0</v>
      </c>
      <c r="C12" s="579">
        <f>IFERROR(Feed!G106*Feed!N54,0)</f>
        <v>0</v>
      </c>
      <c r="D12" s="254">
        <f>VLOOKUP(INPUTS!$D$72,'Crop parameters'!$A$3:$Z$39,4,FALSE)*1000</f>
        <v>0</v>
      </c>
      <c r="E12" s="497">
        <f>INPUTS!$E$87</f>
        <v>0</v>
      </c>
      <c r="F12" s="254">
        <f>VLOOKUP(INPUTS!$D$72,'Crop parameters'!$A$3:$Z$39,8,FALSE)*1000</f>
        <v>0</v>
      </c>
      <c r="G12" s="497">
        <f>IF(INPUTS!$E$72="Residue",INPUTS!$F$87,0)</f>
        <v>0</v>
      </c>
      <c r="H12" s="497">
        <f>IFERROR(IF(INPUTS!$E$72="Main",B12/(D12*E12),B12/(F12*G12)),0)</f>
        <v>0</v>
      </c>
      <c r="I12" s="497">
        <f>IFERROR(IF(INPUTS!$E$72="Main",C12/(D12*E12),C12/(F12*G12)),0)</f>
        <v>0</v>
      </c>
      <c r="J12" s="852">
        <f t="shared" si="0"/>
        <v>0</v>
      </c>
      <c r="K12" s="870">
        <f t="shared" si="1"/>
        <v>0</v>
      </c>
      <c r="L12" s="852">
        <f t="shared" si="26"/>
        <v>0</v>
      </c>
      <c r="M12" s="852">
        <f t="shared" si="27"/>
        <v>0</v>
      </c>
      <c r="N12" s="756">
        <f>IFERROR(Feed!F106*Feed!F54,0)</f>
        <v>0</v>
      </c>
      <c r="O12" s="579">
        <f>IFERROR(Feed!G106*Feed!O54,0)</f>
        <v>0</v>
      </c>
      <c r="P12" s="254">
        <f>VLOOKUP(INPUTS!$D$73,'Crop parameters'!$A$3:$Z$39,4,FALSE)*1000</f>
        <v>13049.999999999998</v>
      </c>
      <c r="Q12" s="497">
        <f>INPUTS!$E$88</f>
        <v>1</v>
      </c>
      <c r="R12" s="254">
        <f>VLOOKUP(INPUTS!$D$73,'Crop parameters'!$A$3:$Z$39,8,FALSE)*1000</f>
        <v>0</v>
      </c>
      <c r="S12" s="497">
        <f>IF(INPUTS!$E$73="Residue",INPUTS!$F$88,0)</f>
        <v>0</v>
      </c>
      <c r="T12" s="497">
        <f>IFERROR(IF(INPUTS!$E$73="Main",N12/(P12*Q12),N12/(R12*S12)),0)</f>
        <v>0</v>
      </c>
      <c r="U12" s="497">
        <f>IFERROR(IF(INPUTS!$E$73="Main",O12/(P12*Q12),O12/(R12*S12)),0)</f>
        <v>0</v>
      </c>
      <c r="V12" s="852">
        <f t="shared" si="2"/>
        <v>0</v>
      </c>
      <c r="W12" s="870">
        <f t="shared" si="3"/>
        <v>0</v>
      </c>
      <c r="X12" s="852">
        <f t="shared" si="4"/>
        <v>0</v>
      </c>
      <c r="Y12" s="852">
        <f t="shared" si="5"/>
        <v>0</v>
      </c>
      <c r="Z12" s="756">
        <f>IFERROR(Feed!F106*Feed!G54,0)</f>
        <v>0</v>
      </c>
      <c r="AA12" s="579">
        <f>IFERROR(Feed!G106*Feed!P54,0)</f>
        <v>0</v>
      </c>
      <c r="AB12" s="254">
        <f>VLOOKUP(INPUTS!$D$74,'Crop parameters'!$A$3:$Z$39,4,FALSE)*1000</f>
        <v>1299</v>
      </c>
      <c r="AC12" s="497">
        <f>INPUTS!$E$89</f>
        <v>0.4</v>
      </c>
      <c r="AD12" s="254">
        <f>VLOOKUP(INPUTS!$D$74,'Crop parameters'!$A$3:$Z$39,8,FALSE)*1000</f>
        <v>3582.4421538461534</v>
      </c>
      <c r="AE12" s="497">
        <f>IF(INPUTS!$E$74="Residue",INPUTS!$F$89,0)</f>
        <v>0.6</v>
      </c>
      <c r="AF12" s="497">
        <f>IFERROR(IF(INPUTS!$E$74="Main",Z12/(AB12*AC12),Z12/(AD12*AE12)),0)</f>
        <v>0</v>
      </c>
      <c r="AG12" s="497">
        <f>IFERROR(IF(INPUTS!$E$74="Main",AA12/(AB12*AC12),AA12/(AD12*AE12)),0)</f>
        <v>0</v>
      </c>
      <c r="AH12" s="852">
        <f t="shared" si="28"/>
        <v>0</v>
      </c>
      <c r="AI12" s="870">
        <f t="shared" si="29"/>
        <v>0</v>
      </c>
      <c r="AJ12" s="852">
        <f t="shared" si="6"/>
        <v>0</v>
      </c>
      <c r="AK12" s="852">
        <f t="shared" si="7"/>
        <v>0</v>
      </c>
      <c r="AL12" s="856">
        <f>IFERROR(Feed!F106*Feed!H54,0)</f>
        <v>0</v>
      </c>
      <c r="AM12" s="579">
        <f>IFERROR(Feed!G106*Feed!Q54,0)</f>
        <v>0</v>
      </c>
      <c r="AN12" s="254">
        <f>VLOOKUP(INPUTS!$D$75,'Crop parameters'!$A$3:$Z$39,4,FALSE)*1000</f>
        <v>19800</v>
      </c>
      <c r="AO12" s="497">
        <f>INPUTS!$E$90</f>
        <v>1</v>
      </c>
      <c r="AP12" s="254">
        <f>VLOOKUP(INPUTS!$D$75,'Crop parameters'!$A$3:$Z$39,8,FALSE)*1000</f>
        <v>0</v>
      </c>
      <c r="AQ12" s="497">
        <f>IF(INPUTS!$E$75="Residue",INPUTS!$F$90,0)</f>
        <v>0</v>
      </c>
      <c r="AR12" s="497">
        <f>IFERROR(IF(INPUTS!$E$75="Main",AL12/(AN12*AO12),AL12/(AP12*AQ12)),0)</f>
        <v>0</v>
      </c>
      <c r="AS12" s="497">
        <f>IFERROR(IF(INPUTS!$E$75="Main",AM12/(AN12*AO12),AM12/(AP12*AQ12)),0)</f>
        <v>0</v>
      </c>
      <c r="AT12" s="852">
        <f t="shared" si="8"/>
        <v>0</v>
      </c>
      <c r="AU12" s="870">
        <f t="shared" si="9"/>
        <v>0</v>
      </c>
      <c r="AV12" s="852">
        <f t="shared" si="10"/>
        <v>0</v>
      </c>
      <c r="AW12" s="852">
        <f t="shared" si="11"/>
        <v>0</v>
      </c>
      <c r="AX12" s="756">
        <f>IFERROR(Feed!F106*Feed!I54,0)</f>
        <v>0</v>
      </c>
      <c r="AY12" s="579">
        <f>IFERROR(Feed!G106*Feed!R54,0)</f>
        <v>0</v>
      </c>
      <c r="AZ12" s="254">
        <f>VLOOKUP(INPUTS!$D$76,'Crop parameters'!$A$3:$Z$39,4,FALSE)*1000</f>
        <v>13500</v>
      </c>
      <c r="BA12" s="497">
        <f>INPUTS!$E$91</f>
        <v>1</v>
      </c>
      <c r="BB12" s="254">
        <f>VLOOKUP(INPUTS!$D$76,'Crop parameters'!$A$3:$Z$39,8,FALSE)*1000</f>
        <v>0</v>
      </c>
      <c r="BC12" s="497">
        <f>IF(INPUTS!$E$76="Residue",INPUTS!$F$91,0)</f>
        <v>0</v>
      </c>
      <c r="BD12" s="497">
        <f>IFERROR(IF(INPUTS!$E$76="Main",AX12/(AZ12*BA12),AX12/(BB12*BC12)),0)</f>
        <v>0</v>
      </c>
      <c r="BE12" s="497">
        <f>IFERROR(IF(INPUTS!$E$76="Main",AY12/(AZ12*BA12),AY12/(BB12*BC12)),0)</f>
        <v>0</v>
      </c>
      <c r="BF12" s="852">
        <f t="shared" si="12"/>
        <v>0</v>
      </c>
      <c r="BG12" s="870">
        <f t="shared" si="13"/>
        <v>0</v>
      </c>
      <c r="BH12" s="852">
        <f t="shared" si="14"/>
        <v>0</v>
      </c>
      <c r="BI12" s="852">
        <f t="shared" si="15"/>
        <v>0</v>
      </c>
      <c r="BJ12" s="756">
        <f>IFERROR(Feed!F106*Feed!J54,0)</f>
        <v>0</v>
      </c>
      <c r="BK12" s="579">
        <f>IFERROR(Feed!G106*Feed!S54,0)</f>
        <v>0</v>
      </c>
      <c r="BL12" s="254">
        <f>VLOOKUP(INPUTS!$D$77,'Crop parameters'!$A$3:$Z$39,4,FALSE)*1000</f>
        <v>22050</v>
      </c>
      <c r="BM12" s="497">
        <f>INPUTS!$E$92</f>
        <v>1</v>
      </c>
      <c r="BN12" s="254">
        <f>VLOOKUP(INPUTS!$D$77,'Crop parameters'!$A$3:$Z$39,8,FALSE)*1000</f>
        <v>0</v>
      </c>
      <c r="BO12" s="497">
        <f>IF(INPUTS!$E$77="Residue",INPUTS!$F$92,0)</f>
        <v>0</v>
      </c>
      <c r="BP12" s="497">
        <f>IFERROR(IF(INPUTS!$E$77="Main",BJ12/(BL12*BM12),BJ12/(BN12*BO12)),0)</f>
        <v>0</v>
      </c>
      <c r="BQ12" s="497">
        <f>IFERROR(IF(INPUTS!$E$77="Main",BK12/(BL12*BM12),BK12/(BN12*BO12)),0)</f>
        <v>0</v>
      </c>
      <c r="BR12" s="852">
        <f t="shared" si="16"/>
        <v>0</v>
      </c>
      <c r="BS12" s="870">
        <f t="shared" si="17"/>
        <v>0</v>
      </c>
      <c r="BT12" s="852">
        <f t="shared" si="18"/>
        <v>0</v>
      </c>
      <c r="BU12" s="852">
        <f t="shared" si="19"/>
        <v>0</v>
      </c>
      <c r="BV12" s="756">
        <f>IFERROR(Feed!F106*Feed!K54,0)</f>
        <v>0</v>
      </c>
      <c r="BW12" s="579">
        <f>IFERROR(Feed!G106*Feed!T54,0)</f>
        <v>0</v>
      </c>
      <c r="BX12" s="254">
        <f>VLOOKUP(INPUTS!$D$78,'Crop parameters'!$A$3:$Z$39,4,FALSE)*1000</f>
        <v>0</v>
      </c>
      <c r="BY12" s="497">
        <f>INPUTS!$E$93</f>
        <v>0</v>
      </c>
      <c r="BZ12" s="254">
        <f>VLOOKUP(INPUTS!$D$78,'Crop parameters'!$A$3:$Z$39,8,FALSE)*1000</f>
        <v>0</v>
      </c>
      <c r="CA12" s="497">
        <f>IF(INPUTS!$E$78="Residue",INPUTS!$F$93,0)</f>
        <v>0</v>
      </c>
      <c r="CB12" s="497">
        <f>IFERROR(IF(INPUTS!$E$78="Main",BV12/(BX12*BY12),BV12/(BZ12*CA12)),0)</f>
        <v>0</v>
      </c>
      <c r="CC12" s="497">
        <f>IFERROR(IF(INPUTS!$E$78="Main",BW12/(BX12*BY12),BW12/(BZ12*CA12)),0)</f>
        <v>0</v>
      </c>
      <c r="CD12" s="852">
        <f t="shared" si="20"/>
        <v>0</v>
      </c>
      <c r="CE12" s="870">
        <f t="shared" si="21"/>
        <v>0</v>
      </c>
      <c r="CF12" s="852">
        <f t="shared" si="22"/>
        <v>0</v>
      </c>
      <c r="CG12" s="573">
        <f t="shared" si="23"/>
        <v>0</v>
      </c>
      <c r="CH12" s="758">
        <f t="shared" si="24"/>
        <v>0</v>
      </c>
      <c r="CI12" s="573">
        <f t="shared" si="25"/>
        <v>0</v>
      </c>
    </row>
    <row r="13" spans="1:91">
      <c r="A13" s="569" t="str">
        <f>'Livestock parameters'!A11</f>
        <v>Sheep</v>
      </c>
      <c r="B13" s="756">
        <f>IFERROR(Feed!F107*Feed!E61,0)</f>
        <v>0</v>
      </c>
      <c r="C13" s="579">
        <f>IFERROR(Feed!G107*Feed!N61,0)</f>
        <v>0</v>
      </c>
      <c r="D13" s="254">
        <f>VLOOKUP(INPUTS!$D$72,'Crop parameters'!$A$3:$Z$39,4,FALSE)*1000</f>
        <v>0</v>
      </c>
      <c r="E13" s="497">
        <f>INPUTS!$E$87</f>
        <v>0</v>
      </c>
      <c r="F13" s="254">
        <f>VLOOKUP(INPUTS!$D$72,'Crop parameters'!$A$3:$Z$39,8,FALSE)*1000</f>
        <v>0</v>
      </c>
      <c r="G13" s="497">
        <f>IF(INPUTS!$E$72="Residue",INPUTS!$F$87,0)</f>
        <v>0</v>
      </c>
      <c r="H13" s="497">
        <f>IFERROR(IF(INPUTS!$E$72="Main",B13/(D13*E13),B13/(F13*G13)),0)</f>
        <v>0</v>
      </c>
      <c r="I13" s="497">
        <f>IFERROR(IF(INPUTS!$E$72="Main",C13/(D13*E13),C13/(F13*G13)),0)</f>
        <v>0</v>
      </c>
      <c r="J13" s="852">
        <f t="shared" si="0"/>
        <v>0</v>
      </c>
      <c r="K13" s="870">
        <f t="shared" si="1"/>
        <v>0</v>
      </c>
      <c r="L13" s="852">
        <f t="shared" si="26"/>
        <v>0</v>
      </c>
      <c r="M13" s="852">
        <f t="shared" si="27"/>
        <v>0</v>
      </c>
      <c r="N13" s="756">
        <f>IFERROR(Feed!F107*Feed!F61,0)</f>
        <v>0</v>
      </c>
      <c r="O13" s="579">
        <f>IFERROR(Feed!G107*Feed!O61,0)</f>
        <v>0</v>
      </c>
      <c r="P13" s="254">
        <f>VLOOKUP(INPUTS!$D$73,'Crop parameters'!$A$3:$Z$39,4,FALSE)*1000</f>
        <v>13049.999999999998</v>
      </c>
      <c r="Q13" s="497">
        <f>INPUTS!$E$88</f>
        <v>1</v>
      </c>
      <c r="R13" s="254">
        <f>VLOOKUP(INPUTS!$D$73,'Crop parameters'!$A$3:$Z$39,8,FALSE)*1000</f>
        <v>0</v>
      </c>
      <c r="S13" s="497">
        <f>IF(INPUTS!$E$73="Residue",INPUTS!$F$88,0)</f>
        <v>0</v>
      </c>
      <c r="T13" s="497">
        <f>IFERROR(IF(INPUTS!$E$73="Main",N13/(P13*Q13),N13/(R13*S13)),0)</f>
        <v>0</v>
      </c>
      <c r="U13" s="497">
        <f>IFERROR(IF(INPUTS!$E$73="Main",O13/(P13*Q13),O13/(R13*S13)),0)</f>
        <v>0</v>
      </c>
      <c r="V13" s="852">
        <f t="shared" si="2"/>
        <v>0</v>
      </c>
      <c r="W13" s="870">
        <f t="shared" si="3"/>
        <v>0</v>
      </c>
      <c r="X13" s="852">
        <f t="shared" si="4"/>
        <v>0</v>
      </c>
      <c r="Y13" s="852">
        <f t="shared" si="5"/>
        <v>0</v>
      </c>
      <c r="Z13" s="756">
        <f>IFERROR(Feed!F107*Feed!G61,0)</f>
        <v>0</v>
      </c>
      <c r="AA13" s="579">
        <f>IFERROR(Feed!G107*Feed!P61,0)</f>
        <v>0</v>
      </c>
      <c r="AB13" s="254">
        <f>VLOOKUP(INPUTS!$D$74,'Crop parameters'!$A$3:$Z$39,4,FALSE)*1000</f>
        <v>1299</v>
      </c>
      <c r="AC13" s="497">
        <f>INPUTS!$E$89</f>
        <v>0.4</v>
      </c>
      <c r="AD13" s="254">
        <f>VLOOKUP(INPUTS!$D$74,'Crop parameters'!$A$3:$Z$39,8,FALSE)*1000</f>
        <v>3582.4421538461534</v>
      </c>
      <c r="AE13" s="497">
        <f>IF(INPUTS!$E$74="Residue",INPUTS!$F$89,0)</f>
        <v>0.6</v>
      </c>
      <c r="AF13" s="497">
        <f>IFERROR(IF(INPUTS!$E$74="Main",Z13/(AB13*AC13),Z13/(AD13*AE13)),0)</f>
        <v>0</v>
      </c>
      <c r="AG13" s="497">
        <f>IFERROR(IF(INPUTS!$E$74="Main",AA13/(AB13*AC13),AA13/(AD13*AE13)),0)</f>
        <v>0</v>
      </c>
      <c r="AH13" s="852">
        <f t="shared" si="28"/>
        <v>0</v>
      </c>
      <c r="AI13" s="870">
        <f t="shared" si="29"/>
        <v>0</v>
      </c>
      <c r="AJ13" s="852">
        <f t="shared" si="6"/>
        <v>0</v>
      </c>
      <c r="AK13" s="852">
        <f t="shared" si="7"/>
        <v>0</v>
      </c>
      <c r="AL13" s="856">
        <f>IFERROR(Feed!F107*Feed!H61,0)</f>
        <v>0</v>
      </c>
      <c r="AM13" s="579">
        <f>IFERROR(Feed!G107*Feed!Q61,0)</f>
        <v>0</v>
      </c>
      <c r="AN13" s="254">
        <f>VLOOKUP(INPUTS!$D$75,'Crop parameters'!$A$3:$Z$39,4,FALSE)*1000</f>
        <v>19800</v>
      </c>
      <c r="AO13" s="497">
        <f>INPUTS!$E$90</f>
        <v>1</v>
      </c>
      <c r="AP13" s="254">
        <f>VLOOKUP(INPUTS!$D$75,'Crop parameters'!$A$3:$Z$39,8,FALSE)*1000</f>
        <v>0</v>
      </c>
      <c r="AQ13" s="497">
        <f>IF(INPUTS!$E$75="Residue",INPUTS!$F$90,0)</f>
        <v>0</v>
      </c>
      <c r="AR13" s="497">
        <f>IFERROR(IF(INPUTS!$E$75="Main",AL13/(AN13*AO13),AL13/(AP13*AQ13)),0)</f>
        <v>0</v>
      </c>
      <c r="AS13" s="497">
        <f>IFERROR(IF(INPUTS!$E$75="Main",AM13/(AN13*AO13),AM13/(AP13*AQ13)),0)</f>
        <v>0</v>
      </c>
      <c r="AT13" s="852">
        <f t="shared" si="8"/>
        <v>0</v>
      </c>
      <c r="AU13" s="870">
        <f t="shared" si="9"/>
        <v>0</v>
      </c>
      <c r="AV13" s="852">
        <f t="shared" si="10"/>
        <v>0</v>
      </c>
      <c r="AW13" s="852">
        <f t="shared" si="11"/>
        <v>0</v>
      </c>
      <c r="AX13" s="756">
        <f>IFERROR(Feed!F107*Feed!I61,0)</f>
        <v>0</v>
      </c>
      <c r="AY13" s="579">
        <f>IFERROR(Feed!G107*Feed!R61,0)</f>
        <v>0</v>
      </c>
      <c r="AZ13" s="254">
        <f>VLOOKUP(INPUTS!$D$76,'Crop parameters'!$A$3:$Z$39,4,FALSE)*1000</f>
        <v>13500</v>
      </c>
      <c r="BA13" s="497">
        <f>INPUTS!$E$91</f>
        <v>1</v>
      </c>
      <c r="BB13" s="254">
        <f>VLOOKUP(INPUTS!$D$76,'Crop parameters'!$A$3:$Z$39,8,FALSE)*1000</f>
        <v>0</v>
      </c>
      <c r="BC13" s="497">
        <f>IF(INPUTS!$E$76="Residue",INPUTS!$F$91,0)</f>
        <v>0</v>
      </c>
      <c r="BD13" s="497">
        <f>IFERROR(IF(INPUTS!$E$76="Main",AX13/(AZ13*BA13),AX13/(BB13*BC13)),0)</f>
        <v>0</v>
      </c>
      <c r="BE13" s="497">
        <f>IFERROR(IF(INPUTS!$E$76="Main",AY13/(AZ13*BA13),AY13/(BB13*BC13)),0)</f>
        <v>0</v>
      </c>
      <c r="BF13" s="852">
        <f t="shared" si="12"/>
        <v>0</v>
      </c>
      <c r="BG13" s="870">
        <f t="shared" si="13"/>
        <v>0</v>
      </c>
      <c r="BH13" s="852">
        <f t="shared" si="14"/>
        <v>0</v>
      </c>
      <c r="BI13" s="852">
        <f t="shared" si="15"/>
        <v>0</v>
      </c>
      <c r="BJ13" s="756">
        <f>IFERROR(Feed!F107*Feed!J61,0)</f>
        <v>0</v>
      </c>
      <c r="BK13" s="579">
        <f>IFERROR(Feed!G107*Feed!S61,0)</f>
        <v>0</v>
      </c>
      <c r="BL13" s="254">
        <f>VLOOKUP(INPUTS!$D$77,'Crop parameters'!$A$3:$Z$39,4,FALSE)*1000</f>
        <v>22050</v>
      </c>
      <c r="BM13" s="497">
        <f>INPUTS!$E$92</f>
        <v>1</v>
      </c>
      <c r="BN13" s="254">
        <f>VLOOKUP(INPUTS!$D$77,'Crop parameters'!$A$3:$Z$39,8,FALSE)*1000</f>
        <v>0</v>
      </c>
      <c r="BO13" s="497">
        <f>IF(INPUTS!$E$77="Residue",INPUTS!$F$92,0)</f>
        <v>0</v>
      </c>
      <c r="BP13" s="497">
        <f>IFERROR(IF(INPUTS!$E$77="Main",BJ13/(BL13*BM13),BJ13/(BN13*BO13)),0)</f>
        <v>0</v>
      </c>
      <c r="BQ13" s="497">
        <f>IFERROR(IF(INPUTS!$E$77="Main",BK13/(BL13*BM13),BK13/(BN13*BO13)),0)</f>
        <v>0</v>
      </c>
      <c r="BR13" s="852">
        <f t="shared" si="16"/>
        <v>0</v>
      </c>
      <c r="BS13" s="870">
        <f t="shared" si="17"/>
        <v>0</v>
      </c>
      <c r="BT13" s="852">
        <f t="shared" si="18"/>
        <v>0</v>
      </c>
      <c r="BU13" s="852">
        <f t="shared" si="19"/>
        <v>0</v>
      </c>
      <c r="BV13" s="756">
        <f>IFERROR(Feed!F107*Feed!K61,0)</f>
        <v>0</v>
      </c>
      <c r="BW13" s="579">
        <f>IFERROR(Feed!G107*Feed!T61,0)</f>
        <v>0</v>
      </c>
      <c r="BX13" s="254">
        <f>VLOOKUP(INPUTS!$D$78,'Crop parameters'!$A$3:$Z$39,4,FALSE)*1000</f>
        <v>0</v>
      </c>
      <c r="BY13" s="497">
        <f>INPUTS!$E$93</f>
        <v>0</v>
      </c>
      <c r="BZ13" s="254">
        <f>VLOOKUP(INPUTS!$D$78,'Crop parameters'!$A$3:$Z$39,8,FALSE)*1000</f>
        <v>0</v>
      </c>
      <c r="CA13" s="497">
        <f>IF(INPUTS!$E$78="Residue",INPUTS!$F$93,0)</f>
        <v>0</v>
      </c>
      <c r="CB13" s="497">
        <f>IFERROR(IF(INPUTS!$E$78="Main",BV13/(BX13*BY13),BV13/(BZ13*CA13)),0)</f>
        <v>0</v>
      </c>
      <c r="CC13" s="497">
        <f>IFERROR(IF(INPUTS!$E$78="Main",BW13/(BX13*BY13),BW13/(BZ13*CA13)),0)</f>
        <v>0</v>
      </c>
      <c r="CD13" s="852">
        <f t="shared" si="20"/>
        <v>0</v>
      </c>
      <c r="CE13" s="870">
        <f t="shared" si="21"/>
        <v>0</v>
      </c>
      <c r="CF13" s="852">
        <f t="shared" si="22"/>
        <v>0</v>
      </c>
      <c r="CG13" s="573">
        <f t="shared" si="23"/>
        <v>0</v>
      </c>
      <c r="CH13" s="758">
        <f t="shared" si="24"/>
        <v>0</v>
      </c>
      <c r="CI13" s="573">
        <f t="shared" si="25"/>
        <v>0</v>
      </c>
    </row>
    <row r="14" spans="1:91">
      <c r="A14" s="569" t="str">
        <f>'Livestock parameters'!A12</f>
        <v>Goats</v>
      </c>
      <c r="B14" s="756">
        <f>IFERROR(Feed!F108*Feed!E68,0)</f>
        <v>0</v>
      </c>
      <c r="C14" s="579">
        <f>IFERROR(Feed!G108*Feed!N68,0)</f>
        <v>0</v>
      </c>
      <c r="D14" s="254">
        <f>VLOOKUP(INPUTS!$D$72,'Crop parameters'!$A$3:$Z$39,4,FALSE)*1000</f>
        <v>0</v>
      </c>
      <c r="E14" s="497">
        <f>INPUTS!$E$87</f>
        <v>0</v>
      </c>
      <c r="F14" s="254">
        <f>VLOOKUP(INPUTS!$D$72,'Crop parameters'!$A$3:$Z$39,8,FALSE)*1000</f>
        <v>0</v>
      </c>
      <c r="G14" s="497">
        <f>IF(INPUTS!$E$72="Residue",INPUTS!$F$87,0)</f>
        <v>0</v>
      </c>
      <c r="H14" s="497">
        <f>IFERROR(IF(INPUTS!$E$72="Main",B14/(D14*E14),B14/(F14*G14)),0)</f>
        <v>0</v>
      </c>
      <c r="I14" s="497">
        <f>IFERROR(IF(INPUTS!$E$72="Main",C14/(D14*E14),C14/(F14*G14)),0)</f>
        <v>0</v>
      </c>
      <c r="J14" s="852">
        <f t="shared" si="0"/>
        <v>0</v>
      </c>
      <c r="K14" s="870">
        <f t="shared" si="1"/>
        <v>0</v>
      </c>
      <c r="L14" s="852">
        <f t="shared" si="26"/>
        <v>0</v>
      </c>
      <c r="M14" s="852">
        <f t="shared" si="27"/>
        <v>0</v>
      </c>
      <c r="N14" s="756">
        <f>IFERROR(Feed!F108*Feed!F68,0)</f>
        <v>0</v>
      </c>
      <c r="O14" s="579">
        <f>IFERROR(Feed!G108*Feed!O68,0)</f>
        <v>0</v>
      </c>
      <c r="P14" s="254">
        <f>VLOOKUP(INPUTS!$D$73,'Crop parameters'!$A$3:$Z$39,4,FALSE)*1000</f>
        <v>13049.999999999998</v>
      </c>
      <c r="Q14" s="497">
        <f>INPUTS!$E$88</f>
        <v>1</v>
      </c>
      <c r="R14" s="254">
        <f>VLOOKUP(INPUTS!$D$73,'Crop parameters'!$A$3:$Z$39,8,FALSE)*1000</f>
        <v>0</v>
      </c>
      <c r="S14" s="497">
        <f>IF(INPUTS!$E$73="Residue",INPUTS!$F$88,0)</f>
        <v>0</v>
      </c>
      <c r="T14" s="497">
        <f>IFERROR(IF(INPUTS!$E$73="Main",N14/(P14*Q14),N14/(R14*S14)),0)</f>
        <v>0</v>
      </c>
      <c r="U14" s="497">
        <f>IFERROR(IF(INPUTS!$E$73="Main",O14/(P14*Q14),O14/(R14*S14)),0)</f>
        <v>0</v>
      </c>
      <c r="V14" s="852">
        <f t="shared" si="2"/>
        <v>0</v>
      </c>
      <c r="W14" s="870">
        <f t="shared" si="3"/>
        <v>0</v>
      </c>
      <c r="X14" s="852">
        <f t="shared" si="4"/>
        <v>0</v>
      </c>
      <c r="Y14" s="852">
        <f t="shared" si="5"/>
        <v>0</v>
      </c>
      <c r="Z14" s="756">
        <f>IFERROR(Feed!F108*Feed!G68,0)</f>
        <v>0</v>
      </c>
      <c r="AA14" s="579">
        <f>IFERROR(Feed!G108*Feed!P68,0)</f>
        <v>0</v>
      </c>
      <c r="AB14" s="254">
        <f>VLOOKUP(INPUTS!$D$74,'Crop parameters'!$A$3:$Z$39,4,FALSE)*1000</f>
        <v>1299</v>
      </c>
      <c r="AC14" s="497">
        <f>INPUTS!$E$89</f>
        <v>0.4</v>
      </c>
      <c r="AD14" s="254">
        <f>VLOOKUP(INPUTS!$D$74,'Crop parameters'!$A$3:$Z$39,8,FALSE)*1000</f>
        <v>3582.4421538461534</v>
      </c>
      <c r="AE14" s="497">
        <f>IF(INPUTS!$E$74="Residue",INPUTS!$F$89,0)</f>
        <v>0.6</v>
      </c>
      <c r="AF14" s="497">
        <f>IFERROR(IF(INPUTS!$E$74="Main",Z14/(AB14*AC14),Z14/(AD14*AE14)),0)</f>
        <v>0</v>
      </c>
      <c r="AG14" s="497">
        <f>IFERROR(IF(INPUTS!$E$74="Main",AA14/(AB14*AC14),AA14/(AD14*AE14)),0)</f>
        <v>0</v>
      </c>
      <c r="AH14" s="852">
        <f t="shared" si="28"/>
        <v>0</v>
      </c>
      <c r="AI14" s="870">
        <f t="shared" si="29"/>
        <v>0</v>
      </c>
      <c r="AJ14" s="852">
        <f t="shared" si="6"/>
        <v>0</v>
      </c>
      <c r="AK14" s="852">
        <f t="shared" si="7"/>
        <v>0</v>
      </c>
      <c r="AL14" s="856">
        <f>IFERROR(Feed!F108*Feed!H68,0)</f>
        <v>0</v>
      </c>
      <c r="AM14" s="579">
        <f>IFERROR(Feed!G108*Feed!Q68,0)</f>
        <v>0</v>
      </c>
      <c r="AN14" s="254">
        <f>VLOOKUP(INPUTS!$D$75,'Crop parameters'!$A$3:$Z$39,4,FALSE)*1000</f>
        <v>19800</v>
      </c>
      <c r="AO14" s="497">
        <f>INPUTS!$E$90</f>
        <v>1</v>
      </c>
      <c r="AP14" s="254">
        <f>VLOOKUP(INPUTS!$D$75,'Crop parameters'!$A$3:$Z$39,8,FALSE)*1000</f>
        <v>0</v>
      </c>
      <c r="AQ14" s="497">
        <f>IF(INPUTS!$E$75="Residue",INPUTS!$F$90,0)</f>
        <v>0</v>
      </c>
      <c r="AR14" s="497">
        <f>IFERROR(IF(INPUTS!$E$75="Main",AL14/(AN14*AO14),AL14/(AP14*AQ14)),0)</f>
        <v>0</v>
      </c>
      <c r="AS14" s="497">
        <f>IFERROR(IF(INPUTS!$E$75="Main",AM14/(AN14*AO14),AM14/(AP14*AQ14)),0)</f>
        <v>0</v>
      </c>
      <c r="AT14" s="852">
        <f t="shared" si="8"/>
        <v>0</v>
      </c>
      <c r="AU14" s="870">
        <f t="shared" si="9"/>
        <v>0</v>
      </c>
      <c r="AV14" s="852">
        <f t="shared" si="10"/>
        <v>0</v>
      </c>
      <c r="AW14" s="852">
        <f t="shared" si="11"/>
        <v>0</v>
      </c>
      <c r="AX14" s="756">
        <f>IFERROR(Feed!F108*Feed!I68,0)</f>
        <v>0</v>
      </c>
      <c r="AY14" s="579">
        <f>IFERROR(Feed!G108*Feed!R68,0)</f>
        <v>0</v>
      </c>
      <c r="AZ14" s="254">
        <f>VLOOKUP(INPUTS!$D$76,'Crop parameters'!$A$3:$Z$39,4,FALSE)*1000</f>
        <v>13500</v>
      </c>
      <c r="BA14" s="497">
        <f>INPUTS!$E$91</f>
        <v>1</v>
      </c>
      <c r="BB14" s="254">
        <f>VLOOKUP(INPUTS!$D$76,'Crop parameters'!$A$3:$Z$39,8,FALSE)*1000</f>
        <v>0</v>
      </c>
      <c r="BC14" s="497">
        <f>IF(INPUTS!$E$76="Residue",INPUTS!$F$91,0)</f>
        <v>0</v>
      </c>
      <c r="BD14" s="497">
        <f>IFERROR(IF(INPUTS!$E$76="Main",AX14/(AZ14*BA14),AX14/(BB14*BC14)),0)</f>
        <v>0</v>
      </c>
      <c r="BE14" s="497">
        <f>IFERROR(IF(INPUTS!$E$76="Main",AY14/(AZ14*BA14),AY14/(BB14*BC14)),0)</f>
        <v>0</v>
      </c>
      <c r="BF14" s="852">
        <f t="shared" si="12"/>
        <v>0</v>
      </c>
      <c r="BG14" s="870">
        <f t="shared" si="13"/>
        <v>0</v>
      </c>
      <c r="BH14" s="852">
        <f t="shared" si="14"/>
        <v>0</v>
      </c>
      <c r="BI14" s="852">
        <f t="shared" si="15"/>
        <v>0</v>
      </c>
      <c r="BJ14" s="756">
        <f>IFERROR(Feed!F108*Feed!J68,0)</f>
        <v>0</v>
      </c>
      <c r="BK14" s="579">
        <f>IFERROR(Feed!G108*Feed!S68,0)</f>
        <v>0</v>
      </c>
      <c r="BL14" s="254">
        <f>VLOOKUP(INPUTS!$D$77,'Crop parameters'!$A$3:$Z$39,4,FALSE)*1000</f>
        <v>22050</v>
      </c>
      <c r="BM14" s="497">
        <f>INPUTS!$E$92</f>
        <v>1</v>
      </c>
      <c r="BN14" s="254">
        <f>VLOOKUP(INPUTS!$D$77,'Crop parameters'!$A$3:$Z$39,8,FALSE)*1000</f>
        <v>0</v>
      </c>
      <c r="BO14" s="497">
        <f>IF(INPUTS!$E$77="Residue",INPUTS!$F$92,0)</f>
        <v>0</v>
      </c>
      <c r="BP14" s="497">
        <f>IFERROR(IF(INPUTS!$E$77="Main",BJ14/(BL14*BM14),BJ14/(BN14*BO14)),0)</f>
        <v>0</v>
      </c>
      <c r="BQ14" s="497">
        <f>IFERROR(IF(INPUTS!$E$77="Main",BK14/(BL14*BM14),BK14/(BN14*BO14)),0)</f>
        <v>0</v>
      </c>
      <c r="BR14" s="852">
        <f t="shared" si="16"/>
        <v>0</v>
      </c>
      <c r="BS14" s="870">
        <f t="shared" si="17"/>
        <v>0</v>
      </c>
      <c r="BT14" s="852">
        <f t="shared" si="18"/>
        <v>0</v>
      </c>
      <c r="BU14" s="852">
        <f t="shared" si="19"/>
        <v>0</v>
      </c>
      <c r="BV14" s="756">
        <f>IFERROR(Feed!F108*Feed!K68,0)</f>
        <v>0</v>
      </c>
      <c r="BW14" s="579">
        <f>IFERROR(Feed!G108*Feed!T68,0)</f>
        <v>0</v>
      </c>
      <c r="BX14" s="254">
        <f>VLOOKUP(INPUTS!$D$78,'Crop parameters'!$A$3:$Z$39,4,FALSE)*1000</f>
        <v>0</v>
      </c>
      <c r="BY14" s="497">
        <f>INPUTS!$E$93</f>
        <v>0</v>
      </c>
      <c r="BZ14" s="254">
        <f>VLOOKUP(INPUTS!$D$78,'Crop parameters'!$A$3:$Z$39,8,FALSE)*1000</f>
        <v>0</v>
      </c>
      <c r="CA14" s="497">
        <f>IF(INPUTS!$E$78="Residue",INPUTS!$F$93,0)</f>
        <v>0</v>
      </c>
      <c r="CB14" s="497">
        <f>IFERROR(IF(INPUTS!$E$78="Main",BV14/(BX14*BY14),BV14/(BZ14*CA14)),0)</f>
        <v>0</v>
      </c>
      <c r="CC14" s="497">
        <f>IFERROR(IF(INPUTS!$E$78="Main",BW14/(BX14*BY14),BW14/(BZ14*CA14)),0)</f>
        <v>0</v>
      </c>
      <c r="CD14" s="852">
        <f t="shared" si="20"/>
        <v>0</v>
      </c>
      <c r="CE14" s="870">
        <f t="shared" si="21"/>
        <v>0</v>
      </c>
      <c r="CF14" s="852">
        <f t="shared" si="22"/>
        <v>0</v>
      </c>
      <c r="CG14" s="573">
        <f t="shared" si="23"/>
        <v>0</v>
      </c>
      <c r="CH14" s="758">
        <f t="shared" si="24"/>
        <v>0</v>
      </c>
      <c r="CI14" s="573">
        <f t="shared" si="25"/>
        <v>0</v>
      </c>
    </row>
    <row r="15" spans="1:91">
      <c r="A15" s="569"/>
      <c r="B15" s="760">
        <f>SUM(B6:B14)</f>
        <v>500.31555277305131</v>
      </c>
      <c r="C15" s="406">
        <f>SUM(C6:C14)</f>
        <v>435.8843783594873</v>
      </c>
      <c r="D15" s="406"/>
      <c r="E15" s="406"/>
      <c r="F15" s="406"/>
      <c r="G15" s="254"/>
      <c r="H15" s="497"/>
      <c r="I15" s="858"/>
      <c r="J15" s="858"/>
      <c r="K15" s="858"/>
      <c r="L15" s="858"/>
      <c r="M15" s="758"/>
      <c r="N15" s="574">
        <f>SUM(N6:N14)</f>
        <v>1162.7333446445709</v>
      </c>
      <c r="O15" s="406">
        <f>SUM(O6:O14)</f>
        <v>351.73447753730852</v>
      </c>
      <c r="P15" s="406"/>
      <c r="Q15" s="406"/>
      <c r="R15" s="406"/>
      <c r="S15" s="254"/>
      <c r="T15" s="497"/>
      <c r="U15" s="497"/>
      <c r="V15" s="497"/>
      <c r="W15" s="161"/>
      <c r="X15" s="852"/>
      <c r="Y15" s="852"/>
      <c r="Z15" s="574">
        <f>SUM(Z6:Z14)</f>
        <v>193.45534707224647</v>
      </c>
      <c r="AA15" s="406">
        <f>SUM(AA6:AA14)</f>
        <v>790.04043577657058</v>
      </c>
      <c r="AB15" s="406"/>
      <c r="AC15" s="406"/>
      <c r="AD15" s="406"/>
      <c r="AE15" s="254"/>
      <c r="AF15" s="497"/>
      <c r="AG15" s="497"/>
      <c r="AH15" s="497"/>
      <c r="AI15" s="161"/>
      <c r="AJ15" s="852"/>
      <c r="AK15" s="852"/>
      <c r="AL15" s="574">
        <f>SUM(AL6:AL14)</f>
        <v>122.29935734452366</v>
      </c>
      <c r="AM15" s="406">
        <f>SUM(AM6:AM14)</f>
        <v>399.56068016286338</v>
      </c>
      <c r="AN15" s="406"/>
      <c r="AO15" s="406"/>
      <c r="AP15" s="406"/>
      <c r="AQ15" s="254"/>
      <c r="AR15" s="497"/>
      <c r="AS15" s="858"/>
      <c r="AT15" s="858"/>
      <c r="AU15" s="858"/>
      <c r="AV15" s="858"/>
      <c r="AW15" s="758"/>
      <c r="AX15" s="574">
        <f>SUM(AX6:AX14)</f>
        <v>1024.3127083773602</v>
      </c>
      <c r="AY15" s="406">
        <f>SUM(AY6:AY14)</f>
        <v>286.41236028037974</v>
      </c>
      <c r="AZ15" s="406"/>
      <c r="BA15" s="406"/>
      <c r="BB15" s="406"/>
      <c r="BC15" s="254"/>
      <c r="BD15" s="497"/>
      <c r="BE15" s="858"/>
      <c r="BF15" s="858"/>
      <c r="BG15" s="858"/>
      <c r="BH15" s="858"/>
      <c r="BI15" s="758"/>
      <c r="BJ15" s="574">
        <f>SUM(BJ6:BJ14)</f>
        <v>250.15777638652565</v>
      </c>
      <c r="BK15" s="406">
        <f>SUM(BK6:BK14)</f>
        <v>72.647396393247874</v>
      </c>
      <c r="BL15" s="406"/>
      <c r="BM15" s="406"/>
      <c r="BN15" s="406"/>
      <c r="BO15" s="254"/>
      <c r="BP15" s="497"/>
      <c r="BQ15" s="858"/>
      <c r="BR15" s="858"/>
      <c r="BS15" s="858"/>
      <c r="BT15" s="858"/>
      <c r="BU15" s="758"/>
      <c r="BV15" s="574">
        <f>SUM(BV6:BV14)</f>
        <v>0</v>
      </c>
      <c r="BW15" s="406">
        <f>SUM(BW6:BW14)</f>
        <v>0</v>
      </c>
      <c r="BX15" s="406"/>
      <c r="BY15" s="406"/>
      <c r="BZ15" s="406"/>
      <c r="CA15" s="254"/>
      <c r="CB15" s="497"/>
      <c r="CC15" s="858"/>
      <c r="CD15" s="858"/>
      <c r="CE15" s="858"/>
      <c r="CF15" s="858"/>
      <c r="CG15" s="758"/>
      <c r="CH15" s="573"/>
      <c r="CI15" s="573"/>
    </row>
    <row r="16" spans="1:91" ht="16.5" thickBot="1">
      <c r="A16" s="570"/>
      <c r="B16" s="575"/>
      <c r="C16" s="576"/>
      <c r="D16" s="576"/>
      <c r="E16" s="576"/>
      <c r="F16" s="576"/>
      <c r="G16" s="576"/>
      <c r="H16" s="580">
        <f t="shared" ref="H16:M16" si="30">SUM(H6:H14)</f>
        <v>0</v>
      </c>
      <c r="I16" s="580">
        <f t="shared" si="30"/>
        <v>0</v>
      </c>
      <c r="J16" s="580">
        <f t="shared" si="30"/>
        <v>0</v>
      </c>
      <c r="K16" s="580">
        <f t="shared" si="30"/>
        <v>0</v>
      </c>
      <c r="L16" s="580">
        <f t="shared" si="30"/>
        <v>0</v>
      </c>
      <c r="M16" s="580">
        <f t="shared" si="30"/>
        <v>0</v>
      </c>
      <c r="N16" s="575"/>
      <c r="O16" s="576"/>
      <c r="P16" s="576"/>
      <c r="Q16" s="576"/>
      <c r="R16" s="576"/>
      <c r="S16" s="576"/>
      <c r="T16" s="855">
        <f t="shared" ref="T16:Y16" si="31">SUM(T6:T14)</f>
        <v>8.9098340585790886E-2</v>
      </c>
      <c r="U16" s="855">
        <f t="shared" si="31"/>
        <v>2.695283352776311E-2</v>
      </c>
      <c r="V16" s="855">
        <f t="shared" si="31"/>
        <v>0</v>
      </c>
      <c r="W16" s="580">
        <f t="shared" si="31"/>
        <v>0</v>
      </c>
      <c r="X16" s="853">
        <f t="shared" si="31"/>
        <v>8.9098340585790886E-2</v>
      </c>
      <c r="Y16" s="580">
        <f t="shared" si="31"/>
        <v>2.695283352776311E-2</v>
      </c>
      <c r="Z16" s="575"/>
      <c r="AA16" s="576"/>
      <c r="AB16" s="576"/>
      <c r="AC16" s="576"/>
      <c r="AD16" s="576"/>
      <c r="AE16" s="576"/>
      <c r="AF16" s="855">
        <f t="shared" ref="AF16:AJ16" si="32">SUM(AF6:AF14)</f>
        <v>9.000161471067554E-2</v>
      </c>
      <c r="AG16" s="855">
        <f t="shared" si="32"/>
        <v>0.36755207846523247</v>
      </c>
      <c r="AH16" s="855">
        <f t="shared" si="32"/>
        <v>1.7521054707220676E-2</v>
      </c>
      <c r="AI16" s="580">
        <f t="shared" si="32"/>
        <v>7.1553161520980318E-2</v>
      </c>
      <c r="AJ16" s="853">
        <f t="shared" si="32"/>
        <v>7.2480560003454875E-2</v>
      </c>
      <c r="AK16" s="580">
        <f>SUM(AK6:AK14)</f>
        <v>0.29599891694425218</v>
      </c>
      <c r="AL16" s="854"/>
      <c r="AM16" s="576"/>
      <c r="AN16" s="576"/>
      <c r="AO16" s="576"/>
      <c r="AP16" s="576"/>
      <c r="AQ16" s="576"/>
      <c r="AR16" s="580">
        <f t="shared" ref="AR16:AW16" si="33">SUM(AR6:AR14)</f>
        <v>6.1767352194203855E-3</v>
      </c>
      <c r="AS16" s="580">
        <f t="shared" si="33"/>
        <v>2.0179832331457745E-2</v>
      </c>
      <c r="AT16" s="580">
        <f t="shared" si="33"/>
        <v>0</v>
      </c>
      <c r="AU16" s="580">
        <f t="shared" si="33"/>
        <v>0</v>
      </c>
      <c r="AV16" s="580">
        <f t="shared" si="33"/>
        <v>6.1767352194203855E-3</v>
      </c>
      <c r="AW16" s="580">
        <f t="shared" si="33"/>
        <v>2.0179832331457745E-2</v>
      </c>
      <c r="AX16" s="575"/>
      <c r="AY16" s="576"/>
      <c r="AZ16" s="576"/>
      <c r="BA16" s="576"/>
      <c r="BB16" s="576"/>
      <c r="BC16" s="576"/>
      <c r="BD16" s="580">
        <f t="shared" ref="BD16:BI16" si="34">SUM(BD6:BD14)</f>
        <v>7.5875015435360016E-2</v>
      </c>
      <c r="BE16" s="580">
        <f t="shared" si="34"/>
        <v>2.1215730391139241E-2</v>
      </c>
      <c r="BF16" s="580">
        <f t="shared" si="34"/>
        <v>0</v>
      </c>
      <c r="BG16" s="580">
        <f t="shared" si="34"/>
        <v>0</v>
      </c>
      <c r="BH16" s="580">
        <f t="shared" si="34"/>
        <v>7.5875015435360016E-2</v>
      </c>
      <c r="BI16" s="580">
        <f t="shared" si="34"/>
        <v>2.1215730391139241E-2</v>
      </c>
      <c r="BJ16" s="575"/>
      <c r="BK16" s="576"/>
      <c r="BL16" s="576"/>
      <c r="BM16" s="576"/>
      <c r="BN16" s="576"/>
      <c r="BO16" s="576"/>
      <c r="BP16" s="580">
        <f t="shared" ref="BP16:BU16" si="35">SUM(BP6:BP14)</f>
        <v>1.134502387240479E-2</v>
      </c>
      <c r="BQ16" s="580">
        <f t="shared" si="35"/>
        <v>3.2946665030951418E-3</v>
      </c>
      <c r="BR16" s="580">
        <f t="shared" si="35"/>
        <v>0</v>
      </c>
      <c r="BS16" s="580">
        <f t="shared" si="35"/>
        <v>0</v>
      </c>
      <c r="BT16" s="580">
        <f t="shared" si="35"/>
        <v>1.134502387240479E-2</v>
      </c>
      <c r="BU16" s="580">
        <f t="shared" si="35"/>
        <v>3.2946665030951418E-3</v>
      </c>
      <c r="BV16" s="575"/>
      <c r="BW16" s="576"/>
      <c r="BX16" s="576"/>
      <c r="BY16" s="576"/>
      <c r="BZ16" s="576"/>
      <c r="CA16" s="576"/>
      <c r="CB16" s="580">
        <f t="shared" ref="CB16:CI16" si="36">SUM(CB6:CB14)</f>
        <v>0</v>
      </c>
      <c r="CC16" s="580">
        <f t="shared" si="36"/>
        <v>0</v>
      </c>
      <c r="CD16" s="580">
        <f t="shared" si="36"/>
        <v>0</v>
      </c>
      <c r="CE16" s="580">
        <f t="shared" si="36"/>
        <v>0</v>
      </c>
      <c r="CF16" s="580">
        <f t="shared" si="36"/>
        <v>0</v>
      </c>
      <c r="CG16" s="580">
        <f t="shared" si="36"/>
        <v>0</v>
      </c>
      <c r="CH16" s="580">
        <f t="shared" si="36"/>
        <v>0.25497567511643093</v>
      </c>
      <c r="CI16" s="580">
        <f t="shared" si="36"/>
        <v>0.3676419796977074</v>
      </c>
      <c r="CL16" s="859"/>
      <c r="CM16" s="859"/>
    </row>
    <row r="17" spans="1:87">
      <c r="A17" s="504"/>
      <c r="B17" s="503"/>
      <c r="C17" s="503"/>
      <c r="D17" s="503"/>
      <c r="E17" s="503"/>
      <c r="F17" s="503"/>
      <c r="G17" s="503"/>
      <c r="H17" s="503"/>
      <c r="I17" s="503"/>
      <c r="J17" s="503"/>
      <c r="K17" s="503"/>
      <c r="L17" s="503"/>
      <c r="M17" s="503"/>
      <c r="N17" s="503"/>
      <c r="O17" s="503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2"/>
      <c r="AA17" s="502"/>
      <c r="AB17" s="502"/>
      <c r="AC17" s="502"/>
      <c r="AD17" s="502"/>
      <c r="AE17" s="503"/>
      <c r="AF17" s="503"/>
      <c r="AG17" s="503"/>
      <c r="AH17" s="503"/>
      <c r="AI17" s="503"/>
      <c r="AJ17" s="503"/>
      <c r="AK17" s="503"/>
      <c r="AL17" s="502"/>
      <c r="AM17" s="502"/>
      <c r="AN17" s="502"/>
      <c r="AO17" s="502"/>
      <c r="AP17" s="502"/>
      <c r="AQ17" s="502"/>
      <c r="AR17" s="503"/>
      <c r="AS17" s="503"/>
      <c r="AT17" s="503"/>
      <c r="AU17" s="503"/>
      <c r="AV17" s="503"/>
      <c r="AW17" s="548"/>
      <c r="AX17" s="502"/>
      <c r="AY17" s="502"/>
      <c r="AZ17" s="502"/>
      <c r="BA17" s="502"/>
      <c r="BB17" s="502"/>
      <c r="BC17" s="502"/>
      <c r="BD17" s="503"/>
      <c r="BE17" s="503"/>
      <c r="BF17" s="503"/>
      <c r="BG17" s="503"/>
      <c r="BH17" s="503"/>
      <c r="BI17" s="503"/>
      <c r="BJ17" s="502"/>
      <c r="BK17" s="502"/>
      <c r="BL17" s="502"/>
      <c r="BM17" s="502"/>
      <c r="BN17" s="502"/>
      <c r="BO17" s="502"/>
      <c r="BP17" s="503"/>
      <c r="BQ17" s="503"/>
      <c r="BR17" s="503"/>
      <c r="BS17" s="503"/>
      <c r="BT17" s="503"/>
      <c r="BU17" s="503"/>
      <c r="BV17" s="502"/>
      <c r="BW17" s="502"/>
      <c r="BX17" s="502"/>
      <c r="BY17" s="502"/>
      <c r="BZ17" s="502"/>
      <c r="CA17" s="502"/>
      <c r="CB17" s="503"/>
      <c r="CC17" s="503"/>
      <c r="CD17" s="503"/>
      <c r="CE17" s="503"/>
      <c r="CF17" s="503"/>
      <c r="CG17" s="503"/>
      <c r="CH17" s="503"/>
      <c r="CI17" s="503"/>
    </row>
    <row r="18" spans="1:87">
      <c r="A18" s="499"/>
      <c r="B18" s="72"/>
      <c r="C18" s="72"/>
      <c r="D18" s="500"/>
      <c r="E18" s="500"/>
      <c r="F18" s="500"/>
      <c r="G18" s="501"/>
      <c r="H18" s="501"/>
      <c r="I18" s="501"/>
      <c r="J18" s="501"/>
      <c r="K18" s="501"/>
      <c r="L18" s="501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1"/>
      <c r="AF18" s="501"/>
      <c r="AG18" s="501"/>
      <c r="AH18" s="501"/>
      <c r="AI18" s="501"/>
      <c r="AJ18" s="501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189"/>
      <c r="AX18" s="500"/>
      <c r="AY18" s="500"/>
      <c r="AZ18" s="500"/>
      <c r="BA18" s="500"/>
      <c r="BB18" s="500"/>
      <c r="BC18" s="500"/>
      <c r="BD18" s="500"/>
      <c r="BE18" s="500"/>
      <c r="BF18" s="500"/>
      <c r="BG18" s="500"/>
      <c r="BH18" s="500"/>
      <c r="BI18" s="500"/>
      <c r="BJ18" s="500"/>
      <c r="BK18" s="500"/>
      <c r="BL18" s="500"/>
      <c r="BM18" s="500"/>
      <c r="BN18" s="500"/>
      <c r="BO18" s="500"/>
      <c r="BP18" s="500"/>
      <c r="BQ18" s="500"/>
      <c r="BR18" s="500"/>
      <c r="BS18" s="500"/>
      <c r="BT18" s="500"/>
      <c r="BU18" s="500"/>
      <c r="BV18" s="500"/>
      <c r="BW18" s="500"/>
      <c r="BX18" s="500"/>
      <c r="BY18" s="500"/>
      <c r="BZ18" s="500"/>
      <c r="CA18" s="500"/>
      <c r="CB18" s="500"/>
      <c r="CC18" s="500"/>
      <c r="CD18" s="500"/>
      <c r="CE18" s="500"/>
      <c r="CF18" s="500"/>
      <c r="CG18" s="500"/>
      <c r="CH18" s="72"/>
      <c r="CI18" s="72"/>
    </row>
    <row r="19" spans="1:87">
      <c r="A19" s="499"/>
      <c r="B19" s="500"/>
      <c r="C19" s="500"/>
      <c r="D19" s="500"/>
      <c r="E19" s="500"/>
      <c r="F19" s="500"/>
      <c r="G19" s="501"/>
      <c r="H19" s="501"/>
      <c r="I19" s="501"/>
      <c r="J19" s="501"/>
      <c r="K19" s="501"/>
      <c r="L19" s="501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1"/>
      <c r="AF19" s="501"/>
      <c r="AG19" s="501"/>
      <c r="AH19" s="501"/>
      <c r="AI19" s="501"/>
      <c r="AJ19" s="501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189"/>
      <c r="AX19" s="500"/>
      <c r="AY19" s="500"/>
      <c r="AZ19" s="500"/>
      <c r="BA19" s="500"/>
      <c r="BB19" s="500"/>
      <c r="BC19" s="500"/>
      <c r="BD19" s="500"/>
      <c r="BE19" s="500"/>
      <c r="BF19" s="500"/>
      <c r="BG19" s="500"/>
      <c r="BH19" s="500"/>
      <c r="BI19" s="500"/>
      <c r="BJ19" s="500"/>
      <c r="BK19" s="500"/>
      <c r="BL19" s="500"/>
      <c r="BM19" s="500"/>
      <c r="BN19" s="500"/>
      <c r="BO19" s="500"/>
      <c r="BP19" s="500"/>
      <c r="BQ19" s="500"/>
      <c r="BR19" s="500"/>
      <c r="BS19" s="500"/>
      <c r="BT19" s="500"/>
      <c r="BU19" s="500"/>
      <c r="BV19" s="500"/>
      <c r="BW19" s="500"/>
      <c r="BX19" s="500"/>
      <c r="BY19" s="500"/>
      <c r="BZ19" s="500"/>
      <c r="CA19" s="500"/>
      <c r="CB19" s="500"/>
      <c r="CC19" s="500"/>
      <c r="CD19" s="500"/>
      <c r="CE19" s="500"/>
      <c r="CF19" s="500"/>
      <c r="CG19" s="500"/>
      <c r="CH19" s="72"/>
      <c r="CI19" s="72"/>
    </row>
    <row r="20" spans="1:87">
      <c r="A20" s="502"/>
      <c r="B20" s="503"/>
      <c r="C20" s="503"/>
      <c r="D20" s="503"/>
      <c r="E20" s="503"/>
      <c r="F20" s="503"/>
      <c r="G20" s="503"/>
      <c r="H20" s="503"/>
      <c r="I20" s="503"/>
      <c r="J20" s="503"/>
      <c r="K20" s="503"/>
      <c r="L20" s="503"/>
      <c r="M20" s="503"/>
      <c r="N20" s="503"/>
      <c r="O20" s="777"/>
      <c r="P20" s="777"/>
      <c r="Q20" s="777"/>
      <c r="R20" s="503"/>
      <c r="S20" s="503"/>
      <c r="T20" s="503"/>
      <c r="U20" s="503"/>
      <c r="V20" s="503"/>
      <c r="W20" s="503"/>
      <c r="X20" s="503"/>
      <c r="Y20" s="503"/>
      <c r="Z20" s="502"/>
      <c r="AA20" s="502"/>
      <c r="AB20" s="502"/>
      <c r="AC20" s="502"/>
      <c r="AD20" s="502"/>
      <c r="AE20" s="503"/>
      <c r="AF20" s="503"/>
      <c r="AG20" s="503"/>
      <c r="AH20" s="503"/>
      <c r="AI20" s="503"/>
      <c r="AJ20" s="503"/>
      <c r="AK20" s="503"/>
      <c r="AL20" s="502"/>
      <c r="AM20" s="502"/>
      <c r="AN20" s="502"/>
      <c r="AO20" s="502"/>
      <c r="AP20" s="502"/>
      <c r="AQ20" s="502"/>
      <c r="AR20" s="503"/>
      <c r="AS20" s="503"/>
      <c r="AT20" s="503"/>
      <c r="AU20" s="503"/>
      <c r="AV20" s="503"/>
      <c r="AW20" s="548"/>
      <c r="AX20" s="502"/>
      <c r="AY20" s="502"/>
      <c r="AZ20" s="502"/>
      <c r="BA20" s="502"/>
      <c r="BB20" s="502"/>
      <c r="BC20" s="502"/>
      <c r="BD20" s="503"/>
      <c r="BE20" s="503"/>
      <c r="BF20" s="503"/>
      <c r="BG20" s="503"/>
      <c r="BH20" s="503"/>
      <c r="BI20" s="503"/>
      <c r="BJ20" s="502"/>
      <c r="BK20" s="502"/>
      <c r="BL20" s="502"/>
      <c r="BM20" s="502"/>
      <c r="BN20" s="502"/>
      <c r="BO20" s="502"/>
      <c r="BP20" s="503"/>
      <c r="BQ20" s="503"/>
      <c r="BR20" s="503"/>
      <c r="BS20" s="503"/>
      <c r="BT20" s="503"/>
      <c r="BU20" s="503"/>
      <c r="BV20" s="502"/>
      <c r="BW20" s="502"/>
      <c r="BX20" s="502"/>
      <c r="BY20" s="502"/>
      <c r="BZ20" s="502"/>
      <c r="CA20" s="502"/>
      <c r="CB20" s="503"/>
      <c r="CC20" s="503"/>
      <c r="CD20" s="503"/>
      <c r="CE20" s="503"/>
      <c r="CF20" s="503"/>
      <c r="CG20" s="503"/>
      <c r="CH20" s="503"/>
      <c r="CI20" s="503"/>
    </row>
    <row r="21" spans="1:87">
      <c r="A21" s="499"/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99"/>
      <c r="O21" s="499"/>
      <c r="P21" s="499"/>
      <c r="Q21" s="499"/>
      <c r="R21" s="499"/>
      <c r="S21" s="499"/>
      <c r="T21" s="499"/>
      <c r="U21" s="499"/>
      <c r="V21" s="499"/>
      <c r="W21" s="499"/>
      <c r="X21" s="499"/>
      <c r="Y21" s="499"/>
      <c r="Z21" s="499"/>
      <c r="AA21" s="499"/>
      <c r="AB21" s="499"/>
      <c r="AC21" s="499"/>
      <c r="AD21" s="499"/>
      <c r="AE21" s="499"/>
      <c r="AF21" s="499"/>
      <c r="AG21" s="499"/>
      <c r="AH21" s="499"/>
      <c r="AI21" s="499"/>
      <c r="AJ21" s="499"/>
      <c r="AK21" s="499"/>
      <c r="AL21" s="499"/>
      <c r="AM21" s="499"/>
      <c r="AN21" s="499"/>
      <c r="AO21" s="499"/>
      <c r="AP21" s="499"/>
      <c r="AQ21" s="499"/>
      <c r="AR21" s="499"/>
      <c r="AS21" s="499"/>
      <c r="AT21" s="499"/>
      <c r="AU21" s="499"/>
      <c r="AV21" s="499"/>
      <c r="AW21" s="147"/>
      <c r="AX21" s="499"/>
      <c r="AY21" s="499"/>
      <c r="AZ21" s="499"/>
      <c r="BA21" s="499"/>
      <c r="BB21" s="499"/>
      <c r="BC21" s="499"/>
      <c r="BD21" s="499"/>
      <c r="BE21" s="499"/>
      <c r="BF21" s="499"/>
      <c r="BG21" s="499"/>
      <c r="BH21" s="499"/>
      <c r="BI21" s="499"/>
      <c r="BJ21" s="499"/>
      <c r="BK21" s="499"/>
      <c r="BL21" s="499"/>
      <c r="BM21" s="499"/>
      <c r="BN21" s="499"/>
      <c r="BO21" s="499"/>
      <c r="BP21" s="499"/>
      <c r="BQ21" s="499"/>
      <c r="BR21" s="499"/>
      <c r="BS21" s="499"/>
      <c r="BT21" s="499"/>
      <c r="BU21" s="499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</row>
    <row r="23" spans="1:87">
      <c r="AA23" s="13"/>
    </row>
    <row r="28" spans="1:87">
      <c r="AX28" s="1354"/>
    </row>
  </sheetData>
  <mergeCells count="8">
    <mergeCell ref="B4:M4"/>
    <mergeCell ref="B3:CI3"/>
    <mergeCell ref="BV4:CG4"/>
    <mergeCell ref="BJ4:BU4"/>
    <mergeCell ref="AX4:BI4"/>
    <mergeCell ref="AL4:AW4"/>
    <mergeCell ref="N4:Y4"/>
    <mergeCell ref="Z4:AK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37"/>
  <sheetViews>
    <sheetView topLeftCell="A7" workbookViewId="0">
      <selection activeCell="B28" sqref="B28"/>
    </sheetView>
  </sheetViews>
  <sheetFormatPr defaultColWidth="8.875" defaultRowHeight="15"/>
  <cols>
    <col min="1" max="1" width="35.125" style="307" customWidth="1"/>
    <col min="2" max="2" width="8.875" style="307"/>
    <col min="3" max="3" width="15" style="307" customWidth="1"/>
    <col min="4" max="6" width="8.875" style="307"/>
    <col min="7" max="10" width="12.75" style="307" customWidth="1"/>
    <col min="11" max="11" width="19.25" style="307" customWidth="1"/>
    <col min="12" max="12" width="8.875" style="307"/>
    <col min="13" max="13" width="13.5" style="307" bestFit="1" customWidth="1"/>
    <col min="14" max="14" width="14.125" style="307" customWidth="1"/>
    <col min="15" max="15" width="15.875" style="307" bestFit="1" customWidth="1"/>
    <col min="16" max="16" width="12.5" style="307" bestFit="1" customWidth="1"/>
    <col min="17" max="17" width="24" style="307" bestFit="1" customWidth="1"/>
    <col min="18" max="19" width="25.625" style="307" bestFit="1" customWidth="1"/>
    <col min="20" max="16384" width="8.875" style="307"/>
  </cols>
  <sheetData>
    <row r="1" spans="1:19" ht="15.75" thickBot="1">
      <c r="A1" s="1003" t="s">
        <v>1047</v>
      </c>
      <c r="B1" s="1082" t="s">
        <v>1035</v>
      </c>
      <c r="C1" s="1082"/>
      <c r="D1" s="1082"/>
      <c r="E1" s="1004"/>
      <c r="F1" s="1004"/>
      <c r="G1" s="1004"/>
      <c r="H1" s="1004"/>
      <c r="I1" s="1004"/>
      <c r="J1" s="1005"/>
      <c r="K1" s="1018" t="s">
        <v>1209</v>
      </c>
      <c r="L1" s="1019"/>
      <c r="M1" s="1004"/>
      <c r="N1" s="1005"/>
    </row>
    <row r="2" spans="1:19" ht="60.75" thickBot="1">
      <c r="A2" s="1012"/>
      <c r="B2" s="1020" t="s">
        <v>1657</v>
      </c>
      <c r="C2" s="1020" t="s">
        <v>1658</v>
      </c>
      <c r="D2" s="1021" t="s">
        <v>1410</v>
      </c>
      <c r="E2" s="1022" t="s">
        <v>1661</v>
      </c>
      <c r="F2" s="1022"/>
      <c r="G2" s="1022" t="s">
        <v>1659</v>
      </c>
      <c r="H2" s="1096" t="s">
        <v>1047</v>
      </c>
      <c r="I2" s="1022" t="s">
        <v>1046</v>
      </c>
      <c r="J2" s="1024" t="s">
        <v>1663</v>
      </c>
      <c r="K2" s="1023" t="s">
        <v>1662</v>
      </c>
      <c r="L2" s="1024" t="s">
        <v>1664</v>
      </c>
      <c r="M2" s="1022" t="s">
        <v>1046</v>
      </c>
      <c r="N2" s="1024" t="s">
        <v>1663</v>
      </c>
    </row>
    <row r="3" spans="1:19">
      <c r="A3" s="1007" t="str">
        <f>INPUTS!C18</f>
        <v>Cows - local</v>
      </c>
      <c r="B3" s="1013">
        <f>INPUTS!D18</f>
        <v>0</v>
      </c>
      <c r="C3" s="1013">
        <f>INPUTS!F18</f>
        <v>0</v>
      </c>
      <c r="D3" s="1008">
        <f>B3*'Livestock parameters'!B4/250</f>
        <v>0</v>
      </c>
      <c r="E3" s="1014">
        <f>'Livestock parameters'!O4</f>
        <v>0</v>
      </c>
      <c r="F3" s="1014"/>
      <c r="G3" s="1014">
        <f>B3*C3</f>
        <v>0</v>
      </c>
      <c r="H3" s="1014">
        <f>G3*'Livestock parameters'!U4</f>
        <v>0</v>
      </c>
      <c r="I3" s="1047">
        <f>H3*'Livestock parameters'!S4</f>
        <v>0</v>
      </c>
      <c r="J3" s="1045">
        <f>H3*'Livestock parameters'!T4/100</f>
        <v>0</v>
      </c>
      <c r="K3" s="1027">
        <f>INPUTS!E18</f>
        <v>0</v>
      </c>
      <c r="L3" s="1028">
        <f>INPUTS!E18*INPUTS!D18*(0.337+(0.116*'Livestock parameters'!Q4)+(0.06*'Livestock parameters'!P4))</f>
        <v>0</v>
      </c>
      <c r="M3" s="1049">
        <f>L3*'Livestock parameters'!R4</f>
        <v>0</v>
      </c>
      <c r="N3" s="1050">
        <f>L3*'Livestock parameters'!P4/100</f>
        <v>0</v>
      </c>
    </row>
    <row r="4" spans="1:19">
      <c r="A4" s="1006" t="str">
        <f>INPUTS!C19</f>
        <v>Cows - improved</v>
      </c>
      <c r="B4" s="1013">
        <f>INPUTS!D19</f>
        <v>2</v>
      </c>
      <c r="C4" s="1013">
        <f>INPUTS!F19</f>
        <v>0</v>
      </c>
      <c r="D4" s="1008">
        <f>B4*'Livestock parameters'!B5/250</f>
        <v>3.048</v>
      </c>
      <c r="E4" s="1014">
        <f>'Livestock parameters'!O5</f>
        <v>1.2</v>
      </c>
      <c r="F4" s="1014"/>
      <c r="G4" s="1014">
        <f t="shared" ref="G4:G11" si="0">B4*C4</f>
        <v>0</v>
      </c>
      <c r="H4" s="1014">
        <f>G4*'Livestock parameters'!U5</f>
        <v>0</v>
      </c>
      <c r="I4" s="1047">
        <f>H4*'Livestock parameters'!S5</f>
        <v>0</v>
      </c>
      <c r="J4" s="1045">
        <f>H4*'Livestock parameters'!T5/100</f>
        <v>0</v>
      </c>
      <c r="K4" s="1025">
        <f>INPUTS!E19</f>
        <v>1525</v>
      </c>
      <c r="L4" s="1029">
        <f>(INPUTS!E19*(0.337+(0.116*'Livestock parameters'!P5)+(0.06*'Livestock parameters'!Q5))*INPUTS!D19)</f>
        <v>3123.81</v>
      </c>
      <c r="M4" s="1047">
        <f>L4*'Livestock parameters'!R5</f>
        <v>3030095.6999999997</v>
      </c>
      <c r="N4" s="1045">
        <f>L4*'Livestock parameters'!P5/100</f>
        <v>115.58096999999999</v>
      </c>
    </row>
    <row r="5" spans="1:19">
      <c r="A5" s="1009" t="str">
        <f>INPUTS!C20</f>
        <v>Adult cattle - male</v>
      </c>
      <c r="B5" s="1013">
        <f>INPUTS!D20</f>
        <v>0</v>
      </c>
      <c r="C5" s="1013">
        <f>INPUTS!F20</f>
        <v>0</v>
      </c>
      <c r="D5" s="1008">
        <f>B5*'Livestock parameters'!B6/250</f>
        <v>0</v>
      </c>
      <c r="E5" s="1014">
        <f>'Livestock parameters'!O6</f>
        <v>0</v>
      </c>
      <c r="F5" s="1014"/>
      <c r="G5" s="1014">
        <f t="shared" si="0"/>
        <v>0</v>
      </c>
      <c r="H5" s="1014">
        <f>G5*'Livestock parameters'!U6</f>
        <v>0</v>
      </c>
      <c r="I5" s="1047">
        <f>H5*'Livestock parameters'!S6</f>
        <v>0</v>
      </c>
      <c r="J5" s="1045">
        <f>H5*'Livestock parameters'!T6/100</f>
        <v>0</v>
      </c>
      <c r="K5" s="1025">
        <f>INPUTS!E20</f>
        <v>0</v>
      </c>
      <c r="L5" s="1029">
        <f>(INPUTS!E20*(0.337+(0.116*'Livestock parameters'!P6)+(0.06*'Livestock parameters'!Q6))*INPUTS!D20)</f>
        <v>0</v>
      </c>
      <c r="M5" s="1047">
        <f>L5*'Livestock parameters'!R6</f>
        <v>0</v>
      </c>
      <c r="N5" s="1045">
        <f>L5*'Livestock parameters'!P6/100</f>
        <v>0</v>
      </c>
    </row>
    <row r="6" spans="1:19">
      <c r="A6" s="1009" t="str">
        <f>INPUTS!C21</f>
        <v>Steers/heifers</v>
      </c>
      <c r="B6" s="1013">
        <f>INPUTS!D21</f>
        <v>0</v>
      </c>
      <c r="C6" s="1013">
        <f>INPUTS!F21</f>
        <v>0</v>
      </c>
      <c r="D6" s="1008">
        <f>B6*'Livestock parameters'!B7/250</f>
        <v>0</v>
      </c>
      <c r="E6" s="1014">
        <f>'Livestock parameters'!O7</f>
        <v>0</v>
      </c>
      <c r="F6" s="1014"/>
      <c r="G6" s="1014">
        <f t="shared" si="0"/>
        <v>0</v>
      </c>
      <c r="H6" s="1014">
        <f>G6*'Livestock parameters'!U7</f>
        <v>0</v>
      </c>
      <c r="I6" s="1047">
        <f>H6*'Livestock parameters'!S7</f>
        <v>0</v>
      </c>
      <c r="J6" s="1045">
        <f>H6*'Livestock parameters'!T7/100</f>
        <v>0</v>
      </c>
      <c r="K6" s="1025">
        <f>INPUTS!E21</f>
        <v>0</v>
      </c>
      <c r="L6" s="1029">
        <f>(INPUTS!E21*(0.337+(0.116*'Livestock parameters'!P7)+(0.06*'Livestock parameters'!Q7))*INPUTS!D21)</f>
        <v>0</v>
      </c>
      <c r="M6" s="1047">
        <f>L6*'Livestock parameters'!R7</f>
        <v>0</v>
      </c>
      <c r="N6" s="1045">
        <f>L6*'Livestock parameters'!P7/100</f>
        <v>0</v>
      </c>
    </row>
    <row r="7" spans="1:19">
      <c r="A7" s="1006" t="str">
        <f>INPUTS!C22</f>
        <v>Calves</v>
      </c>
      <c r="B7" s="307">
        <f>INPUTS!D22</f>
        <v>0</v>
      </c>
      <c r="C7" s="1013">
        <f>INPUTS!F22</f>
        <v>0</v>
      </c>
      <c r="D7" s="1008">
        <f>B7*'Livestock parameters'!B8/250</f>
        <v>0</v>
      </c>
      <c r="E7" s="1014">
        <f>'Livestock parameters'!O8</f>
        <v>0</v>
      </c>
      <c r="F7" s="1014"/>
      <c r="G7" s="1014">
        <f>B7*C7</f>
        <v>0</v>
      </c>
      <c r="H7" s="1014">
        <f>G7*'Livestock parameters'!U8</f>
        <v>0</v>
      </c>
      <c r="I7" s="1047">
        <f>H7*'Livestock parameters'!S8</f>
        <v>0</v>
      </c>
      <c r="J7" s="1045">
        <f>H7*'Livestock parameters'!T8/100</f>
        <v>0</v>
      </c>
      <c r="K7" s="1025">
        <f>INPUTS!E22</f>
        <v>0</v>
      </c>
      <c r="L7" s="1029">
        <f>(INPUTS!E22*(0.337+(0.116*'Livestock parameters'!P8)+(0.06*'Livestock parameters'!Q8))*INPUTS!D22)</f>
        <v>0</v>
      </c>
      <c r="M7" s="1047">
        <f>L7*'Livestock parameters'!R8</f>
        <v>0</v>
      </c>
      <c r="N7" s="1045">
        <f>L7*'Livestock parameters'!P8/100</f>
        <v>0</v>
      </c>
      <c r="S7" s="307">
        <f>1/1.5</f>
        <v>0.66666666666666663</v>
      </c>
    </row>
    <row r="8" spans="1:19">
      <c r="A8" s="1009" t="str">
        <f>INPUTS!C23</f>
        <v>Steers/heifers improved</v>
      </c>
      <c r="B8" s="307">
        <f>INPUTS!D23</f>
        <v>3</v>
      </c>
      <c r="C8" s="1013">
        <f>INPUTS!F23</f>
        <v>156</v>
      </c>
      <c r="D8" s="1008">
        <f>B8*'Livestock parameters'!B9/250</f>
        <v>3.48</v>
      </c>
      <c r="E8" s="1014">
        <f>'Livestock parameters'!O9</f>
        <v>0</v>
      </c>
      <c r="F8" s="1014"/>
      <c r="G8" s="1014">
        <f t="shared" si="0"/>
        <v>468</v>
      </c>
      <c r="H8" s="1014">
        <f>G8*'Livestock parameters'!U9</f>
        <v>271.44</v>
      </c>
      <c r="I8" s="1047">
        <f>H8*'Livestock parameters'!S9</f>
        <v>597168</v>
      </c>
      <c r="J8" s="1045">
        <f>H8*'Livestock parameters'!T9/100</f>
        <v>70.574399999999997</v>
      </c>
      <c r="K8" s="1025">
        <f>INPUTS!E23</f>
        <v>0</v>
      </c>
      <c r="L8" s="1029">
        <f>(INPUTS!E23*(0.337+(0.116*'Livestock parameters'!P9)+(0.06*'Livestock parameters'!Q9))*INPUTS!D23)</f>
        <v>0</v>
      </c>
      <c r="M8" s="1047">
        <f>L8*'Livestock parameters'!R9</f>
        <v>0</v>
      </c>
      <c r="N8" s="1045">
        <f>L8*'Livestock parameters'!P9/100</f>
        <v>0</v>
      </c>
    </row>
    <row r="9" spans="1:19">
      <c r="A9" s="1009" t="str">
        <f>INPUTS!C24</f>
        <v>Calves improved</v>
      </c>
      <c r="B9" s="1013">
        <f>INPUTS!D24</f>
        <v>0</v>
      </c>
      <c r="C9" s="1013">
        <f>INPUTS!F24</f>
        <v>0</v>
      </c>
      <c r="D9" s="1008">
        <f>B9*'Livestock parameters'!B10/250</f>
        <v>0</v>
      </c>
      <c r="E9" s="1014">
        <f>'Livestock parameters'!O10</f>
        <v>0</v>
      </c>
      <c r="F9" s="1014"/>
      <c r="G9" s="1014">
        <f t="shared" si="0"/>
        <v>0</v>
      </c>
      <c r="H9" s="1014">
        <f>G9*'Livestock parameters'!U10</f>
        <v>0</v>
      </c>
      <c r="I9" s="1047">
        <f>H9*'Livestock parameters'!S10</f>
        <v>0</v>
      </c>
      <c r="J9" s="1045">
        <f>H9*'Livestock parameters'!T10/100</f>
        <v>0</v>
      </c>
      <c r="K9" s="1025">
        <f>INPUTS!E24</f>
        <v>0</v>
      </c>
      <c r="L9" s="1029">
        <f>(INPUTS!E24*(0.337+(0.116*'Livestock parameters'!P10)+(0.06*'Livestock parameters'!Q10))*INPUTS!D24)</f>
        <v>0</v>
      </c>
      <c r="M9" s="1047">
        <f>L9*'Livestock parameters'!R10</f>
        <v>0</v>
      </c>
      <c r="N9" s="1045">
        <f>L9*'Livestock parameters'!P10/100</f>
        <v>0</v>
      </c>
    </row>
    <row r="10" spans="1:19">
      <c r="A10" s="1009" t="str">
        <f>INPUTS!C25</f>
        <v>Sheep</v>
      </c>
      <c r="B10" s="1013">
        <f>INPUTS!D25</f>
        <v>0</v>
      </c>
      <c r="C10" s="1013">
        <f>INPUTS!F25</f>
        <v>0</v>
      </c>
      <c r="D10" s="1008">
        <f>B10*'Livestock parameters'!B11/250</f>
        <v>0</v>
      </c>
      <c r="E10" s="1014">
        <f>'Livestock parameters'!O11</f>
        <v>0</v>
      </c>
      <c r="F10" s="1014"/>
      <c r="G10" s="1014">
        <f>B10*C10</f>
        <v>0</v>
      </c>
      <c r="H10" s="1014">
        <f>G10*'Livestock parameters'!U11</f>
        <v>0</v>
      </c>
      <c r="I10" s="1047">
        <f>H10*'Livestock parameters'!S11</f>
        <v>0</v>
      </c>
      <c r="J10" s="1045">
        <f>H10*'Livestock parameters'!T11/100</f>
        <v>0</v>
      </c>
      <c r="K10" s="1025">
        <f>INPUTS!E25</f>
        <v>0</v>
      </c>
      <c r="L10" s="1029">
        <f>(INPUTS!E25*(0.337+(0.116*'Livestock parameters'!P11)+(0.06*'Livestock parameters'!Q11))*INPUTS!D25)</f>
        <v>0</v>
      </c>
      <c r="M10" s="1047">
        <f>L10*'Livestock parameters'!R11</f>
        <v>0</v>
      </c>
      <c r="N10" s="1045">
        <f>L10*'Livestock parameters'!P11/100</f>
        <v>0</v>
      </c>
    </row>
    <row r="11" spans="1:19" ht="15.75" thickBot="1">
      <c r="A11" s="1010" t="str">
        <f>INPUTS!C26</f>
        <v>Goats</v>
      </c>
      <c r="B11" s="1015">
        <f>INPUTS!D26</f>
        <v>0</v>
      </c>
      <c r="C11" s="1015">
        <f>INPUTS!F26</f>
        <v>0</v>
      </c>
      <c r="D11" s="1011">
        <f>B11*'Livestock parameters'!B12/250</f>
        <v>0</v>
      </c>
      <c r="E11" s="1016">
        <f>'Livestock parameters'!O12</f>
        <v>0</v>
      </c>
      <c r="F11" s="1016"/>
      <c r="G11" s="1016">
        <f t="shared" si="0"/>
        <v>0</v>
      </c>
      <c r="H11" s="1016">
        <f>G11*'Livestock parameters'!U12</f>
        <v>0</v>
      </c>
      <c r="I11" s="1048">
        <f>H11*'Livestock parameters'!S12</f>
        <v>0</v>
      </c>
      <c r="J11" s="1046">
        <f>H11*'Livestock parameters'!T12/100</f>
        <v>0</v>
      </c>
      <c r="K11" s="1026">
        <f>INPUTS!E26</f>
        <v>0</v>
      </c>
      <c r="L11" s="1030">
        <f>(INPUTS!E26*(0.337+(0.116*'Livestock parameters'!P12)+(0.06*'Livestock parameters'!Q12))*INPUTS!D26)</f>
        <v>0</v>
      </c>
      <c r="M11" s="1048">
        <f>L11*'Livestock parameters'!R12</f>
        <v>0</v>
      </c>
      <c r="N11" s="1046">
        <f>L11*'Livestock parameters'!P12/100</f>
        <v>0</v>
      </c>
    </row>
    <row r="12" spans="1:19" ht="18" customHeight="1">
      <c r="A12" s="754"/>
      <c r="G12" s="307">
        <f>SUM(G3:G11)</f>
        <v>468</v>
      </c>
      <c r="H12" s="307">
        <f>SUM(H3:H11)</f>
        <v>271.44</v>
      </c>
      <c r="I12" s="1047">
        <f>SUM(I3:I11)</f>
        <v>597168</v>
      </c>
      <c r="J12" s="307">
        <f>SUM(J3:J11)</f>
        <v>70.574399999999997</v>
      </c>
      <c r="L12" s="307">
        <f>SUM(L3:L11)</f>
        <v>3123.81</v>
      </c>
      <c r="M12" s="1047">
        <f>SUM(M3:M11)</f>
        <v>3030095.6999999997</v>
      </c>
      <c r="N12" s="1051">
        <f>SUM(N3:N11)</f>
        <v>115.58096999999999</v>
      </c>
    </row>
    <row r="13" spans="1:19" ht="18" customHeight="1">
      <c r="A13" s="308" t="s">
        <v>1041</v>
      </c>
    </row>
    <row r="14" spans="1:19" ht="105">
      <c r="A14" s="309" t="s">
        <v>1042</v>
      </c>
    </row>
    <row r="15" spans="1:19" ht="30">
      <c r="A15" s="309" t="s">
        <v>1037</v>
      </c>
    </row>
    <row r="16" spans="1:19">
      <c r="A16" s="1002" t="s">
        <v>1660</v>
      </c>
    </row>
    <row r="17" spans="1:12">
      <c r="A17" s="310" t="s">
        <v>1038</v>
      </c>
    </row>
    <row r="18" spans="1:12" ht="120">
      <c r="A18" s="310" t="s">
        <v>1039</v>
      </c>
    </row>
    <row r="19" spans="1:12" ht="30">
      <c r="A19" s="310" t="s">
        <v>1040</v>
      </c>
    </row>
    <row r="20" spans="1:12" ht="18" customHeight="1">
      <c r="A20" s="310"/>
    </row>
    <row r="21" spans="1:12" ht="18" customHeight="1">
      <c r="A21" s="1043" t="s">
        <v>1667</v>
      </c>
      <c r="B21" s="1035"/>
      <c r="C21" s="1035"/>
    </row>
    <row r="22" spans="1:12" ht="18" customHeight="1">
      <c r="A22" s="1036" t="s">
        <v>1668</v>
      </c>
      <c r="B22" s="1037"/>
      <c r="C22" s="1037"/>
    </row>
    <row r="23" spans="1:12">
      <c r="A23" s="1017" t="s">
        <v>1665</v>
      </c>
      <c r="B23" s="307">
        <f>I12</f>
        <v>597168</v>
      </c>
      <c r="K23" s="775"/>
    </row>
    <row r="24" spans="1:12">
      <c r="A24" s="869" t="s">
        <v>1504</v>
      </c>
      <c r="B24" s="1013">
        <f>H12</f>
        <v>271.44</v>
      </c>
      <c r="K24" s="766"/>
    </row>
    <row r="25" spans="1:12">
      <c r="A25" s="1017" t="s">
        <v>1379</v>
      </c>
      <c r="B25" s="307">
        <f>J12</f>
        <v>70.574399999999997</v>
      </c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 s="1038" t="s">
        <v>1209</v>
      </c>
      <c r="B27" s="1530"/>
      <c r="C27" s="1530"/>
      <c r="D27" s="1039"/>
      <c r="E27" s="1040"/>
      <c r="F27" s="1040"/>
      <c r="G27" s="1040"/>
      <c r="H27" s="1040"/>
      <c r="I27" s="1040"/>
      <c r="J27" s="1040"/>
      <c r="K27" s="1040"/>
    </row>
    <row r="28" spans="1:12" ht="15.75">
      <c r="A28" s="409" t="s">
        <v>1050</v>
      </c>
      <c r="B28" s="1034">
        <f>L12</f>
        <v>3123.81</v>
      </c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 s="1017" t="s">
        <v>1666</v>
      </c>
      <c r="B30">
        <f>M12</f>
        <v>3030095.6999999997</v>
      </c>
      <c r="C30"/>
      <c r="D30"/>
      <c r="E30"/>
      <c r="F30"/>
      <c r="G30"/>
      <c r="H30"/>
      <c r="I30"/>
      <c r="J30"/>
      <c r="K30"/>
      <c r="L30"/>
    </row>
    <row r="31" spans="1:12" ht="15.75">
      <c r="A31" t="s">
        <v>1379</v>
      </c>
      <c r="B31">
        <f>N12</f>
        <v>115.58096999999999</v>
      </c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12" ht="15.75">
      <c r="A33" s="1041" t="s">
        <v>1378</v>
      </c>
      <c r="B33" s="1042">
        <f>J12+N12</f>
        <v>186.15537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 s="754"/>
      <c r="B36" s="1013"/>
      <c r="C36" s="1013"/>
      <c r="E36" s="1014"/>
      <c r="F36" s="1014"/>
      <c r="K36" s="1013"/>
    </row>
    <row r="37" spans="1:12">
      <c r="A37" s="754"/>
      <c r="B37" s="1013"/>
      <c r="C37" s="1013"/>
      <c r="E37" s="1014"/>
      <c r="F37" s="1014"/>
      <c r="K37" s="1013"/>
    </row>
  </sheetData>
  <mergeCells count="1">
    <mergeCell ref="B27:C27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5"/>
  <sheetViews>
    <sheetView topLeftCell="B1" workbookViewId="0">
      <selection activeCell="C19" sqref="C19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36" customFormat="1" ht="29.25" customHeight="1">
      <c r="A1" s="537" t="s">
        <v>1229</v>
      </c>
      <c r="B1" s="537"/>
    </row>
    <row r="3" spans="1:13" s="375" customFormat="1">
      <c r="A3" s="42" t="s">
        <v>1307</v>
      </c>
    </row>
    <row r="4" spans="1:13">
      <c r="A4" t="s">
        <v>1251</v>
      </c>
    </row>
    <row r="5" spans="1:13">
      <c r="A5" s="686" t="s">
        <v>1284</v>
      </c>
      <c r="I5" s="674"/>
    </row>
    <row r="7" spans="1:13" ht="31.5">
      <c r="A7" s="17" t="s">
        <v>1252</v>
      </c>
      <c r="B7" s="17" t="s">
        <v>1248</v>
      </c>
      <c r="C7" s="17" t="s">
        <v>1370</v>
      </c>
      <c r="D7" s="633" t="s">
        <v>1369</v>
      </c>
      <c r="E7" s="17" t="s">
        <v>1253</v>
      </c>
      <c r="F7" s="635" t="s">
        <v>1254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30">
        <f>Feed!E113+Feed!E114+Feed!E115+Feed!E116+Feed!E117+Feed!E118+Feed!E119</f>
        <v>2040.18714251447</v>
      </c>
      <c r="D8" s="634">
        <f>SUM(Feed!P113:P119)</f>
        <v>1836.1684282630231</v>
      </c>
      <c r="E8" s="658">
        <f>C8*B8</f>
        <v>11.833085426583926</v>
      </c>
      <c r="F8" s="657">
        <f>D8*B8</f>
        <v>10.649776883925533</v>
      </c>
      <c r="J8" s="675"/>
      <c r="K8" s="675"/>
      <c r="L8" s="638"/>
      <c r="M8" s="638"/>
    </row>
    <row r="9" spans="1:13">
      <c r="A9" s="13" t="str">
        <f>Economics_Parameters!B5</f>
        <v>Sheep Manure</v>
      </c>
      <c r="B9" s="13">
        <f>Economics_Parameters!C5</f>
        <v>5.7999999999999996E-3</v>
      </c>
      <c r="C9" s="630">
        <f>Feed!E120</f>
        <v>0</v>
      </c>
      <c r="D9" s="634">
        <f>Feed!P120</f>
        <v>0</v>
      </c>
      <c r="E9" s="632">
        <f t="shared" ref="E9:E15" si="0">C9*B9</f>
        <v>0</v>
      </c>
      <c r="F9" s="636">
        <f>D9*B9</f>
        <v>0</v>
      </c>
      <c r="J9" s="618"/>
      <c r="L9" s="638"/>
    </row>
    <row r="10" spans="1:13">
      <c r="A10" s="13" t="str">
        <f>Economics_Parameters!B6</f>
        <v>Goat Manure</v>
      </c>
      <c r="B10" s="13">
        <f>Economics_Parameters!C6</f>
        <v>5.7999999999999996E-3</v>
      </c>
      <c r="C10" s="630">
        <f>Feed!E121</f>
        <v>0</v>
      </c>
      <c r="D10" s="634">
        <f>Feed!P121</f>
        <v>0</v>
      </c>
      <c r="E10" s="632">
        <f t="shared" si="0"/>
        <v>0</v>
      </c>
      <c r="F10" s="636">
        <f>D10*B10</f>
        <v>0</v>
      </c>
      <c r="J10" s="618"/>
      <c r="L10" s="638"/>
    </row>
    <row r="11" spans="1:13">
      <c r="A11" s="13" t="str">
        <f>Economics_Parameters!B7</f>
        <v>Beef</v>
      </c>
      <c r="B11" s="13">
        <f>Economics_Parameters!C7</f>
        <v>3</v>
      </c>
      <c r="C11" s="631">
        <f>'Meat &amp; Milk '!B24</f>
        <v>271.44</v>
      </c>
      <c r="E11" s="632">
        <f>C11*B11</f>
        <v>814.31999999999994</v>
      </c>
    </row>
    <row r="12" spans="1:13">
      <c r="A12" s="13" t="str">
        <f>Economics_Parameters!B8</f>
        <v>Goat Meat</v>
      </c>
      <c r="B12" s="13">
        <f>Economics_Parameters!C8</f>
        <v>0</v>
      </c>
      <c r="C12" s="631">
        <f>'Meat &amp; Milk '!G3</f>
        <v>0</v>
      </c>
      <c r="E12" s="632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31">
        <v>0</v>
      </c>
      <c r="E13" s="632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0.35</v>
      </c>
      <c r="C14" s="631">
        <f>'Meat &amp; Milk '!B28</f>
        <v>3123.81</v>
      </c>
      <c r="E14" s="632">
        <f t="shared" si="0"/>
        <v>1093.3335</v>
      </c>
      <c r="J14" s="628"/>
      <c r="K14" s="628"/>
      <c r="L14" s="642"/>
      <c r="M14" s="642"/>
    </row>
    <row r="15" spans="1:13">
      <c r="A15" s="13" t="str">
        <f>Economics_Parameters!B11</f>
        <v>Goat/sheep Milk</v>
      </c>
      <c r="B15" s="13">
        <f>Economics_Parameters!C11</f>
        <v>0</v>
      </c>
      <c r="C15" s="631"/>
      <c r="E15" s="632">
        <f t="shared" si="0"/>
        <v>0</v>
      </c>
      <c r="J15" s="628"/>
      <c r="K15" s="628"/>
      <c r="L15" s="642"/>
      <c r="M15" s="642"/>
    </row>
    <row r="16" spans="1:13">
      <c r="J16" s="628"/>
      <c r="K16" s="628"/>
      <c r="L16" s="642"/>
      <c r="M16" s="642"/>
    </row>
    <row r="17" spans="1:14">
      <c r="J17" s="628"/>
      <c r="K17" s="628"/>
      <c r="L17" s="642"/>
      <c r="M17" s="642"/>
    </row>
    <row r="18" spans="1:14">
      <c r="A18" s="162" t="s">
        <v>1255</v>
      </c>
      <c r="B18" s="162"/>
      <c r="C18" s="162"/>
      <c r="D18" s="162"/>
      <c r="E18" s="629">
        <f>SUM(E8:E15)</f>
        <v>1919.4865854265838</v>
      </c>
      <c r="F18" s="629">
        <f>SUM(F8:F10)+SUM(E11:E15)</f>
        <v>1918.3032768839255</v>
      </c>
      <c r="J18" s="628"/>
      <c r="K18" s="628"/>
      <c r="L18" s="642"/>
      <c r="M18" s="642"/>
    </row>
    <row r="19" spans="1:14" s="37" customFormat="1">
      <c r="E19" s="1109" t="e">
        <f ca="1">E18-INDIRECT(CONCATENATE("'[","Baseline.xlsm","]Economics_Payback '","!E18"))</f>
        <v>#REF!</v>
      </c>
      <c r="F19" s="697"/>
      <c r="J19" s="672"/>
      <c r="K19" s="672"/>
      <c r="L19" s="690"/>
      <c r="M19" s="690"/>
    </row>
    <row r="20" spans="1:14">
      <c r="J20" s="628"/>
      <c r="K20" s="628"/>
      <c r="L20" s="642"/>
      <c r="M20" s="642"/>
    </row>
    <row r="21" spans="1:14" s="375" customFormat="1">
      <c r="A21" s="375" t="s">
        <v>1308</v>
      </c>
      <c r="M21" s="685"/>
    </row>
    <row r="23" spans="1:14">
      <c r="A23" s="640" t="s">
        <v>1256</v>
      </c>
      <c r="B23" s="640" t="s">
        <v>1559</v>
      </c>
      <c r="C23" s="640" t="s">
        <v>1560</v>
      </c>
      <c r="D23" s="640"/>
      <c r="E23" s="640"/>
      <c r="F23" s="162" t="s">
        <v>1561</v>
      </c>
    </row>
    <row r="24" spans="1:14">
      <c r="A24" s="72" t="str">
        <f>INPUTS!$C$18</f>
        <v>Cows - local</v>
      </c>
      <c r="B24" s="1105" t="e">
        <f ca="1">INPUTS!C141*(INPUTS!D141+INPUTS!F141*Economics_Parameters!$C$12)</f>
        <v>#REF!</v>
      </c>
      <c r="C24" s="1105" t="e">
        <f ca="1">INPUTS!C125*(INPUTS!D125+INPUTS!E125*Economics_Parameters!$C$12)+INPUTS!C141*(INPUTS!E141+INPUTS!G141*Economics_Parameters!$C$12)</f>
        <v>#REF!</v>
      </c>
      <c r="D24" s="643"/>
      <c r="E24" s="643"/>
      <c r="F24" s="643" t="e">
        <f ca="1">SUM(B24+C24+E24)</f>
        <v>#REF!</v>
      </c>
      <c r="J24" s="39"/>
      <c r="K24" s="673"/>
      <c r="L24" s="628"/>
      <c r="M24" s="628"/>
      <c r="N24" s="638"/>
    </row>
    <row r="25" spans="1:14">
      <c r="A25" s="72" t="str">
        <f>INPUTS!$C$19</f>
        <v>Cows - improved</v>
      </c>
      <c r="B25" s="1105" t="e">
        <f ca="1">INPUTS!C142*(INPUTS!D142+INPUTS!F142*Economics_Parameters!$C$12)</f>
        <v>#REF!</v>
      </c>
      <c r="C25" s="1105" t="e">
        <f ca="1">INPUTS!C126*(INPUTS!D126+INPUTS!E126*Economics_Parameters!$C$12)+INPUTS!C142*(INPUTS!E142+INPUTS!G142*Economics_Parameters!$C$12)</f>
        <v>#REF!</v>
      </c>
      <c r="D25" s="643"/>
      <c r="E25" s="643"/>
      <c r="F25" s="643" t="e">
        <f t="shared" ref="F25:F35" ca="1" si="1">SUM(B25+C25+E25)</f>
        <v>#REF!</v>
      </c>
      <c r="J25" s="39"/>
      <c r="K25" s="673"/>
      <c r="L25" s="628"/>
      <c r="M25" s="628"/>
      <c r="N25" s="638"/>
    </row>
    <row r="26" spans="1:14">
      <c r="A26" s="72" t="str">
        <f>INPUTS!$C$20</f>
        <v>Adult cattle - male</v>
      </c>
      <c r="B26" s="1105" t="e">
        <f ca="1">INPUTS!C143*(INPUTS!D143+INPUTS!F143*Economics_Parameters!$C$12)</f>
        <v>#REF!</v>
      </c>
      <c r="C26" s="1105" t="e">
        <f ca="1">INPUTS!C127*(INPUTS!D127+INPUTS!E127*Economics_Parameters!$C$12)+INPUTS!C143*(INPUTS!E143+INPUTS!G143*Economics_Parameters!$C$12)</f>
        <v>#REF!</v>
      </c>
      <c r="D26" s="643"/>
      <c r="E26" s="643"/>
      <c r="F26" s="643" t="e">
        <f t="shared" ca="1" si="1"/>
        <v>#REF!</v>
      </c>
      <c r="J26" s="39"/>
      <c r="K26" s="673"/>
      <c r="L26" s="628"/>
      <c r="M26" s="628"/>
      <c r="N26" s="638"/>
    </row>
    <row r="27" spans="1:14">
      <c r="A27" s="72" t="str">
        <f>INPUTS!$C$21</f>
        <v>Steers/heifers</v>
      </c>
      <c r="B27" s="1105" t="e">
        <f ca="1">INPUTS!C144*(INPUTS!D144+INPUTS!F144*Economics_Parameters!$C$12)</f>
        <v>#REF!</v>
      </c>
      <c r="C27" s="1105" t="e">
        <f ca="1">INPUTS!C128*(INPUTS!D128+INPUTS!E128*Economics_Parameters!$C$12)+INPUTS!C144*(INPUTS!E144+INPUTS!G144*Economics_Parameters!$C$12)</f>
        <v>#REF!</v>
      </c>
      <c r="D27" s="643"/>
      <c r="E27" s="643"/>
      <c r="F27" s="643" t="e">
        <f t="shared" ca="1" si="1"/>
        <v>#REF!</v>
      </c>
      <c r="J27" s="39"/>
      <c r="K27" s="673"/>
      <c r="L27" s="628"/>
      <c r="M27" s="628"/>
      <c r="N27" s="638"/>
    </row>
    <row r="28" spans="1:14">
      <c r="A28" s="72" t="str">
        <f>INPUTS!$C$22</f>
        <v>Calves</v>
      </c>
      <c r="B28" s="1105" t="e">
        <f ca="1">INPUTS!C145*(INPUTS!D145+INPUTS!F145*Economics_Parameters!$C$12)</f>
        <v>#REF!</v>
      </c>
      <c r="C28" s="1105" t="e">
        <f ca="1">INPUTS!C129*(INPUTS!D129+INPUTS!E129*Economics_Parameters!$C$12)+INPUTS!C145*(INPUTS!E145+INPUTS!G145*Economics_Parameters!$C$12)</f>
        <v>#REF!</v>
      </c>
      <c r="D28" s="643"/>
      <c r="E28" s="643"/>
      <c r="F28" s="643" t="e">
        <f t="shared" ca="1" si="1"/>
        <v>#REF!</v>
      </c>
      <c r="J28" s="39"/>
      <c r="K28" s="673"/>
      <c r="L28" s="628"/>
      <c r="M28" s="628"/>
      <c r="N28" s="638"/>
    </row>
    <row r="29" spans="1:14">
      <c r="A29" s="72" t="s">
        <v>1354</v>
      </c>
      <c r="B29" s="1105" t="e">
        <f ca="1">INPUTS!C146*(INPUTS!D146+INPUTS!F146*Economics_Parameters!$C$12)</f>
        <v>#REF!</v>
      </c>
      <c r="C29" s="1105" t="e">
        <f ca="1">INPUTS!C130*(INPUTS!D130+INPUTS!E130*Economics_Parameters!$C$12)+INPUTS!C146*(INPUTS!E146+INPUTS!G146*Economics_Parameters!$C$12)</f>
        <v>#REF!</v>
      </c>
      <c r="D29" s="643"/>
      <c r="E29" s="643"/>
      <c r="F29" s="643" t="e">
        <f t="shared" ca="1" si="1"/>
        <v>#REF!</v>
      </c>
      <c r="J29" s="39"/>
      <c r="K29" s="673"/>
      <c r="L29" s="628"/>
      <c r="M29" s="628"/>
      <c r="N29" s="638"/>
    </row>
    <row r="30" spans="1:14">
      <c r="A30" s="72" t="s">
        <v>1355</v>
      </c>
      <c r="B30" s="1105" t="e">
        <f ca="1">INPUTS!C147*(INPUTS!D147+INPUTS!F147*Economics_Parameters!$C$12)</f>
        <v>#REF!</v>
      </c>
      <c r="C30" s="1105" t="e">
        <f ca="1">INPUTS!C131*(INPUTS!D131+INPUTS!E131*Economics_Parameters!$C$12)+INPUTS!C147*(INPUTS!E147+INPUTS!G147*Economics_Parameters!$C$12)</f>
        <v>#REF!</v>
      </c>
      <c r="D30" s="643"/>
      <c r="E30" s="643"/>
      <c r="F30" s="643" t="e">
        <f t="shared" ca="1" si="1"/>
        <v>#REF!</v>
      </c>
      <c r="J30" s="39"/>
      <c r="K30" s="673"/>
      <c r="L30" s="628"/>
      <c r="M30" s="628"/>
      <c r="N30" s="638"/>
    </row>
    <row r="31" spans="1:14">
      <c r="A31" s="72" t="str">
        <f>INPUTS!$C$25</f>
        <v>Sheep</v>
      </c>
      <c r="B31" s="1105" t="e">
        <f ca="1">INPUTS!C148*(INPUTS!D148+INPUTS!F148*Economics_Parameters!$C$12)</f>
        <v>#REF!</v>
      </c>
      <c r="C31" s="1105" t="e">
        <f ca="1">INPUTS!C132*(INPUTS!D132+INPUTS!E132*Economics_Parameters!$C$12)+INPUTS!C148*(INPUTS!E148+INPUTS!G148*Economics_Parameters!$C$12)</f>
        <v>#REF!</v>
      </c>
      <c r="D31" s="643"/>
      <c r="E31" s="643"/>
      <c r="F31" s="643" t="e">
        <f t="shared" ca="1" si="1"/>
        <v>#REF!</v>
      </c>
      <c r="J31" s="39"/>
      <c r="K31" s="673"/>
      <c r="L31" s="628"/>
      <c r="M31" s="628"/>
      <c r="N31" s="638"/>
    </row>
    <row r="32" spans="1:14">
      <c r="A32" s="72" t="str">
        <f>INPUTS!$C$26</f>
        <v>Goats</v>
      </c>
      <c r="B32" s="1105" t="e">
        <f ca="1">INPUTS!C149*(INPUTS!D149+INPUTS!F149*Economics_Parameters!$C$12)</f>
        <v>#REF!</v>
      </c>
      <c r="C32" s="1105" t="e">
        <f ca="1">INPUTS!C133*(INPUTS!D133+INPUTS!E133*Economics_Parameters!$C$12)+INPUTS!C149*(INPUTS!E149+INPUTS!G149*Economics_Parameters!$C$12)</f>
        <v>#REF!</v>
      </c>
      <c r="D32" s="643"/>
      <c r="E32" s="643"/>
      <c r="F32" s="643" t="e">
        <f t="shared" ca="1" si="1"/>
        <v>#REF!</v>
      </c>
      <c r="J32" s="39"/>
      <c r="K32" s="673"/>
      <c r="L32" s="628"/>
      <c r="M32" s="628"/>
      <c r="N32" s="638"/>
    </row>
    <row r="33" spans="1:14">
      <c r="A33" s="42"/>
      <c r="B33" s="1105">
        <f>INPUTS!C150*(INPUTS!D150+INPUTS!F150*Economics_Parameters!$C$12)</f>
        <v>0</v>
      </c>
      <c r="C33" s="1105">
        <f>INPUTS!C134*(INPUTS!D134+INPUTS!E134*Economics_Parameters!$C$12)+INPUTS!C150*(INPUTS!E150+INPUTS!G150*Economics_Parameters!$C$12)</f>
        <v>0</v>
      </c>
      <c r="D33" s="643"/>
      <c r="E33" s="643"/>
      <c r="F33" s="643">
        <f t="shared" si="1"/>
        <v>0</v>
      </c>
      <c r="N33" s="638"/>
    </row>
    <row r="34" spans="1:14">
      <c r="A34" s="42"/>
      <c r="B34" s="1105">
        <f>INPUTS!C151*(INPUTS!D151+INPUTS!F151*Economics_Parameters!$C$12)</f>
        <v>0</v>
      </c>
      <c r="C34" s="1105">
        <f>INPUTS!C135*(INPUTS!D135+INPUTS!E135*Economics_Parameters!$C$12)+INPUTS!C151*(INPUTS!E151+INPUTS!G151*Economics_Parameters!$C$12)</f>
        <v>0</v>
      </c>
      <c r="D34" s="643"/>
      <c r="E34" s="643"/>
      <c r="F34" s="643">
        <f t="shared" si="1"/>
        <v>0</v>
      </c>
    </row>
    <row r="35" spans="1:14">
      <c r="A35" s="1102"/>
      <c r="B35" s="1105">
        <f>INPUTS!C152*(INPUTS!D152+INPUTS!F152*Economics_Parameters!$C$12)</f>
        <v>0</v>
      </c>
      <c r="C35" s="1105">
        <f>INPUTS!C136*(INPUTS!D136+INPUTS!E136*Economics_Parameters!$C$12)+INPUTS!C152*(INPUTS!E152+INPUTS!G152*Economics_Parameters!$C$12)</f>
        <v>0</v>
      </c>
      <c r="D35" s="645"/>
      <c r="E35" s="645"/>
      <c r="F35" s="645">
        <f t="shared" si="1"/>
        <v>0</v>
      </c>
      <c r="N35" s="638"/>
    </row>
    <row r="36" spans="1:14">
      <c r="B36" s="667" t="e">
        <f ca="1">SUM(B24:B35)</f>
        <v>#REF!</v>
      </c>
      <c r="C36" s="667" t="e">
        <f ca="1">SUM(C24:C35)</f>
        <v>#REF!</v>
      </c>
      <c r="F36" s="639" t="e">
        <f ca="1">SUM(F24:F35)</f>
        <v>#REF!</v>
      </c>
      <c r="J36" s="628"/>
      <c r="K36" s="628"/>
      <c r="L36" s="642"/>
      <c r="M36" s="642"/>
    </row>
    <row r="37" spans="1:14">
      <c r="J37" s="628"/>
      <c r="K37" s="628"/>
      <c r="L37" s="642"/>
      <c r="M37" s="642"/>
    </row>
    <row r="38" spans="1:14">
      <c r="A38" s="640" t="s">
        <v>1257</v>
      </c>
      <c r="B38" s="640" t="s">
        <v>1559</v>
      </c>
      <c r="C38" s="640" t="s">
        <v>1560</v>
      </c>
      <c r="D38" s="663" t="s">
        <v>1281</v>
      </c>
      <c r="E38" s="640"/>
      <c r="F38" s="162" t="s">
        <v>1309</v>
      </c>
      <c r="I38" s="628"/>
      <c r="J38" s="628"/>
      <c r="K38" s="642"/>
      <c r="L38" s="642"/>
    </row>
    <row r="39" spans="1:14">
      <c r="A39" s="72" t="e">
        <f ca="1">IF(INPUTS!$B$156= "",INPUTS!$B$166,INPUTS!$B$156)</f>
        <v>#REF!</v>
      </c>
      <c r="B39" s="1106" t="e">
        <f ca="1">IF(INPUTS!C166=0,INPUTS!D166*(INPUTS!E166+INPUTS!G166*Economics_Parameters!$C$12),INPUTS!C166*(INPUTS!E166+INPUTS!G166*Economics_Parameters!$C$12))</f>
        <v>#REF!</v>
      </c>
      <c r="C39" s="1107" t="e">
        <f ca="1">IF(INPUTS!C156=0,INPUTS!D156*(INPUTS!E156+(INPUTS!F156*Economics_Parameters!$C$12)),INPUTS!C156*(INPUTS!E156+(INPUTS!F156*Economics_Parameters!$C$12)))+IF(INPUTS!C166=0,INPUTS!D166*(INPUTS!F166+(INPUTS!H166*Economics_Parameters!$C$12)),INPUTS!C166*(INPUTS!F166+(INPUTS!H166*Economics_Parameters!$C$12)))</f>
        <v>#REF!</v>
      </c>
      <c r="D39" s="1108" t="e">
        <f ca="1">(INPUTS!C156+INPUTS!C166)*Economics_Parameters!$C$16</f>
        <v>#REF!</v>
      </c>
      <c r="E39" s="72"/>
      <c r="F39" s="696" t="e">
        <f t="shared" ref="F39:F45" ca="1" si="2">SUM(B39+C39+D39+E39)</f>
        <v>#REF!</v>
      </c>
      <c r="L39" s="642"/>
    </row>
    <row r="40" spans="1:14">
      <c r="A40" s="72" t="e">
        <f ca="1">IF(INPUTS!$B$157= "",INPUTS!$B$167,INPUTS!$B$157)</f>
        <v>#REF!</v>
      </c>
      <c r="B40" s="1106" t="e">
        <f ca="1">IF(INPUTS!C167=0,INPUTS!D167*(INPUTS!E167+INPUTS!G167*Economics_Parameters!$C$12),INPUTS!C167*(INPUTS!E167+INPUTS!G167*Economics_Parameters!$C$12))</f>
        <v>#REF!</v>
      </c>
      <c r="C40" s="1107" t="e">
        <f ca="1">IF(INPUTS!C157=0,INPUTS!D157*(INPUTS!E157+(INPUTS!F157*Economics_Parameters!$C$12)),INPUTS!C157*(INPUTS!E157+(INPUTS!F157*Economics_Parameters!$C$12)))+IF(INPUTS!C167=0,INPUTS!D167*(INPUTS!F167+(INPUTS!H167*Economics_Parameters!$C$12)),INPUTS!C167*(INPUTS!F167+(INPUTS!H167*Economics_Parameters!$C$12)))</f>
        <v>#REF!</v>
      </c>
      <c r="D40" s="1108" t="e">
        <f ca="1">(INPUTS!C157+INPUTS!C167)*Economics_Parameters!$C$16</f>
        <v>#REF!</v>
      </c>
      <c r="E40" s="72"/>
      <c r="F40" s="696" t="e">
        <f t="shared" ca="1" si="2"/>
        <v>#REF!</v>
      </c>
    </row>
    <row r="41" spans="1:14">
      <c r="A41" s="72" t="e">
        <f ca="1">IF(INPUTS!$B$158= "",INPUTS!$B$168,INPUTS!$B$158)</f>
        <v>#REF!</v>
      </c>
      <c r="B41" s="1106" t="e">
        <f ca="1">IF(INPUTS!C168=0,INPUTS!D168*(INPUTS!E168+INPUTS!G168*Economics_Parameters!$C$12),INPUTS!C168*(INPUTS!E168+INPUTS!G168*Economics_Parameters!$C$12))</f>
        <v>#REF!</v>
      </c>
      <c r="C41" s="1107" t="e">
        <f ca="1">IF(INPUTS!C158=0,INPUTS!D158*(INPUTS!E158+(INPUTS!F158*Economics_Parameters!$C$12)),INPUTS!C158*(INPUTS!E158+(INPUTS!F158*Economics_Parameters!$C$12)))+IF(INPUTS!C168=0,INPUTS!D168*(INPUTS!F168+(INPUTS!H168*Economics_Parameters!$C$12)),INPUTS!C168*(INPUTS!F168+(INPUTS!H168*Economics_Parameters!$C$12)))</f>
        <v>#REF!</v>
      </c>
      <c r="D41" s="1108" t="e">
        <f ca="1">(INPUTS!C158+INPUTS!C168)*Economics_Parameters!$C$16</f>
        <v>#REF!</v>
      </c>
      <c r="E41" s="72"/>
      <c r="F41" s="696" t="e">
        <f t="shared" ca="1" si="2"/>
        <v>#REF!</v>
      </c>
      <c r="L41" s="638"/>
    </row>
    <row r="42" spans="1:14">
      <c r="A42" s="72" t="e">
        <f ca="1">IF(INPUTS!$B$159= "",INPUTS!$B$169,INPUTS!$B$159)</f>
        <v>#REF!</v>
      </c>
      <c r="B42" s="1106" t="e">
        <f ca="1">IF(INPUTS!C169=0,INPUTS!D169*(INPUTS!E169+INPUTS!G169*Economics_Parameters!$C$12),INPUTS!C169*(INPUTS!E169+INPUTS!G169*Economics_Parameters!$C$12))</f>
        <v>#REF!</v>
      </c>
      <c r="C42" s="1107" t="e">
        <f ca="1">IF(INPUTS!C159=0,INPUTS!D159*(INPUTS!E159+(INPUTS!F159*Economics_Parameters!$C$12)),INPUTS!C159*(INPUTS!E159+(INPUTS!F159*Economics_Parameters!$C$12)))+IF(INPUTS!C169=0,INPUTS!D169*(INPUTS!F169+(INPUTS!H169*Economics_Parameters!$C$12)),INPUTS!C169*(INPUTS!F169+(INPUTS!H169*Economics_Parameters!$C$12)))</f>
        <v>#REF!</v>
      </c>
      <c r="D42" s="1108" t="e">
        <f ca="1">(INPUTS!C159+INPUTS!C169)*Economics_Parameters!$C$16</f>
        <v>#REF!</v>
      </c>
      <c r="E42" s="72"/>
      <c r="F42" s="696" t="e">
        <f t="shared" ca="1" si="2"/>
        <v>#REF!</v>
      </c>
    </row>
    <row r="43" spans="1:14">
      <c r="A43" s="72" t="e">
        <f ca="1">IF(INPUTS!$B$160= "",INPUTS!$B$170,INPUTS!$B$160)</f>
        <v>#REF!</v>
      </c>
      <c r="B43" s="1106" t="e">
        <f ca="1">IF(INPUTS!C170=0,INPUTS!D170*(INPUTS!E170+INPUTS!G170*Economics_Parameters!$C$12),INPUTS!C170*(INPUTS!E170+INPUTS!G170*Economics_Parameters!$C$12))</f>
        <v>#REF!</v>
      </c>
      <c r="C43" s="1107" t="e">
        <f ca="1">IF(INPUTS!C160=0,INPUTS!D160*(INPUTS!E160+(INPUTS!F160*Economics_Parameters!$C$12)),INPUTS!C160*(INPUTS!E160+(INPUTS!F160*Economics_Parameters!$C$12)))+IF(INPUTS!C170=0,INPUTS!D170*(INPUTS!F170+(INPUTS!H170*Economics_Parameters!$C$12)),INPUTS!C170*(INPUTS!F170+(INPUTS!H170*Economics_Parameters!$C$12)))</f>
        <v>#REF!</v>
      </c>
      <c r="D43" s="1108" t="e">
        <f ca="1">(INPUTS!C160+INPUTS!C170)*Economics_Parameters!$C$16</f>
        <v>#REF!</v>
      </c>
      <c r="E43" s="72"/>
      <c r="F43" s="696" t="e">
        <f t="shared" ca="1" si="2"/>
        <v>#REF!</v>
      </c>
    </row>
    <row r="44" spans="1:14">
      <c r="A44" s="72" t="e">
        <f ca="1">IF(INPUTS!$B$161= "",INPUTS!$B$171,INPUTS!$B$161)</f>
        <v>#REF!</v>
      </c>
      <c r="B44" s="1106" t="e">
        <f ca="1">IF(INPUTS!C171=0,INPUTS!D171*(INPUTS!E171+INPUTS!G171*Economics_Parameters!$C$12),INPUTS!C171*(INPUTS!E171+INPUTS!G171*Economics_Parameters!$C$12))</f>
        <v>#REF!</v>
      </c>
      <c r="C44" s="1107" t="e">
        <f ca="1">IF(INPUTS!C161=0,INPUTS!D161*(INPUTS!E161+(INPUTS!F161*Economics_Parameters!$C$12)),INPUTS!C161*(INPUTS!E161+(INPUTS!F161*Economics_Parameters!$C$12)))+IF(INPUTS!C171=0,INPUTS!D171*(INPUTS!F171+(INPUTS!H171*Economics_Parameters!$C$12)),INPUTS!C171*(INPUTS!F171+(INPUTS!H171*Economics_Parameters!$C$12)))</f>
        <v>#REF!</v>
      </c>
      <c r="D44" s="1108" t="e">
        <f ca="1">(INPUTS!C161+INPUTS!C171)*Economics_Parameters!$C$16</f>
        <v>#REF!</v>
      </c>
      <c r="E44" s="72"/>
      <c r="F44" s="696" t="e">
        <f t="shared" ca="1" si="2"/>
        <v>#REF!</v>
      </c>
    </row>
    <row r="45" spans="1:14">
      <c r="A45" s="644" t="e">
        <f ca="1">IF(INPUTS!$B$162= "",INPUTS!$B$172,INPUTS!$B$162)</f>
        <v>#REF!</v>
      </c>
      <c r="B45" s="1106" t="e">
        <f ca="1">IF(INPUTS!C172=0,INPUTS!D172*(INPUTS!E172+INPUTS!G172*Economics_Parameters!$C$12),INPUTS!C172*(INPUTS!E172+INPUTS!G172*Economics_Parameters!$C$12))</f>
        <v>#REF!</v>
      </c>
      <c r="C45" s="1107" t="e">
        <f ca="1">IF(INPUTS!C162=0,INPUTS!D162*(INPUTS!E162+(INPUTS!F162*Economics_Parameters!$C$12)),INPUTS!C162*(INPUTS!E162+(INPUTS!F162*Economics_Parameters!$C$12)))+IF(INPUTS!C172=0,INPUTS!D172*(INPUTS!F172+(INPUTS!H172*Economics_Parameters!$C$12)),INPUTS!C172*(INPUTS!F172+(INPUTS!H172*Economics_Parameters!$C$12)))</f>
        <v>#REF!</v>
      </c>
      <c r="D45" s="1108" t="e">
        <f ca="1">(INPUTS!C162+INPUTS!C172)*Economics_Parameters!$C$16</f>
        <v>#REF!</v>
      </c>
      <c r="E45" s="644"/>
      <c r="F45" s="696" t="e">
        <f t="shared" ca="1" si="2"/>
        <v>#REF!</v>
      </c>
      <c r="I45" s="638"/>
    </row>
    <row r="46" spans="1:14">
      <c r="B46" s="666" t="e">
        <f ca="1">SUM(B39:B45)</f>
        <v>#REF!</v>
      </c>
      <c r="C46" s="1104" t="e">
        <f ca="1">SUM(C39:C45)</f>
        <v>#REF!</v>
      </c>
      <c r="D46" s="666" t="e">
        <f ca="1">SUM(D39:D45)</f>
        <v>#REF!</v>
      </c>
      <c r="F46" s="639" t="e">
        <f ca="1">SUM(F39:F45)</f>
        <v>#REF!</v>
      </c>
      <c r="I46" s="638"/>
    </row>
    <row r="47" spans="1:14">
      <c r="J47" s="638"/>
    </row>
    <row r="48" spans="1:14">
      <c r="A48" s="640" t="s">
        <v>1258</v>
      </c>
      <c r="B48" s="640" t="s">
        <v>1559</v>
      </c>
      <c r="C48" s="640" t="s">
        <v>1560</v>
      </c>
      <c r="D48" s="663"/>
      <c r="E48" s="640"/>
      <c r="F48" s="162" t="s">
        <v>1309</v>
      </c>
    </row>
    <row r="49" spans="1:12">
      <c r="A49" s="72" t="str">
        <f>INPUTS!$B$176</f>
        <v>extra stable</v>
      </c>
      <c r="B49" s="659">
        <f>INPUTS!C176+INPUTS!E176*Economics_Parameters!$C$12</f>
        <v>267.5</v>
      </c>
      <c r="C49" s="659">
        <f>INPUTS!D176+INPUTS!F176*Economics_Parameters!$C$12</f>
        <v>3.5</v>
      </c>
      <c r="D49" s="643"/>
      <c r="E49" s="643"/>
      <c r="F49" s="643">
        <f>SUM(E49+C49+B49)</f>
        <v>271</v>
      </c>
    </row>
    <row r="50" spans="1:12">
      <c r="A50" s="72">
        <f>INPUTS!$B$177</f>
        <v>0</v>
      </c>
      <c r="B50" s="659">
        <f>INPUTS!C177+INPUTS!E177*Economics_Parameters!$C$12</f>
        <v>0</v>
      </c>
      <c r="C50" s="659">
        <f>INPUTS!D177+INPUTS!F177*Economics_Parameters!$C$12</f>
        <v>0</v>
      </c>
      <c r="D50" s="643"/>
      <c r="E50" s="643"/>
      <c r="F50" s="643">
        <f>SUM(E50+C50+B50)</f>
        <v>0</v>
      </c>
    </row>
    <row r="51" spans="1:12">
      <c r="A51" s="644">
        <f>INPUTS!$B$178</f>
        <v>0</v>
      </c>
      <c r="B51" s="659">
        <f>INPUTS!C178+INPUTS!E178*Economics_Parameters!$C$12</f>
        <v>0</v>
      </c>
      <c r="C51" s="659">
        <f>INPUTS!D178+INPUTS!F178*Economics_Parameters!$C$12</f>
        <v>0</v>
      </c>
      <c r="D51" s="645"/>
      <c r="E51" s="645"/>
      <c r="F51" s="645">
        <f>SUM(E51+C51+B51)</f>
        <v>0</v>
      </c>
    </row>
    <row r="52" spans="1:12">
      <c r="B52" s="667">
        <f>SUM(B49:B51)</f>
        <v>267.5</v>
      </c>
      <c r="C52" s="667">
        <f>SUM(C49:C51)</f>
        <v>3.5</v>
      </c>
      <c r="F52" s="639">
        <f>SUM(F49:F51)</f>
        <v>271</v>
      </c>
    </row>
    <row r="54" spans="1:12">
      <c r="A54" s="37"/>
      <c r="B54" s="1103" t="s">
        <v>1738</v>
      </c>
      <c r="C54" s="1103" t="s">
        <v>1739</v>
      </c>
      <c r="D54" s="694" t="s">
        <v>1310</v>
      </c>
      <c r="E54" s="37"/>
      <c r="F54" s="37" t="s">
        <v>135</v>
      </c>
    </row>
    <row r="55" spans="1:12">
      <c r="A55" s="687" t="s">
        <v>1373</v>
      </c>
      <c r="B55" s="688" t="e">
        <f ca="1">B36+B46+B52</f>
        <v>#REF!</v>
      </c>
      <c r="C55" s="688" t="e">
        <f ca="1">C36+C46+C52</f>
        <v>#REF!</v>
      </c>
      <c r="D55" s="695" t="e">
        <f ca="1">D36+D46+D52</f>
        <v>#REF!</v>
      </c>
      <c r="E55" s="652"/>
      <c r="F55" s="689" t="e">
        <f ca="1">SUM(F36,F46,F52)</f>
        <v>#REF!</v>
      </c>
    </row>
    <row r="57" spans="1:12">
      <c r="A57" t="s">
        <v>1259</v>
      </c>
    </row>
    <row r="58" spans="1:12">
      <c r="B58" s="664" t="s">
        <v>1742</v>
      </c>
      <c r="C58" s="664" t="s">
        <v>1284</v>
      </c>
      <c r="D58" s="664" t="s">
        <v>1285</v>
      </c>
      <c r="E58" s="664" t="s">
        <v>1286</v>
      </c>
      <c r="F58" s="664" t="s">
        <v>1287</v>
      </c>
      <c r="G58" s="664" t="s">
        <v>1288</v>
      </c>
      <c r="H58" s="664" t="s">
        <v>1311</v>
      </c>
      <c r="I58" s="664" t="s">
        <v>1312</v>
      </c>
      <c r="J58" s="664" t="s">
        <v>1313</v>
      </c>
      <c r="K58" s="664" t="s">
        <v>1314</v>
      </c>
      <c r="L58" s="664"/>
    </row>
    <row r="59" spans="1:12">
      <c r="A59" s="1156" t="s">
        <v>1740</v>
      </c>
      <c r="B59" s="1157" t="e">
        <f ca="1">E19</f>
        <v>#REF!</v>
      </c>
      <c r="C59" s="661" t="e">
        <f ca="1">$B$59*2</f>
        <v>#REF!</v>
      </c>
      <c r="D59" s="661" t="e">
        <f ca="1">$B$59*3</f>
        <v>#REF!</v>
      </c>
      <c r="E59" s="661" t="e">
        <f ca="1">$B$59*4</f>
        <v>#REF!</v>
      </c>
      <c r="F59" s="661" t="e">
        <f ca="1">$B$59*5</f>
        <v>#REF!</v>
      </c>
      <c r="G59" s="661" t="e">
        <f ca="1">$B$59*6</f>
        <v>#REF!</v>
      </c>
      <c r="H59" s="661" t="e">
        <f ca="1">$B$59*7</f>
        <v>#REF!</v>
      </c>
      <c r="I59" s="661" t="e">
        <f ca="1">$B$59*8</f>
        <v>#REF!</v>
      </c>
      <c r="J59" s="661" t="e">
        <f ca="1">$B$59*9</f>
        <v>#REF!</v>
      </c>
      <c r="K59" s="661" t="e">
        <f ca="1">$B$59*10</f>
        <v>#REF!</v>
      </c>
      <c r="L59" s="661"/>
    </row>
    <row r="60" spans="1:12">
      <c r="A60" s="72" t="s">
        <v>1373</v>
      </c>
      <c r="B60" s="641" t="e">
        <f ca="1">F55</f>
        <v>#REF!</v>
      </c>
      <c r="C60" s="661" t="e">
        <f t="shared" ref="C60:K60" ca="1" si="3">B60+$C$55+$D$55</f>
        <v>#REF!</v>
      </c>
      <c r="D60" s="661" t="e">
        <f t="shared" ca="1" si="3"/>
        <v>#REF!</v>
      </c>
      <c r="E60" s="661" t="e">
        <f t="shared" ca="1" si="3"/>
        <v>#REF!</v>
      </c>
      <c r="F60" s="661" t="e">
        <f t="shared" ca="1" si="3"/>
        <v>#REF!</v>
      </c>
      <c r="G60" s="661" t="e">
        <f t="shared" ca="1" si="3"/>
        <v>#REF!</v>
      </c>
      <c r="H60" s="661" t="e">
        <f t="shared" ca="1" si="3"/>
        <v>#REF!</v>
      </c>
      <c r="I60" s="661" t="e">
        <f t="shared" ca="1" si="3"/>
        <v>#REF!</v>
      </c>
      <c r="J60" s="661" t="e">
        <f t="shared" ca="1" si="3"/>
        <v>#REF!</v>
      </c>
      <c r="K60" s="661" t="e">
        <f t="shared" ca="1" si="3"/>
        <v>#REF!</v>
      </c>
      <c r="L60" s="661"/>
    </row>
    <row r="61" spans="1:12">
      <c r="B61" s="660" t="e">
        <f t="shared" ref="B61:G61" ca="1" si="4">SUM(B59-B60)</f>
        <v>#REF!</v>
      </c>
      <c r="C61" s="660" t="e">
        <f t="shared" ca="1" si="4"/>
        <v>#REF!</v>
      </c>
      <c r="D61" s="660" t="e">
        <f t="shared" ca="1" si="4"/>
        <v>#REF!</v>
      </c>
      <c r="E61" s="660" t="e">
        <f t="shared" ca="1" si="4"/>
        <v>#REF!</v>
      </c>
      <c r="F61" s="660" t="e">
        <f t="shared" ca="1" si="4"/>
        <v>#REF!</v>
      </c>
      <c r="G61" s="660" t="e">
        <f t="shared" ca="1" si="4"/>
        <v>#REF!</v>
      </c>
      <c r="H61" s="660" t="e">
        <f ca="1">SUM(H59-H60)</f>
        <v>#REF!</v>
      </c>
      <c r="I61" s="660" t="e">
        <f ca="1">SUM(I59-I60)</f>
        <v>#REF!</v>
      </c>
      <c r="J61" s="660" t="e">
        <f ca="1">SUM(J59-J60)</f>
        <v>#REF!</v>
      </c>
      <c r="K61" s="660" t="e">
        <f ca="1">SUM(K59-K60)</f>
        <v>#REF!</v>
      </c>
      <c r="L61" s="660"/>
    </row>
    <row r="62" spans="1:12">
      <c r="B62" s="628"/>
    </row>
    <row r="64" spans="1:12" s="536" customFormat="1" ht="29.25" customHeight="1">
      <c r="A64" s="537" t="s">
        <v>1260</v>
      </c>
      <c r="B64" s="537"/>
    </row>
    <row r="65" spans="1:14">
      <c r="G65" s="144"/>
    </row>
    <row r="66" spans="1:14">
      <c r="G66" s="144"/>
    </row>
    <row r="67" spans="1:14">
      <c r="A67" s="647" t="s">
        <v>1261</v>
      </c>
      <c r="B67" s="1155" t="s">
        <v>1741</v>
      </c>
      <c r="C67" s="647" t="s">
        <v>1263</v>
      </c>
      <c r="D67" s="647" t="s">
        <v>1264</v>
      </c>
      <c r="E67" s="647" t="s">
        <v>1265</v>
      </c>
      <c r="F67" s="1118"/>
      <c r="G67" s="1121"/>
      <c r="H67" s="37"/>
      <c r="J67" s="37"/>
      <c r="K67" s="37"/>
      <c r="L67" s="37"/>
      <c r="M67" s="37"/>
      <c r="N67" s="37"/>
    </row>
    <row r="68" spans="1:14">
      <c r="A68">
        <v>0</v>
      </c>
      <c r="B68" s="638" t="e">
        <f ca="1">$B$61</f>
        <v>#REF!</v>
      </c>
      <c r="C68" s="1119" t="e">
        <f ca="1">$B$61</f>
        <v>#REF!</v>
      </c>
      <c r="D68" s="642" t="e">
        <f ca="1">$B$61</f>
        <v>#REF!</v>
      </c>
      <c r="E68" s="39"/>
      <c r="F68" s="1117"/>
      <c r="G68" s="1117"/>
      <c r="I68" s="628"/>
      <c r="K68" s="670"/>
    </row>
    <row r="69" spans="1:14">
      <c r="A69">
        <v>1</v>
      </c>
      <c r="B69" s="638" t="e">
        <f ca="1">C61</f>
        <v>#REF!</v>
      </c>
      <c r="C69" s="646" t="e">
        <f ca="1">-PV(Economics_Parameters!$C$20,A69,,B69)</f>
        <v>#REF!</v>
      </c>
      <c r="D69" s="642" t="e">
        <f ca="1">D68+C69</f>
        <v>#REF!</v>
      </c>
      <c r="E69" s="39" t="e">
        <f ca="1">IF(D69&lt;0,"N/A",ABS(D68/C69))</f>
        <v>#REF!</v>
      </c>
      <c r="G69" s="1121"/>
      <c r="I69" s="628"/>
      <c r="K69" s="670"/>
      <c r="L69" s="671"/>
      <c r="M69" s="671"/>
    </row>
    <row r="70" spans="1:14">
      <c r="A70" s="1117">
        <v>2</v>
      </c>
      <c r="B70" s="638" t="e">
        <f ca="1">D61</f>
        <v>#REF!</v>
      </c>
      <c r="C70" s="646" t="e">
        <f ca="1">-PV(Economics_Parameters!$C$20,A70,,B70)</f>
        <v>#REF!</v>
      </c>
      <c r="D70" s="642" t="e">
        <f t="shared" ref="D70:D77" ca="1" si="5">D69+C70</f>
        <v>#REF!</v>
      </c>
      <c r="E70" s="39" t="e">
        <f t="shared" ref="E70:E77" ca="1" si="6">IF(D70&lt;0,"N/A",ABS(D69/C70))</f>
        <v>#REF!</v>
      </c>
      <c r="F70" s="1117"/>
      <c r="G70" s="1121"/>
      <c r="I70" s="628"/>
      <c r="K70" s="670"/>
      <c r="L70" s="671"/>
      <c r="M70" s="671"/>
    </row>
    <row r="71" spans="1:14">
      <c r="A71" s="1117">
        <v>3</v>
      </c>
      <c r="B71" s="638" t="e">
        <f ca="1">E61</f>
        <v>#REF!</v>
      </c>
      <c r="C71" s="646" t="e">
        <f ca="1">-PV(Economics_Parameters!$C$20,A71,,B71)</f>
        <v>#REF!</v>
      </c>
      <c r="D71" s="642" t="e">
        <f t="shared" ca="1" si="5"/>
        <v>#REF!</v>
      </c>
      <c r="E71" s="39" t="e">
        <f t="shared" ca="1" si="6"/>
        <v>#REF!</v>
      </c>
      <c r="F71" s="1117"/>
      <c r="G71" s="1121"/>
      <c r="K71" s="670"/>
      <c r="L71" s="671"/>
      <c r="M71" s="671"/>
    </row>
    <row r="72" spans="1:14">
      <c r="A72" s="1117">
        <v>4</v>
      </c>
      <c r="B72" s="638" t="e">
        <f ca="1">F61</f>
        <v>#REF!</v>
      </c>
      <c r="C72" s="646" t="e">
        <f ca="1">-PV(Economics_Parameters!$C$20,A72,,B72)</f>
        <v>#REF!</v>
      </c>
      <c r="D72" s="642" t="e">
        <f t="shared" ca="1" si="5"/>
        <v>#REF!</v>
      </c>
      <c r="E72" s="39" t="e">
        <f t="shared" ca="1" si="6"/>
        <v>#REF!</v>
      </c>
      <c r="F72" s="1117"/>
      <c r="G72" s="1121"/>
      <c r="K72" s="670"/>
      <c r="L72" s="671"/>
      <c r="M72" s="671"/>
    </row>
    <row r="73" spans="1:14">
      <c r="A73" s="1117">
        <v>5</v>
      </c>
      <c r="B73" s="638" t="e">
        <f ca="1">G61</f>
        <v>#REF!</v>
      </c>
      <c r="C73" s="646" t="e">
        <f ca="1">-PV(Economics_Parameters!$C$20,A73,,B73)</f>
        <v>#REF!</v>
      </c>
      <c r="D73" s="642" t="e">
        <f t="shared" ca="1" si="5"/>
        <v>#REF!</v>
      </c>
      <c r="E73" s="39" t="e">
        <f t="shared" ca="1" si="6"/>
        <v>#REF!</v>
      </c>
      <c r="F73" s="1117"/>
      <c r="G73" s="1121"/>
      <c r="K73" s="670"/>
      <c r="L73" s="671"/>
      <c r="M73" s="671"/>
    </row>
    <row r="74" spans="1:14">
      <c r="A74" s="1117">
        <v>6</v>
      </c>
      <c r="B74" s="638" t="e">
        <f ca="1">H61</f>
        <v>#REF!</v>
      </c>
      <c r="C74" s="646" t="e">
        <f ca="1">-PV(Economics_Parameters!$C$20,A74,,B74)</f>
        <v>#REF!</v>
      </c>
      <c r="D74" s="642" t="e">
        <f t="shared" ca="1" si="5"/>
        <v>#REF!</v>
      </c>
      <c r="E74" s="39" t="e">
        <f t="shared" ca="1" si="6"/>
        <v>#REF!</v>
      </c>
      <c r="F74" s="1117"/>
      <c r="G74" s="1121"/>
      <c r="K74" s="670"/>
      <c r="L74" s="671"/>
      <c r="M74" s="671"/>
    </row>
    <row r="75" spans="1:14">
      <c r="A75" s="1117">
        <v>7</v>
      </c>
      <c r="B75" s="638" t="e">
        <f ca="1">I61</f>
        <v>#REF!</v>
      </c>
      <c r="C75" s="646" t="e">
        <f ca="1">-PV(Economics_Parameters!$C$20,A75,,B75)</f>
        <v>#REF!</v>
      </c>
      <c r="D75" s="642" t="e">
        <f t="shared" ca="1" si="5"/>
        <v>#REF!</v>
      </c>
      <c r="E75" s="39" t="e">
        <f t="shared" ca="1" si="6"/>
        <v>#REF!</v>
      </c>
      <c r="F75" s="1117"/>
      <c r="G75" s="1121"/>
      <c r="K75" s="670"/>
      <c r="L75" s="671"/>
      <c r="M75" s="671"/>
    </row>
    <row r="76" spans="1:14">
      <c r="A76" s="1117">
        <v>8</v>
      </c>
      <c r="B76" s="638" t="e">
        <f ca="1">J61</f>
        <v>#REF!</v>
      </c>
      <c r="C76" s="646" t="e">
        <f ca="1">-PV(Economics_Parameters!$C$20,A76,,B76)</f>
        <v>#REF!</v>
      </c>
      <c r="D76" s="642" t="e">
        <f t="shared" ca="1" si="5"/>
        <v>#REF!</v>
      </c>
      <c r="E76" s="39" t="e">
        <f t="shared" ca="1" si="6"/>
        <v>#REF!</v>
      </c>
      <c r="F76" s="1117"/>
      <c r="G76" s="1121"/>
      <c r="K76" s="670"/>
      <c r="L76" s="671"/>
      <c r="M76" s="671"/>
    </row>
    <row r="77" spans="1:14">
      <c r="A77" s="1117">
        <v>9</v>
      </c>
      <c r="B77" s="638" t="e">
        <f ca="1">K61</f>
        <v>#REF!</v>
      </c>
      <c r="C77" s="646" t="e">
        <f ca="1">-PV(Economics_Parameters!$C$20,A77,,B77)</f>
        <v>#REF!</v>
      </c>
      <c r="D77" s="642" t="e">
        <f t="shared" ca="1" si="5"/>
        <v>#REF!</v>
      </c>
      <c r="E77" s="39" t="e">
        <f t="shared" ca="1" si="6"/>
        <v>#REF!</v>
      </c>
      <c r="F77" s="1117"/>
      <c r="G77" s="1121"/>
      <c r="K77" s="670"/>
      <c r="L77" s="671"/>
      <c r="M77" s="671"/>
    </row>
    <row r="78" spans="1:14">
      <c r="B78" s="638"/>
      <c r="C78" s="646"/>
      <c r="D78" s="642"/>
      <c r="E78" s="39"/>
      <c r="G78" s="144"/>
      <c r="K78" s="670"/>
      <c r="L78" s="671"/>
      <c r="M78" s="671"/>
    </row>
    <row r="79" spans="1:14">
      <c r="B79" s="638"/>
      <c r="C79" s="646"/>
      <c r="D79" s="642"/>
      <c r="E79" s="39"/>
      <c r="G79" s="144"/>
      <c r="K79" s="670"/>
      <c r="L79" s="671"/>
      <c r="M79" s="671"/>
    </row>
    <row r="80" spans="1:14" ht="16.5" thickBot="1">
      <c r="G80" s="144"/>
    </row>
    <row r="81" spans="1:12" ht="16.5" thickBot="1">
      <c r="A81" s="647" t="s">
        <v>1266</v>
      </c>
      <c r="B81" s="647">
        <f ca="1">COUNTIF($D$69:$D$77,"&lt;0")</f>
        <v>0</v>
      </c>
      <c r="C81" s="1122" t="e">
        <f ca="1">INDEX(E69:E77,COUNTIF(D69:D77,"&lt;0")+1)</f>
        <v>#REF!</v>
      </c>
      <c r="D81" s="1123" t="e">
        <f ca="1">B81+C81</f>
        <v>#REF!</v>
      </c>
      <c r="G81" s="144"/>
      <c r="J81" s="37"/>
      <c r="K81" s="672"/>
      <c r="L81" s="628"/>
    </row>
    <row r="82" spans="1:12">
      <c r="G82" s="144"/>
    </row>
    <row r="83" spans="1:12">
      <c r="A83" s="652" t="s">
        <v>1276</v>
      </c>
      <c r="B83" s="653" t="e">
        <f ca="1">SUM(C68:C77)</f>
        <v>#REF!</v>
      </c>
      <c r="C83" s="671"/>
      <c r="G83" s="144"/>
      <c r="J83" s="37"/>
      <c r="K83" s="617"/>
    </row>
    <row r="84" spans="1:12">
      <c r="G84" s="144"/>
    </row>
    <row r="85" spans="1:12">
      <c r="A85" s="647" t="s">
        <v>1316</v>
      </c>
      <c r="B85" s="698"/>
      <c r="C85" s="642"/>
      <c r="G85" s="144"/>
    </row>
    <row r="86" spans="1:12">
      <c r="A86" t="s">
        <v>1284</v>
      </c>
      <c r="B86" s="654" t="e">
        <f ca="1">(B59-B60)/B60</f>
        <v>#REF!</v>
      </c>
      <c r="G86" s="144"/>
    </row>
    <row r="87" spans="1:12">
      <c r="A87" t="s">
        <v>1330</v>
      </c>
      <c r="B87" s="654" t="e">
        <f ca="1">(C59-C60)/C60</f>
        <v>#REF!</v>
      </c>
      <c r="G87" s="144"/>
    </row>
    <row r="88" spans="1:12">
      <c r="A88" t="s">
        <v>1286</v>
      </c>
      <c r="B88" s="654" t="e">
        <f ca="1">(D59-D60)/D60</f>
        <v>#REF!</v>
      </c>
      <c r="G88" s="144"/>
    </row>
    <row r="89" spans="1:12">
      <c r="A89" t="s">
        <v>1287</v>
      </c>
      <c r="B89" s="654" t="e">
        <f ca="1">(E$59-E$60)/(E$60)</f>
        <v>#REF!</v>
      </c>
      <c r="G89" s="144"/>
    </row>
    <row r="90" spans="1:12">
      <c r="A90" t="s">
        <v>1288</v>
      </c>
      <c r="B90" s="654" t="e">
        <f ca="1">(F$59-F$60)/(F$60)</f>
        <v>#REF!</v>
      </c>
    </row>
    <row r="91" spans="1:12">
      <c r="A91" t="s">
        <v>1311</v>
      </c>
      <c r="B91" s="654" t="e">
        <f ca="1">(G$59-G$60)/(G$60)</f>
        <v>#REF!</v>
      </c>
    </row>
    <row r="92" spans="1:12">
      <c r="A92" t="s">
        <v>1312</v>
      </c>
      <c r="B92" s="654" t="e">
        <f ca="1">(H$59-H$60)/(H$60)</f>
        <v>#REF!</v>
      </c>
    </row>
    <row r="93" spans="1:12">
      <c r="A93" t="s">
        <v>1313</v>
      </c>
      <c r="B93" s="654" t="e">
        <f ca="1">(I$59-I$60)/(I$60)</f>
        <v>#REF!</v>
      </c>
    </row>
    <row r="94" spans="1:12">
      <c r="A94" t="s">
        <v>1314</v>
      </c>
      <c r="B94" s="654" t="e">
        <f ca="1">(J$59-J$60)/(J$60)</f>
        <v>#REF!</v>
      </c>
    </row>
    <row r="95" spans="1:12">
      <c r="A95" t="s">
        <v>1315</v>
      </c>
      <c r="B95" s="654" t="e">
        <f ca="1">(K$59-K$60)/(K$60)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21"/>
  <sheetViews>
    <sheetView showFormulas="1" workbookViewId="0">
      <selection activeCell="H26" sqref="H25:H26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4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4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4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4" customFormat="1" ht="15.75" customHeight="1">
      <c r="A4" s="183"/>
      <c r="C4" s="184">
        <v>365</v>
      </c>
      <c r="D4" s="184" t="s">
        <v>391</v>
      </c>
    </row>
    <row r="5" spans="1:78" s="186" customFormat="1" ht="15.75" customHeight="1" thickBot="1">
      <c r="A5" s="185"/>
      <c r="BP5" s="312"/>
      <c r="BQ5" s="312"/>
      <c r="BR5" s="312"/>
      <c r="BS5" s="312"/>
      <c r="BT5" s="312" t="s">
        <v>1179</v>
      </c>
    </row>
    <row r="6" spans="1:78" ht="96.75" customHeight="1" thickBot="1">
      <c r="A6" s="151" t="s">
        <v>810</v>
      </c>
      <c r="B6" s="104" t="s">
        <v>1018</v>
      </c>
      <c r="D6" s="150" t="s">
        <v>655</v>
      </c>
      <c r="E6" s="145"/>
      <c r="F6" s="1531" t="s">
        <v>764</v>
      </c>
      <c r="G6" s="1532"/>
      <c r="H6" s="1532"/>
      <c r="I6" s="1532"/>
      <c r="J6" s="1532"/>
      <c r="K6" s="1532"/>
      <c r="L6" s="1533"/>
      <c r="N6" s="1534" t="s">
        <v>848</v>
      </c>
      <c r="O6" s="1540"/>
      <c r="P6" s="1540"/>
      <c r="Q6" s="1540"/>
      <c r="R6" s="1540"/>
      <c r="S6" s="1540"/>
      <c r="T6" s="1541"/>
      <c r="U6" s="718"/>
      <c r="V6" s="1534" t="s">
        <v>765</v>
      </c>
      <c r="W6" s="1535"/>
      <c r="X6" s="1535"/>
      <c r="Y6" s="1535"/>
      <c r="Z6" s="1535"/>
      <c r="AA6" s="1536"/>
      <c r="AB6" s="145"/>
      <c r="AC6" s="1534" t="s">
        <v>766</v>
      </c>
      <c r="AD6" s="1536"/>
      <c r="AE6" s="162"/>
      <c r="AF6" s="1537" t="s">
        <v>806</v>
      </c>
      <c r="AG6" s="1536"/>
      <c r="AI6" s="139" t="s">
        <v>767</v>
      </c>
      <c r="AJ6" s="139"/>
      <c r="AK6" s="139" t="s">
        <v>768</v>
      </c>
      <c r="AL6" s="139"/>
      <c r="AM6" s="139" t="s">
        <v>769</v>
      </c>
      <c r="AN6" s="139"/>
      <c r="AO6" s="139" t="s">
        <v>962</v>
      </c>
      <c r="AP6" s="139" t="s">
        <v>963</v>
      </c>
      <c r="AQ6" s="139"/>
      <c r="AR6" s="146"/>
      <c r="AS6" s="140" t="s">
        <v>770</v>
      </c>
      <c r="AT6" s="140"/>
      <c r="AU6" s="140"/>
      <c r="AV6" s="140" t="s">
        <v>771</v>
      </c>
      <c r="AW6" s="140"/>
      <c r="AX6" s="140" t="s">
        <v>1007</v>
      </c>
      <c r="AY6" s="140"/>
      <c r="AZ6" s="140" t="s">
        <v>1008</v>
      </c>
      <c r="BA6" s="223"/>
      <c r="BB6" s="223"/>
      <c r="BC6" s="140" t="s">
        <v>1401</v>
      </c>
      <c r="BD6" s="140"/>
      <c r="BE6" s="140" t="s">
        <v>944</v>
      </c>
      <c r="BF6" s="140" t="s">
        <v>945</v>
      </c>
      <c r="BG6" s="140" t="s">
        <v>772</v>
      </c>
      <c r="BH6" s="140"/>
      <c r="BI6" s="140" t="s">
        <v>773</v>
      </c>
      <c r="BJ6" s="223"/>
      <c r="BL6" s="807" t="s">
        <v>1432</v>
      </c>
      <c r="BM6" s="807" t="s">
        <v>1433</v>
      </c>
      <c r="BN6" s="806" t="s">
        <v>1431</v>
      </c>
      <c r="BO6" s="224"/>
      <c r="BP6" s="806" t="s">
        <v>1221</v>
      </c>
      <c r="BQ6" s="805"/>
      <c r="BR6" s="422" t="s">
        <v>261</v>
      </c>
      <c r="BS6" s="423" t="s">
        <v>1049</v>
      </c>
      <c r="BT6" s="424">
        <f>BN16</f>
        <v>-24.253396572007375</v>
      </c>
      <c r="BU6" s="424">
        <f>BP16</f>
        <v>-24.559752632500931</v>
      </c>
      <c r="BV6" s="141"/>
      <c r="BW6" s="141"/>
    </row>
    <row r="7" spans="1:78" s="142" customFormat="1" ht="87.75" customHeight="1">
      <c r="A7" s="30"/>
      <c r="B7" s="30"/>
      <c r="C7" s="30"/>
      <c r="D7" s="200" t="s">
        <v>774</v>
      </c>
      <c r="E7" s="200"/>
      <c r="F7" s="200" t="s">
        <v>1011</v>
      </c>
      <c r="G7" s="200"/>
      <c r="H7" s="200" t="s">
        <v>1336</v>
      </c>
      <c r="I7" s="937" t="s">
        <v>1337</v>
      </c>
      <c r="J7" s="937" t="s">
        <v>1650</v>
      </c>
      <c r="K7" s="314" t="s">
        <v>1651</v>
      </c>
      <c r="L7" s="314" t="s">
        <v>1652</v>
      </c>
      <c r="M7" s="200"/>
      <c r="N7" s="201" t="s">
        <v>1012</v>
      </c>
      <c r="O7" s="1538" t="s">
        <v>1013</v>
      </c>
      <c r="P7" s="1538" t="s">
        <v>811</v>
      </c>
      <c r="Q7" s="717" t="s">
        <v>1349</v>
      </c>
      <c r="R7" s="788" t="s">
        <v>1423</v>
      </c>
      <c r="S7" s="202" t="s">
        <v>1412</v>
      </c>
      <c r="T7" s="201" t="s">
        <v>1014</v>
      </c>
      <c r="U7" s="202" t="s">
        <v>1350</v>
      </c>
      <c r="V7" s="200" t="s">
        <v>775</v>
      </c>
      <c r="W7" s="600" t="s">
        <v>776</v>
      </c>
      <c r="X7" s="601" t="s">
        <v>1005</v>
      </c>
      <c r="Y7" s="601" t="s">
        <v>1006</v>
      </c>
      <c r="Z7" s="202" t="s">
        <v>777</v>
      </c>
      <c r="AA7" s="200" t="s">
        <v>778</v>
      </c>
      <c r="AB7" s="202"/>
      <c r="AC7" s="202"/>
      <c r="AD7" s="202" t="s">
        <v>1017</v>
      </c>
      <c r="AE7" s="202"/>
      <c r="AF7" s="202" t="s">
        <v>1015</v>
      </c>
      <c r="AG7" s="202" t="s">
        <v>1016</v>
      </c>
      <c r="AH7" s="203"/>
      <c r="AI7" s="202" t="s">
        <v>950</v>
      </c>
      <c r="AJ7" s="30" t="s">
        <v>779</v>
      </c>
      <c r="AK7" s="202" t="s">
        <v>951</v>
      </c>
      <c r="AL7" s="30" t="s">
        <v>779</v>
      </c>
      <c r="AM7" s="202" t="s">
        <v>952</v>
      </c>
      <c r="AN7" s="30" t="s">
        <v>779</v>
      </c>
      <c r="AO7" s="202" t="s">
        <v>964</v>
      </c>
      <c r="AP7" s="202" t="s">
        <v>965</v>
      </c>
      <c r="AQ7" s="30" t="s">
        <v>779</v>
      </c>
      <c r="AR7" s="204"/>
      <c r="AS7" s="30" t="s">
        <v>953</v>
      </c>
      <c r="AT7" s="202" t="s">
        <v>779</v>
      </c>
      <c r="AU7" s="202" t="s">
        <v>779</v>
      </c>
      <c r="AV7" s="30" t="s">
        <v>954</v>
      </c>
      <c r="AW7" s="202" t="s">
        <v>779</v>
      </c>
      <c r="AX7" s="315" t="s">
        <v>955</v>
      </c>
      <c r="AY7" s="316" t="s">
        <v>779</v>
      </c>
      <c r="AZ7" s="316" t="s">
        <v>956</v>
      </c>
      <c r="BA7" s="316" t="s">
        <v>779</v>
      </c>
      <c r="BB7" s="316" t="s">
        <v>779</v>
      </c>
      <c r="BC7" s="316" t="s">
        <v>957</v>
      </c>
      <c r="BD7" s="202" t="s">
        <v>779</v>
      </c>
      <c r="BE7" s="202" t="s">
        <v>90</v>
      </c>
      <c r="BF7" s="30" t="s">
        <v>958</v>
      </c>
      <c r="BG7" s="202" t="s">
        <v>959</v>
      </c>
      <c r="BH7" s="202" t="s">
        <v>779</v>
      </c>
      <c r="BI7" s="202" t="s">
        <v>960</v>
      </c>
      <c r="BJ7" s="428" t="s">
        <v>779</v>
      </c>
      <c r="BK7" s="206"/>
      <c r="BL7" s="51" t="s">
        <v>1405</v>
      </c>
      <c r="BM7" s="51" t="s">
        <v>1405</v>
      </c>
      <c r="BN7" s="207" t="s">
        <v>127</v>
      </c>
      <c r="BO7" s="207" t="s">
        <v>1048</v>
      </c>
      <c r="BP7" s="207" t="s">
        <v>127</v>
      </c>
      <c r="BQ7" s="207" t="s">
        <v>1048</v>
      </c>
      <c r="BR7" s="207" t="s">
        <v>832</v>
      </c>
      <c r="BS7" s="2" t="s">
        <v>1216</v>
      </c>
      <c r="BT7" s="783">
        <f>BO16</f>
        <v>-38.953917198585408</v>
      </c>
      <c r="BU7" s="783">
        <f>BQ16</f>
        <v>-39.445962449992564</v>
      </c>
    </row>
    <row r="8" spans="1:78" s="142" customFormat="1" ht="21.75" customHeight="1">
      <c r="A8" s="30"/>
      <c r="B8" s="30"/>
      <c r="C8" s="30"/>
      <c r="D8" s="208"/>
      <c r="E8" s="200"/>
      <c r="F8" s="208"/>
      <c r="G8" s="208"/>
      <c r="H8" s="208"/>
      <c r="I8" s="208"/>
      <c r="J8" s="208"/>
      <c r="K8" s="208"/>
      <c r="M8" s="209"/>
      <c r="N8" s="210"/>
      <c r="O8" s="1539"/>
      <c r="P8" s="1539"/>
      <c r="Q8" s="211"/>
      <c r="R8" s="211"/>
      <c r="S8" s="211"/>
      <c r="T8" s="211"/>
      <c r="U8" s="211"/>
      <c r="V8" s="208"/>
      <c r="W8" s="210"/>
      <c r="X8" s="210"/>
      <c r="Y8" s="210"/>
      <c r="Z8" s="210"/>
      <c r="AA8" s="208"/>
      <c r="AB8" s="202"/>
      <c r="AC8" s="210"/>
      <c r="AD8" s="210"/>
      <c r="AE8" s="210"/>
      <c r="AF8" s="210"/>
      <c r="AG8" s="210"/>
      <c r="AH8" s="203"/>
      <c r="AI8" s="202"/>
      <c r="AJ8" s="30"/>
      <c r="AK8" s="202"/>
      <c r="AL8" s="30"/>
      <c r="AM8" s="202"/>
      <c r="AN8" s="30"/>
      <c r="AO8" s="30"/>
      <c r="AP8" s="202"/>
      <c r="AQ8" s="30"/>
      <c r="AR8" s="204"/>
      <c r="AS8" s="30"/>
      <c r="AT8" s="202"/>
      <c r="AU8" s="212" t="s">
        <v>787</v>
      </c>
      <c r="AV8" s="30"/>
      <c r="AW8" s="30"/>
      <c r="AX8" s="315"/>
      <c r="AY8" s="315"/>
      <c r="AZ8" s="315"/>
      <c r="BA8" s="315"/>
      <c r="BB8" s="315"/>
      <c r="BC8" s="315"/>
      <c r="BD8" s="30"/>
      <c r="BE8" s="30"/>
      <c r="BF8" s="30"/>
      <c r="BG8" s="30"/>
      <c r="BH8" s="202"/>
      <c r="BI8" s="202"/>
      <c r="BJ8" s="205"/>
      <c r="BK8" s="206"/>
      <c r="BN8" s="205"/>
      <c r="BO8" s="313"/>
      <c r="BP8" s="313"/>
      <c r="BQ8" s="313"/>
      <c r="BR8" s="143"/>
      <c r="BS8" s="782" t="s">
        <v>1406</v>
      </c>
      <c r="BU8" s="784" t="s">
        <v>1411</v>
      </c>
      <c r="BV8" s="784" t="s">
        <v>1413</v>
      </c>
      <c r="BW8" s="784" t="s">
        <v>1414</v>
      </c>
      <c r="BX8" s="7" t="s">
        <v>1425</v>
      </c>
      <c r="BY8" s="7" t="s">
        <v>1426</v>
      </c>
      <c r="BZ8" s="785" t="s">
        <v>1424</v>
      </c>
    </row>
    <row r="9" spans="1:78">
      <c r="A9" t="str">
        <f>INPUTS!D72</f>
        <v>Purchased</v>
      </c>
      <c r="B9" s="39">
        <f>VLOOKUP(A9,'Crop parameters'!$A$3:$Z$39,13,FALSE)</f>
        <v>0</v>
      </c>
      <c r="C9" s="39"/>
      <c r="D9" s="39">
        <f>'Land requirements'!E4</f>
        <v>0</v>
      </c>
      <c r="E9" s="39"/>
      <c r="F9" s="39">
        <f>INPUTS!E96</f>
        <v>0</v>
      </c>
      <c r="G9" s="39"/>
      <c r="H9" s="39">
        <f>IFERROR(Feed!$O$122*(S9+U9)/($S$16+$U$16),0)</f>
        <v>0</v>
      </c>
      <c r="I9" s="39">
        <f>Feed!$Q$122*INPUTS!F96</f>
        <v>0</v>
      </c>
      <c r="J9" s="39">
        <f>Feed!$S$122*INPUTS!F96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VLOOKUP(INPUTS!$D72,'Crop parameters'!$A$3:$Z$39,4, FALSE)*1000</f>
        <v>0</v>
      </c>
      <c r="O9" s="39">
        <f>VLOOKUP(INPUTS!$D72,'Crop parameters'!$A$3:$Z$39,8,FALSE)*1000</f>
        <v>0</v>
      </c>
      <c r="P9" s="39">
        <f>INPUTS!F87</f>
        <v>0</v>
      </c>
      <c r="Q9" s="39">
        <f>INPUTS!E87</f>
        <v>0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Parameters'!C$239</f>
        <v>1</v>
      </c>
      <c r="AE9" s="39"/>
      <c r="AF9" s="296">
        <f>VLOOKUP(A9,'Crop parameters'!$A$3:$Z$39,10, FALSE)</f>
        <v>0</v>
      </c>
      <c r="AG9" s="296">
        <f>VLOOKUP(A9,'Crop parameters'!$A$3:$Z$39,11, FALSE)</f>
        <v>0</v>
      </c>
      <c r="AH9" s="190"/>
      <c r="AI9" s="39">
        <f t="shared" ref="AI9:AI15" si="1">Fertilizer_N_applied(F9,D9)</f>
        <v>0</v>
      </c>
      <c r="AJ9" s="39" t="s">
        <v>782</v>
      </c>
      <c r="AK9" s="39">
        <f>K9</f>
        <v>0</v>
      </c>
      <c r="AL9" s="39" t="s">
        <v>783</v>
      </c>
      <c r="AM9" s="39">
        <f>Atm_Ndeposition(V9,D9)</f>
        <v>0</v>
      </c>
      <c r="AN9" s="39" t="s">
        <v>784</v>
      </c>
      <c r="AO9" s="623">
        <f>IF(D9&gt;0, Non_Symbiotic_Nfixation(V9,D9),0)</f>
        <v>0</v>
      </c>
      <c r="AP9" s="197">
        <f>Symbiotic_Nfixation(B9,D9)</f>
        <v>0</v>
      </c>
      <c r="AQ9" s="39" t="s">
        <v>785</v>
      </c>
      <c r="AR9" s="190"/>
      <c r="AS9" s="39">
        <f t="shared" ref="AS9:AS15" si="2">D9*R9*AF9</f>
        <v>0</v>
      </c>
      <c r="AT9" s="39" t="s">
        <v>786</v>
      </c>
      <c r="AU9" s="191" t="s">
        <v>787</v>
      </c>
      <c r="AV9" s="39">
        <f>IF(INPUTS!$E72="Main", 0, N_output_Residues(T9,AG9,D9))</f>
        <v>0</v>
      </c>
      <c r="AW9" s="39" t="s">
        <v>788</v>
      </c>
      <c r="AX9" s="317">
        <f t="shared" ref="AX9:AX15" si="3">N_leach_clay35OR_less(Y9,F9,AK9,V9)</f>
        <v>0.79158869999999992</v>
      </c>
      <c r="AY9" s="317" t="s">
        <v>790</v>
      </c>
      <c r="AZ9" s="318">
        <f t="shared" ref="AZ9:AZ15" si="4">N_leach_clay35to55(Y9,F9,AK9,V9)</f>
        <v>0.54836999999999991</v>
      </c>
      <c r="BA9" s="317"/>
      <c r="BB9" s="317" t="s">
        <v>789</v>
      </c>
      <c r="BC9" s="317">
        <f t="shared" ref="BC9:BC15" si="5">N_leach_clay55Or_more(Y9,F9,AK9,V9)</f>
        <v>0.41417999999999999</v>
      </c>
      <c r="BD9" s="39" t="s">
        <v>791</v>
      </c>
      <c r="BE9" s="39">
        <f>'Area Parameters'!D$7</f>
        <v>34</v>
      </c>
      <c r="BF9" s="300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792</v>
      </c>
      <c r="BI9" s="39">
        <f>('Soil erosion'!I4*W9*1.5)</f>
        <v>0</v>
      </c>
      <c r="BJ9" t="s">
        <v>804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75">
        <f>SUMIF(BU9:BU15,"&gt;0.9",BS9:BS15)*100/BS16</f>
        <v>100</v>
      </c>
      <c r="BW9" s="675">
        <f>SUMIF(BU9:BU15,"&lt;0.5",BS9:BS15)/BS16</f>
        <v>0</v>
      </c>
      <c r="BX9" s="397">
        <f t="shared" ref="BX9:BX15" si="11">IF(O9*D9&gt;0,O9*D9,N9*D9)</f>
        <v>0</v>
      </c>
      <c r="BY9" s="397">
        <f t="shared" ref="BY9:BY15" si="12">IF(O9*D9&gt;0,N9*D9,0)</f>
        <v>0</v>
      </c>
      <c r="BZ9" s="802" t="str">
        <f>IFERROR(BY9/BX9,"")</f>
        <v/>
      </c>
    </row>
    <row r="10" spans="1:78">
      <c r="A10" t="str">
        <f>INPUTS!D73</f>
        <v>Natural pasture</v>
      </c>
      <c r="B10" s="39">
        <f>VLOOKUP(A10,'Crop parameters'!$A$3:$Z$39,13,FALSE)</f>
        <v>0</v>
      </c>
      <c r="C10" s="39"/>
      <c r="D10" s="39">
        <f>'Land requirements'!E5</f>
        <v>0.11605117411355399</v>
      </c>
      <c r="E10" s="39"/>
      <c r="F10" s="39">
        <f>INPUTS!E97</f>
        <v>15</v>
      </c>
      <c r="G10" s="39"/>
      <c r="H10" s="39">
        <f>IFERROR(Feed!$O$122*(S10+U10)/($S$16+$U$16),0)</f>
        <v>0</v>
      </c>
      <c r="I10" s="39">
        <f>Feed!$Q$122*INPUTS!F97</f>
        <v>0</v>
      </c>
      <c r="J10" s="39">
        <f>Feed!$S$122*INPUTS!F97</f>
        <v>0</v>
      </c>
      <c r="K10" s="39">
        <f t="shared" ref="K10:K15" si="13">H10+I10+J10</f>
        <v>0</v>
      </c>
      <c r="L10" s="39">
        <f t="shared" si="0"/>
        <v>0</v>
      </c>
      <c r="M10" s="39"/>
      <c r="N10" s="39">
        <f>VLOOKUP(INPUTS!$D73,'Crop parameters'!$A$3:$Z$39,4, FALSE)*1000</f>
        <v>13049.999999999998</v>
      </c>
      <c r="O10" s="39">
        <f>VLOOKUP(INPUTS!$D73,'Crop parameters'!$A$3:$Z$39,8,FALSE)*1000</f>
        <v>0</v>
      </c>
      <c r="P10" s="39">
        <f>INPUTS!F88</f>
        <v>0</v>
      </c>
      <c r="Q10" s="39">
        <v>0</v>
      </c>
      <c r="R10" s="39">
        <f t="shared" ref="R10:R15" si="14">N10*Q10</f>
        <v>0</v>
      </c>
      <c r="S10" s="39">
        <f t="shared" ref="S10:S15" si="15">R10*D10</f>
        <v>0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8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Parameters'!C$239</f>
        <v>1</v>
      </c>
      <c r="AE10" s="39"/>
      <c r="AF10" s="296">
        <f>VLOOKUP(A10,'Crop parameters'!$A$3:$Z$39,10, FALSE)</f>
        <v>0.01</v>
      </c>
      <c r="AG10" s="296">
        <f>VLOOKUP(A10,'Crop parameters'!$A$3:$Z$39,11, FALSE)</f>
        <v>0</v>
      </c>
      <c r="AH10" s="190"/>
      <c r="AI10" s="39">
        <f t="shared" si="1"/>
        <v>1.74076761170331</v>
      </c>
      <c r="AJ10" s="39" t="s">
        <v>782</v>
      </c>
      <c r="AK10" s="39">
        <f t="shared" ref="AK10:AK15" si="19">K10</f>
        <v>0</v>
      </c>
      <c r="AL10" s="39" t="s">
        <v>783</v>
      </c>
      <c r="AM10" s="39">
        <f t="shared" ref="AM10:AM15" si="20">Atm_Ndeposition(V10,D10)*$C$4/365</f>
        <v>0.60791322601207542</v>
      </c>
      <c r="AN10" s="39" t="s">
        <v>784</v>
      </c>
      <c r="AO10" s="623">
        <f>IF(D10&gt;0, Non_Symbiotic_Nfixation(V10,D10),0)</f>
        <v>0.26111514175549649</v>
      </c>
      <c r="AP10" s="197">
        <f>Symbiotic_Nfixation(B10,D10)</f>
        <v>0</v>
      </c>
      <c r="AQ10" s="39" t="s">
        <v>785</v>
      </c>
      <c r="AR10" s="190"/>
      <c r="AS10" s="39">
        <f t="shared" si="2"/>
        <v>0</v>
      </c>
      <c r="AT10" s="39" t="s">
        <v>786</v>
      </c>
      <c r="AU10" s="191" t="s">
        <v>787</v>
      </c>
      <c r="AV10" s="39">
        <f>IF(INPUTS!$E73="Main", 0, N_output_Residues(T10,AG10,D10))</f>
        <v>0</v>
      </c>
      <c r="AW10" s="39" t="s">
        <v>788</v>
      </c>
      <c r="AX10" s="317">
        <f t="shared" si="3"/>
        <v>5.1893037</v>
      </c>
      <c r="AY10" s="317" t="s">
        <v>790</v>
      </c>
      <c r="AZ10" s="318">
        <f t="shared" si="4"/>
        <v>3.5948700000000002</v>
      </c>
      <c r="BA10" s="317"/>
      <c r="BB10" s="317" t="s">
        <v>789</v>
      </c>
      <c r="BC10" s="317">
        <f t="shared" si="5"/>
        <v>2.7151800000000001</v>
      </c>
      <c r="BD10" s="39" t="s">
        <v>791</v>
      </c>
      <c r="BE10" s="39">
        <f>'Area Parameters'!D$7</f>
        <v>34</v>
      </c>
      <c r="BF10" s="300">
        <f t="shared" si="6"/>
        <v>5.1893037</v>
      </c>
      <c r="BG10" s="39">
        <f t="shared" si="7"/>
        <v>0.18528034151925349</v>
      </c>
      <c r="BH10" s="39" t="s">
        <v>792</v>
      </c>
      <c r="BI10" s="39">
        <f>('Soil erosion'!I5*W10*1.5)</f>
        <v>0.29365113287879835</v>
      </c>
      <c r="BJ10" t="s">
        <v>804</v>
      </c>
      <c r="BL10" s="39">
        <f t="shared" ref="BL10:BL15" si="21">IF(D10&gt;0,SUM(AI10:AP10),0)</f>
        <v>2.6097959794708818</v>
      </c>
      <c r="BM10" s="39">
        <f t="shared" ref="BM10:BM15" si="22">IF(D10&gt;0,SUM(AS10,AV10,BF10,BG10,BI10),0)</f>
        <v>5.6682351743980517</v>
      </c>
      <c r="BN10" s="39">
        <f t="shared" ref="BN10:BN15" si="23">BL10-BM10</f>
        <v>-3.0584391949271699</v>
      </c>
      <c r="BO10" s="39">
        <f t="shared" si="8"/>
        <v>-26.354228798534532</v>
      </c>
      <c r="BP10" s="39">
        <f t="shared" ref="BP10:BP15" si="24">IF(BN10=0,0,IF(AV10=0,BN10,BN10*(AV10/(AV10+AS10))))</f>
        <v>-3.0584391949271699</v>
      </c>
      <c r="BQ10" s="39">
        <f t="shared" si="9"/>
        <v>-26.354228798534532</v>
      </c>
      <c r="BS10" s="39">
        <f t="shared" si="10"/>
        <v>0.11605117411355399</v>
      </c>
      <c r="BT10" s="39"/>
      <c r="BU10" s="39">
        <f t="shared" ref="BU10:BU15" si="25">IFERROR(BM10/BL10,"")</f>
        <v>2.171907390073935</v>
      </c>
      <c r="BX10" s="397">
        <f t="shared" si="11"/>
        <v>1514.4678221818795</v>
      </c>
      <c r="BY10" s="397">
        <f t="shared" si="12"/>
        <v>0</v>
      </c>
      <c r="BZ10" s="802">
        <f t="shared" ref="BZ10:BZ16" si="26">IFERROR(BY10/BX10,"")</f>
        <v>0</v>
      </c>
    </row>
    <row r="11" spans="1:78">
      <c r="A11" t="str">
        <f>INPUTS!D74</f>
        <v>Maize</v>
      </c>
      <c r="B11" s="39">
        <f>VLOOKUP(A11,'Crop parameters'!$A$3:$Z$39,13,FALSE)</f>
        <v>0</v>
      </c>
      <c r="C11" s="39"/>
      <c r="D11" s="39">
        <f>'Land requirements'!E6</f>
        <v>0.36847947694770705</v>
      </c>
      <c r="E11" s="39"/>
      <c r="F11" s="39">
        <f>INPUTS!E98</f>
        <v>15</v>
      </c>
      <c r="G11" s="39"/>
      <c r="H11" s="39">
        <f>IFERROR(Feed!$O$122*(S11+U11)/($S$16+$U$16),0)</f>
        <v>0</v>
      </c>
      <c r="I11" s="39">
        <f>Feed!$Q$122*INPUTS!F98</f>
        <v>15.974665325888301</v>
      </c>
      <c r="J11" s="39">
        <f>Feed!$S$122*INPUTS!F98</f>
        <v>1.3979999999999999</v>
      </c>
      <c r="K11" s="39">
        <f t="shared" si="13"/>
        <v>17.372665325888303</v>
      </c>
      <c r="L11" s="39">
        <f t="shared" si="0"/>
        <v>47.146900744091518</v>
      </c>
      <c r="M11" s="39"/>
      <c r="N11" s="39">
        <f>VLOOKUP(INPUTS!$D74,'Crop parameters'!$A$3:$Z$39,4, FALSE)*1000</f>
        <v>1299</v>
      </c>
      <c r="O11" s="39">
        <f>VLOOKUP(INPUTS!$D74,'Crop parameters'!$A$3:$Z$39,8,FALSE)*1000</f>
        <v>3582.4421538461534</v>
      </c>
      <c r="P11" s="39">
        <f>INPUTS!F89</f>
        <v>0.6</v>
      </c>
      <c r="Q11" s="39">
        <v>1</v>
      </c>
      <c r="R11" s="39">
        <f>N11*Q11</f>
        <v>1299</v>
      </c>
      <c r="S11" s="39">
        <f t="shared" si="15"/>
        <v>478.65484055507147</v>
      </c>
      <c r="T11" s="39">
        <f t="shared" si="16"/>
        <v>2149.4652923076919</v>
      </c>
      <c r="U11" s="39">
        <f t="shared" si="17"/>
        <v>792.03384662678855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8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Parameters'!C$239</f>
        <v>1</v>
      </c>
      <c r="AE11" s="39"/>
      <c r="AF11" s="296">
        <f>VLOOKUP(A11,'Crop parameters'!$A$3:$Z$39,10, FALSE)</f>
        <v>1.2800000000000001E-2</v>
      </c>
      <c r="AG11" s="296">
        <f>VLOOKUP(A11,'Crop parameters'!$A$3:$Z$39,11, FALSE)</f>
        <v>5.9200000000000008E-3</v>
      </c>
      <c r="AH11" s="190"/>
      <c r="AI11" s="39">
        <f t="shared" si="1"/>
        <v>5.5271921542156059</v>
      </c>
      <c r="AJ11" s="39" t="s">
        <v>782</v>
      </c>
      <c r="AK11" s="39">
        <f t="shared" si="19"/>
        <v>17.372665325888303</v>
      </c>
      <c r="AL11" s="39" t="s">
        <v>783</v>
      </c>
      <c r="AM11" s="39">
        <f t="shared" si="20"/>
        <v>1.9302135395143813</v>
      </c>
      <c r="AN11" s="39" t="s">
        <v>784</v>
      </c>
      <c r="AO11" s="623">
        <f>IF(D11&gt;0, Non_Symbiotic_Nfixation(V11,D11),0)</f>
        <v>0.82907882313234083</v>
      </c>
      <c r="AP11" s="197">
        <f>Symbiotic_Nfixation(B11,D11)</f>
        <v>0</v>
      </c>
      <c r="AQ11" s="39" t="s">
        <v>785</v>
      </c>
      <c r="AR11" s="190"/>
      <c r="AS11" s="39">
        <f t="shared" si="2"/>
        <v>6.1267819591049149</v>
      </c>
      <c r="AT11" s="39" t="s">
        <v>786</v>
      </c>
      <c r="AU11" s="191" t="s">
        <v>787</v>
      </c>
      <c r="AV11" s="39">
        <f>IF(INPUTS!$E74="Main", 0, N_output_Residues(T11,AG11,D11))</f>
        <v>4.6888403720305893</v>
      </c>
      <c r="AW11" s="39" t="s">
        <v>788</v>
      </c>
      <c r="AX11" s="317">
        <f t="shared" si="3"/>
        <v>10.282639092909259</v>
      </c>
      <c r="AY11" s="317" t="s">
        <v>790</v>
      </c>
      <c r="AZ11" s="318">
        <f t="shared" si="4"/>
        <v>7.123258327687914</v>
      </c>
      <c r="BA11" s="317"/>
      <c r="BB11" s="317" t="s">
        <v>789</v>
      </c>
      <c r="BC11" s="317">
        <f t="shared" si="5"/>
        <v>5.3801468609912657</v>
      </c>
      <c r="BD11" s="39" t="s">
        <v>791</v>
      </c>
      <c r="BE11" s="39">
        <f>'Area Parameters'!D$7</f>
        <v>34</v>
      </c>
      <c r="BF11" s="300">
        <f t="shared" si="6"/>
        <v>10.282639092909259</v>
      </c>
      <c r="BG11" s="39">
        <f t="shared" si="7"/>
        <v>2.155306636521217</v>
      </c>
      <c r="BH11" s="39" t="s">
        <v>792</v>
      </c>
      <c r="BI11" s="39">
        <f>('Soil erosion'!I6*W11*1.5)</f>
        <v>1.8647707216198461</v>
      </c>
      <c r="BJ11" t="s">
        <v>804</v>
      </c>
      <c r="BL11" s="39">
        <f t="shared" si="21"/>
        <v>25.659149842750629</v>
      </c>
      <c r="BM11" s="39">
        <f t="shared" si="22"/>
        <v>25.118338782185827</v>
      </c>
      <c r="BN11" s="39">
        <f t="shared" si="23"/>
        <v>0.54081106056480266</v>
      </c>
      <c r="BO11" s="39">
        <f t="shared" si="8"/>
        <v>1.4676829902294726</v>
      </c>
      <c r="BP11" s="39">
        <f t="shared" si="24"/>
        <v>0.23445500007124437</v>
      </c>
      <c r="BQ11" s="39">
        <f t="shared" si="9"/>
        <v>0.63627695635411785</v>
      </c>
      <c r="BS11" s="39">
        <f t="shared" si="10"/>
        <v>0.36847947694770705</v>
      </c>
      <c r="BT11" s="39"/>
      <c r="BU11" s="39">
        <f t="shared" si="25"/>
        <v>0.97892326659772033</v>
      </c>
      <c r="BX11" s="397">
        <f t="shared" si="11"/>
        <v>1320.0564110446476</v>
      </c>
      <c r="BY11" s="397">
        <f t="shared" si="12"/>
        <v>478.65484055507147</v>
      </c>
      <c r="BZ11" s="802">
        <f t="shared" si="26"/>
        <v>0.36260180743054787</v>
      </c>
    </row>
    <row r="12" spans="1:78">
      <c r="A12" t="str">
        <f>INPUTS!D75</f>
        <v>Guatemala</v>
      </c>
      <c r="B12" s="39">
        <f>VLOOKUP(A12,'Crop parameters'!$A$3:$Z$39,13,FALSE)</f>
        <v>0</v>
      </c>
      <c r="C12" s="39"/>
      <c r="D12" s="39">
        <f>'Land requirements'!E7</f>
        <v>2.6356567550878132E-2</v>
      </c>
      <c r="E12" s="39"/>
      <c r="F12" s="39">
        <f>INPUTS!E99</f>
        <v>15</v>
      </c>
      <c r="G12" s="39"/>
      <c r="H12" s="39">
        <f>IFERROR(Feed!$O$122*(S12+U12)/($S$16+$U$16),0)</f>
        <v>0</v>
      </c>
      <c r="I12" s="39">
        <f>Feed!$Q$122*INPUTS!F99</f>
        <v>10.649776883925535</v>
      </c>
      <c r="J12" s="39">
        <f>Feed!$S$122*INPUTS!F99</f>
        <v>0.93200000000000005</v>
      </c>
      <c r="K12" s="39">
        <f t="shared" si="13"/>
        <v>11.581776883925535</v>
      </c>
      <c r="L12" s="39">
        <f t="shared" si="0"/>
        <v>439.42660065914617</v>
      </c>
      <c r="M12" s="39"/>
      <c r="N12" s="39">
        <f>VLOOKUP(INPUTS!$D75,'Crop parameters'!$A$3:$Z$39,4,FALSE )*1000</f>
        <v>19800</v>
      </c>
      <c r="O12" s="39">
        <f>VLOOKUP(INPUTS!$D75,'Crop parameters'!$A$3:$Z$39,8,FALSE)*1000</f>
        <v>0</v>
      </c>
      <c r="P12" s="39">
        <f>INPUTS!F90</f>
        <v>0</v>
      </c>
      <c r="Q12" s="39">
        <v>1</v>
      </c>
      <c r="R12" s="39">
        <f t="shared" si="14"/>
        <v>19800</v>
      </c>
      <c r="S12" s="39">
        <f t="shared" si="15"/>
        <v>521.86003750738701</v>
      </c>
      <c r="T12" s="39">
        <f t="shared" si="16"/>
        <v>0</v>
      </c>
      <c r="U12" s="39">
        <f t="shared" si="17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8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Parameters'!C$239</f>
        <v>1</v>
      </c>
      <c r="AE12" s="39"/>
      <c r="AF12" s="296">
        <f>VLOOKUP(A12,'Crop parameters'!$A$3:$Z$39,10, FALSE)</f>
        <v>1.4080000000000002E-2</v>
      </c>
      <c r="AG12" s="296">
        <f>VLOOKUP(A12,'Crop parameters'!$A$3:$Z$39,11, FALSE)</f>
        <v>0</v>
      </c>
      <c r="AH12" s="190"/>
      <c r="AI12" s="39">
        <f t="shared" si="1"/>
        <v>0.395348513263172</v>
      </c>
      <c r="AJ12" s="39" t="s">
        <v>782</v>
      </c>
      <c r="AK12" s="39">
        <f t="shared" si="19"/>
        <v>11.581776883925535</v>
      </c>
      <c r="AL12" s="39" t="s">
        <v>783</v>
      </c>
      <c r="AM12" s="39">
        <f t="shared" si="20"/>
        <v>0.13806414393344937</v>
      </c>
      <c r="AN12" s="39" t="s">
        <v>784</v>
      </c>
      <c r="AO12" s="623">
        <f>IF(D12&gt;0, Non_Symbiotic_Nfixation(V12,D12),0)</f>
        <v>5.9302276989475801E-2</v>
      </c>
      <c r="AP12" s="197">
        <f>IFERROR(Symbiotic_Nfixation(B12,D12),0)</f>
        <v>0</v>
      </c>
      <c r="AQ12" s="39" t="s">
        <v>785</v>
      </c>
      <c r="AR12" s="190"/>
      <c r="AS12" s="39">
        <f t="shared" si="2"/>
        <v>7.3477893281040103</v>
      </c>
      <c r="AT12" s="39" t="s">
        <v>786</v>
      </c>
      <c r="AU12" s="191" t="s">
        <v>787</v>
      </c>
      <c r="AV12" s="39">
        <f>IF(INPUTS!$E75="Main", 0, N_output_Residues(T12,AG12,D12))</f>
        <v>0</v>
      </c>
      <c r="AW12" s="39" t="s">
        <v>788</v>
      </c>
      <c r="AX12" s="317">
        <f t="shared" si="3"/>
        <v>8.5848606286061724</v>
      </c>
      <c r="AY12" s="317" t="s">
        <v>790</v>
      </c>
      <c r="AZ12" s="318">
        <f t="shared" si="4"/>
        <v>5.9471288851252764</v>
      </c>
      <c r="BA12" s="317"/>
      <c r="BB12" s="317" t="s">
        <v>789</v>
      </c>
      <c r="BC12" s="317">
        <f t="shared" si="5"/>
        <v>4.4918245739941769</v>
      </c>
      <c r="BD12" s="39" t="s">
        <v>791</v>
      </c>
      <c r="BE12" s="39">
        <f>'Area Parameters'!D$7</f>
        <v>34</v>
      </c>
      <c r="BF12" s="300">
        <f t="shared" si="6"/>
        <v>8.5848606286061724</v>
      </c>
      <c r="BG12" s="39">
        <f t="shared" si="7"/>
        <v>1.0867555892877623</v>
      </c>
      <c r="BH12" s="39" t="s">
        <v>792</v>
      </c>
      <c r="BI12" s="39">
        <f>('Soil erosion'!I7*W12*1.5)</f>
        <v>6.6691577911472441E-2</v>
      </c>
      <c r="BJ12" t="s">
        <v>804</v>
      </c>
      <c r="BL12" s="39">
        <f t="shared" si="21"/>
        <v>12.174491818111633</v>
      </c>
      <c r="BM12" s="39">
        <f t="shared" si="22"/>
        <v>17.086097123909418</v>
      </c>
      <c r="BN12" s="39">
        <f t="shared" si="23"/>
        <v>-4.9116053057977851</v>
      </c>
      <c r="BO12" s="39">
        <f t="shared" si="8"/>
        <v>-186.35223635689781</v>
      </c>
      <c r="BP12" s="39">
        <f t="shared" si="24"/>
        <v>-4.9116053057977851</v>
      </c>
      <c r="BQ12" s="39">
        <f t="shared" si="9"/>
        <v>-186.35223635689781</v>
      </c>
      <c r="BS12" s="39">
        <f t="shared" si="10"/>
        <v>2.6356567550878132E-2</v>
      </c>
      <c r="BT12" s="39"/>
      <c r="BU12" s="39">
        <f t="shared" si="25"/>
        <v>1.40343411283015</v>
      </c>
      <c r="BX12" s="397">
        <f t="shared" si="11"/>
        <v>521.86003750738701</v>
      </c>
      <c r="BY12" s="397">
        <f t="shared" si="12"/>
        <v>0</v>
      </c>
      <c r="BZ12" s="802">
        <f t="shared" si="26"/>
        <v>0</v>
      </c>
    </row>
    <row r="13" spans="1:78">
      <c r="A13" t="str">
        <f>INPUTS!D76</f>
        <v>Rhodes</v>
      </c>
      <c r="B13" s="39">
        <f>VLOOKUP(A13,'Crop parameters'!$A$3:$Z$39,13,FALSE)</f>
        <v>0</v>
      </c>
      <c r="C13" s="39"/>
      <c r="D13" s="39">
        <f>'Land requirements'!E8</f>
        <v>9.7090745826499264E-2</v>
      </c>
      <c r="E13" s="39"/>
      <c r="F13" s="39">
        <f>INPUTS!E100</f>
        <v>15</v>
      </c>
      <c r="G13" s="39"/>
      <c r="H13" s="39">
        <f>IFERROR(Feed!$O$122*(S13+U13)/($S$16+$U$16),0)</f>
        <v>0</v>
      </c>
      <c r="I13" s="39">
        <f>Feed!$Q$122*INPUTS!F100</f>
        <v>10.649776883925535</v>
      </c>
      <c r="J13" s="39">
        <f>Feed!$S$122*INPUTS!F100</f>
        <v>0.93200000000000005</v>
      </c>
      <c r="K13" s="39">
        <f t="shared" si="13"/>
        <v>11.581776883925535</v>
      </c>
      <c r="L13" s="39">
        <f t="shared" si="0"/>
        <v>119.28816475075925</v>
      </c>
      <c r="M13" s="39"/>
      <c r="N13" s="39">
        <f>VLOOKUP(INPUTS!$D76,'Crop parameters'!$A$3:$Z$39,4, FALSE)*1000</f>
        <v>13500</v>
      </c>
      <c r="O13" s="39">
        <f>VLOOKUP(INPUTS!$D76,'Crop parameters'!$A$3:$Z$39,8,FALSE)*1000</f>
        <v>0</v>
      </c>
      <c r="P13" s="39">
        <f>INPUTS!F91</f>
        <v>0</v>
      </c>
      <c r="Q13" s="39">
        <v>1</v>
      </c>
      <c r="R13" s="39">
        <f t="shared" si="14"/>
        <v>13500</v>
      </c>
      <c r="S13" s="39">
        <f t="shared" si="15"/>
        <v>1310.7250686577402</v>
      </c>
      <c r="T13" s="39">
        <f t="shared" si="16"/>
        <v>0</v>
      </c>
      <c r="U13" s="39">
        <f t="shared" si="17"/>
        <v>0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8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Parameters'!C$239</f>
        <v>1</v>
      </c>
      <c r="AE13" s="39"/>
      <c r="AF13" s="296">
        <f>VLOOKUP(A13,'Crop parameters'!$A$3:$Z$39,10, FALSE)</f>
        <v>1.44E-2</v>
      </c>
      <c r="AG13" s="296">
        <f>VLOOKUP(A13,'Crop parameters'!$A$3:$Z$39,11, FALSE)</f>
        <v>0</v>
      </c>
      <c r="AH13" s="190"/>
      <c r="AI13" s="39">
        <f t="shared" si="1"/>
        <v>1.4563611873974889</v>
      </c>
      <c r="AJ13" s="39" t="s">
        <v>782</v>
      </c>
      <c r="AK13" s="39">
        <f t="shared" si="19"/>
        <v>11.581776883925535</v>
      </c>
      <c r="AL13" s="39" t="s">
        <v>783</v>
      </c>
      <c r="AM13" s="39">
        <f t="shared" si="20"/>
        <v>0.50859242883275713</v>
      </c>
      <c r="AN13" s="39" t="s">
        <v>784</v>
      </c>
      <c r="AO13" s="623">
        <f>IF(D13&gt;0, Non_Symbiotic_Nfixation(V13,D13),0)</f>
        <v>0.21845417810962334</v>
      </c>
      <c r="AP13" s="197">
        <f>IFERROR(Symbiotic_Nfixation(B13,D13),0)</f>
        <v>0</v>
      </c>
      <c r="AQ13" s="39" t="s">
        <v>785</v>
      </c>
      <c r="AR13" s="190"/>
      <c r="AS13" s="39">
        <f t="shared" si="2"/>
        <v>18.874440988671459</v>
      </c>
      <c r="AT13" s="39" t="s">
        <v>786</v>
      </c>
      <c r="AU13" s="191" t="s">
        <v>787</v>
      </c>
      <c r="AV13" s="39">
        <f>IF(INPUTS!$E76="Main", 0, N_output_Residues(T13,AG13,D13))</f>
        <v>0</v>
      </c>
      <c r="AW13" s="39" t="s">
        <v>788</v>
      </c>
      <c r="AX13" s="317">
        <f t="shared" si="3"/>
        <v>8.5848606286061724</v>
      </c>
      <c r="AY13" s="317" t="s">
        <v>790</v>
      </c>
      <c r="AZ13" s="318">
        <f t="shared" si="4"/>
        <v>5.9471288851252764</v>
      </c>
      <c r="BA13" s="317"/>
      <c r="BB13" s="317" t="s">
        <v>789</v>
      </c>
      <c r="BC13" s="317">
        <f t="shared" si="5"/>
        <v>4.4918245739941769</v>
      </c>
      <c r="BD13" s="39" t="s">
        <v>791</v>
      </c>
      <c r="BE13" s="39">
        <f>'Area Parameters'!D$7</f>
        <v>34</v>
      </c>
      <c r="BF13" s="300">
        <f t="shared" si="6"/>
        <v>8.5848606286061724</v>
      </c>
      <c r="BG13" s="39">
        <f t="shared" si="7"/>
        <v>1.1996855342719224</v>
      </c>
      <c r="BH13" s="39" t="s">
        <v>792</v>
      </c>
      <c r="BI13" s="39">
        <f>('Soil erosion'!I8*W13*1.5)</f>
        <v>4.9134888503758974E-2</v>
      </c>
      <c r="BJ13" t="s">
        <v>804</v>
      </c>
      <c r="BL13" s="39">
        <f t="shared" si="21"/>
        <v>13.765184678265404</v>
      </c>
      <c r="BM13" s="39">
        <f t="shared" si="22"/>
        <v>28.708122040053311</v>
      </c>
      <c r="BN13" s="39">
        <f t="shared" si="23"/>
        <v>-14.942937361787907</v>
      </c>
      <c r="BO13" s="39">
        <f t="shared" si="8"/>
        <v>-153.90691702472725</v>
      </c>
      <c r="BP13" s="39">
        <f t="shared" si="24"/>
        <v>-14.942937361787907</v>
      </c>
      <c r="BQ13" s="39">
        <f t="shared" si="9"/>
        <v>-153.90691702472725</v>
      </c>
      <c r="BS13" s="39">
        <f t="shared" si="10"/>
        <v>9.7090745826499264E-2</v>
      </c>
      <c r="BT13" s="39"/>
      <c r="BU13" s="39">
        <f t="shared" si="25"/>
        <v>2.0855602529897124</v>
      </c>
      <c r="BX13" s="397">
        <f t="shared" si="11"/>
        <v>1310.7250686577402</v>
      </c>
      <c r="BY13" s="397">
        <f t="shared" si="12"/>
        <v>0</v>
      </c>
      <c r="BZ13" s="802">
        <f t="shared" si="26"/>
        <v>0</v>
      </c>
    </row>
    <row r="14" spans="1:78">
      <c r="A14" t="str">
        <f>INPUTS!D77</f>
        <v>Napier</v>
      </c>
      <c r="B14" s="39">
        <f>VLOOKUP(A14,'Crop parameters'!$A$3:$Z$39,13,FALSE)</f>
        <v>0</v>
      </c>
      <c r="C14" s="39"/>
      <c r="D14" s="39">
        <f>'Land requirements'!E9</f>
        <v>1.4639690375499932E-2</v>
      </c>
      <c r="E14" s="39"/>
      <c r="F14" s="39">
        <f>INPUTS!E101</f>
        <v>15</v>
      </c>
      <c r="G14" s="39"/>
      <c r="H14" s="39">
        <f>IFERROR(Feed!$O$122*(S14+U14)/($S$16+$U$16),0)</f>
        <v>0</v>
      </c>
      <c r="I14" s="39">
        <f>Feed!$Q$122*INPUTS!F101</f>
        <v>10.649776883925535</v>
      </c>
      <c r="J14" s="39">
        <f>Feed!$S$122*INPUTS!F101</f>
        <v>0.93200000000000005</v>
      </c>
      <c r="K14" s="39">
        <f t="shared" si="13"/>
        <v>11.581776883925535</v>
      </c>
      <c r="L14" s="39">
        <f t="shared" si="0"/>
        <v>791.12171001294337</v>
      </c>
      <c r="M14" s="39"/>
      <c r="N14" s="39">
        <f>VLOOKUP(INPUTS!$D77,'Crop parameters'!$A$3:$Z$39,4, FALSE)*1000</f>
        <v>22050</v>
      </c>
      <c r="O14" s="39">
        <f>VLOOKUP(INPUTS!$D77,'Crop parameters'!$A$3:$Z$39,8,FALSE)*1000</f>
        <v>0</v>
      </c>
      <c r="P14" s="39">
        <f>INPUTS!F92</f>
        <v>0</v>
      </c>
      <c r="Q14" s="39">
        <v>1</v>
      </c>
      <c r="R14" s="39">
        <f>N14*Q14</f>
        <v>22050</v>
      </c>
      <c r="S14" s="39">
        <f t="shared" si="15"/>
        <v>322.8051727797735</v>
      </c>
      <c r="T14" s="39">
        <f t="shared" si="16"/>
        <v>0</v>
      </c>
      <c r="U14" s="39">
        <f t="shared" si="17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8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Parameters'!C$239</f>
        <v>1</v>
      </c>
      <c r="AE14" s="39"/>
      <c r="AF14" s="296">
        <f>VLOOKUP(A14,'Crop parameters'!$A$3:$Z$39,10, FALSE)</f>
        <v>1.2800000000000001E-2</v>
      </c>
      <c r="AG14" s="296">
        <f>VLOOKUP(A14,'Crop parameters'!$A$3:$Z$39,11, FALSE)</f>
        <v>0</v>
      </c>
      <c r="AH14" s="190"/>
      <c r="AI14" s="39">
        <f t="shared" si="1"/>
        <v>0.21959535563249899</v>
      </c>
      <c r="AJ14" s="39" t="s">
        <v>782</v>
      </c>
      <c r="AK14" s="39">
        <f t="shared" si="19"/>
        <v>11.581776883925535</v>
      </c>
      <c r="AL14" s="39" t="s">
        <v>783</v>
      </c>
      <c r="AM14" s="39">
        <f t="shared" si="20"/>
        <v>7.6687387887001787E-2</v>
      </c>
      <c r="AN14" s="39" t="s">
        <v>784</v>
      </c>
      <c r="AO14" s="623">
        <f>IF(D14&gt;0, Non_Symbiotic_Nfixation(V14,D14),0)</f>
        <v>3.2939303344874847E-2</v>
      </c>
      <c r="AP14" s="197">
        <f>IFERROR(Symbiotic_Nfixation(B14,D14),0)</f>
        <v>0</v>
      </c>
      <c r="AQ14" s="39" t="s">
        <v>785</v>
      </c>
      <c r="AR14" s="190"/>
      <c r="AS14" s="39">
        <f t="shared" si="2"/>
        <v>4.1319062115811009</v>
      </c>
      <c r="AT14" s="39" t="s">
        <v>786</v>
      </c>
      <c r="AU14" s="191" t="s">
        <v>787</v>
      </c>
      <c r="AV14" s="39">
        <f>IF(INPUTS!$E77="Main", 0, N_output_Residues(T14,AG14,D14))</f>
        <v>0</v>
      </c>
      <c r="AW14" s="39" t="s">
        <v>788</v>
      </c>
      <c r="AX14" s="317">
        <f t="shared" si="3"/>
        <v>8.5848606286061724</v>
      </c>
      <c r="AY14" s="317" t="s">
        <v>790</v>
      </c>
      <c r="AZ14" s="318">
        <f t="shared" si="4"/>
        <v>5.9471288851252764</v>
      </c>
      <c r="BA14" s="317"/>
      <c r="BB14" s="317" t="s">
        <v>789</v>
      </c>
      <c r="BC14" s="317">
        <f t="shared" si="5"/>
        <v>4.4918245739941769</v>
      </c>
      <c r="BD14" s="39" t="s">
        <v>791</v>
      </c>
      <c r="BE14" s="39">
        <f>'Area Parameters'!D$7</f>
        <v>34</v>
      </c>
      <c r="BF14" s="300">
        <f t="shared" si="6"/>
        <v>8.5848606286061724</v>
      </c>
      <c r="BG14" s="39">
        <f t="shared" si="7"/>
        <v>1.0680491262021838</v>
      </c>
      <c r="BH14" s="39" t="s">
        <v>792</v>
      </c>
      <c r="BI14" s="39">
        <f>('Soil erosion'!I9*W14*1.5)</f>
        <v>7.4087344597719264E-3</v>
      </c>
      <c r="BJ14" t="s">
        <v>804</v>
      </c>
      <c r="BL14" s="39">
        <f t="shared" si="21"/>
        <v>11.910998930789912</v>
      </c>
      <c r="BM14" s="39">
        <f t="shared" si="22"/>
        <v>13.792224700849227</v>
      </c>
      <c r="BN14" s="39">
        <f t="shared" si="23"/>
        <v>-1.8812257700593147</v>
      </c>
      <c r="BO14" s="39">
        <f t="shared" si="8"/>
        <v>-128.50174572049804</v>
      </c>
      <c r="BP14" s="39">
        <f t="shared" si="24"/>
        <v>-1.8812257700593147</v>
      </c>
      <c r="BQ14" s="39">
        <f t="shared" si="9"/>
        <v>-128.50174572049804</v>
      </c>
      <c r="BS14" s="39">
        <f t="shared" si="10"/>
        <v>1.4639690375499932E-2</v>
      </c>
      <c r="BT14" s="39"/>
      <c r="BU14" s="39">
        <f t="shared" si="25"/>
        <v>1.1579402181958349</v>
      </c>
      <c r="BX14" s="397">
        <f t="shared" si="11"/>
        <v>322.8051727797735</v>
      </c>
      <c r="BY14" s="397">
        <f t="shared" si="12"/>
        <v>0</v>
      </c>
      <c r="BZ14" s="802">
        <f t="shared" si="26"/>
        <v>0</v>
      </c>
    </row>
    <row r="15" spans="1:78">
      <c r="A15" t="str">
        <f>INPUTS!D78</f>
        <v>N/A</v>
      </c>
      <c r="B15" s="39">
        <f>VLOOKUP(A15,'Crop parameters'!$A$3:$Z$39,13,FALSE)</f>
        <v>0</v>
      </c>
      <c r="C15" s="39"/>
      <c r="D15" s="39">
        <f>'Land requirements'!E10</f>
        <v>0</v>
      </c>
      <c r="E15" s="39"/>
      <c r="F15" s="39">
        <f>INPUTS!E102</f>
        <v>15</v>
      </c>
      <c r="G15" s="39"/>
      <c r="H15" s="39">
        <f>IFERROR(Feed!$O$122*(S15+U15)/($S$16+$U$16),0)</f>
        <v>0</v>
      </c>
      <c r="I15" s="39">
        <f>Feed!$Q$122*INPUTS!F102</f>
        <v>0</v>
      </c>
      <c r="J15" s="39">
        <f>Feed!$S$122*INPUTS!F102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VLOOKUP(INPUTS!$D78,'Crop parameters'!$A$3:$Z$39,4, FALSE)*1000</f>
        <v>0</v>
      </c>
      <c r="O15" s="39">
        <f>VLOOKUP(INPUTS!$D78,'Crop parameters'!$A$3:$Z$39,8,FALSE)*1000</f>
        <v>0</v>
      </c>
      <c r="P15" s="39">
        <f>INPUTS!F93</f>
        <v>0</v>
      </c>
      <c r="Q15" s="39">
        <v>1</v>
      </c>
      <c r="R15" s="39">
        <f t="shared" si="14"/>
        <v>0</v>
      </c>
      <c r="S15" s="39">
        <f t="shared" si="15"/>
        <v>0</v>
      </c>
      <c r="T15" s="39">
        <f t="shared" si="16"/>
        <v>0</v>
      </c>
      <c r="U15" s="39">
        <f t="shared" si="17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8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Parameters'!C$239</f>
        <v>1</v>
      </c>
      <c r="AE15" s="39"/>
      <c r="AF15" s="296">
        <f>VLOOKUP(A15,'Crop parameters'!$A$3:$Z$39,10, FALSE)</f>
        <v>0</v>
      </c>
      <c r="AG15" s="296">
        <f>VLOOKUP(A15,'Crop parameters'!$A$3:$Z$39,11, FALSE)</f>
        <v>0</v>
      </c>
      <c r="AH15" s="190"/>
      <c r="AI15" s="39">
        <f t="shared" si="1"/>
        <v>0</v>
      </c>
      <c r="AJ15" s="39" t="s">
        <v>782</v>
      </c>
      <c r="AK15" s="39">
        <f t="shared" si="19"/>
        <v>0</v>
      </c>
      <c r="AL15" s="39" t="s">
        <v>783</v>
      </c>
      <c r="AM15" s="39">
        <f t="shared" si="20"/>
        <v>0</v>
      </c>
      <c r="AN15" s="39" t="s">
        <v>784</v>
      </c>
      <c r="AO15" s="623">
        <f>IF(D15&gt;0, Non_Symbiotic_Nfixation(V15,D15),0)</f>
        <v>0</v>
      </c>
      <c r="AP15" s="197">
        <f>IFERROR(Symbiotic_Nfixation(B15,D15),0)</f>
        <v>0</v>
      </c>
      <c r="AQ15" s="39" t="s">
        <v>785</v>
      </c>
      <c r="AR15" s="190"/>
      <c r="AS15" s="39">
        <f t="shared" si="2"/>
        <v>0</v>
      </c>
      <c r="AT15" s="39" t="s">
        <v>786</v>
      </c>
      <c r="AU15" s="191" t="s">
        <v>787</v>
      </c>
      <c r="AV15" s="39">
        <f>IF(INPUTS!$E78="Main", 0, N_output_Residues(T15,AG15,D15))</f>
        <v>0</v>
      </c>
      <c r="AW15" s="39" t="s">
        <v>788</v>
      </c>
      <c r="AX15" s="317">
        <f t="shared" si="3"/>
        <v>5.1893037</v>
      </c>
      <c r="AY15" s="317" t="s">
        <v>790</v>
      </c>
      <c r="AZ15" s="318">
        <f t="shared" si="4"/>
        <v>3.5948700000000002</v>
      </c>
      <c r="BA15" s="317"/>
      <c r="BB15" s="317" t="s">
        <v>789</v>
      </c>
      <c r="BC15" s="317">
        <f t="shared" si="5"/>
        <v>2.7151800000000001</v>
      </c>
      <c r="BD15" s="39" t="s">
        <v>791</v>
      </c>
      <c r="BE15" s="39">
        <f>'Area Parameters'!D$7</f>
        <v>34</v>
      </c>
      <c r="BF15" s="300">
        <f t="shared" si="6"/>
        <v>5.1893037</v>
      </c>
      <c r="BG15" s="39">
        <f t="shared" si="7"/>
        <v>0</v>
      </c>
      <c r="BH15" s="39" t="s">
        <v>792</v>
      </c>
      <c r="BI15" s="39">
        <f>('Soil erosion'!I10*W15*1.5)</f>
        <v>0</v>
      </c>
      <c r="BJ15" t="s">
        <v>804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39" t="str">
        <f t="shared" si="8"/>
        <v/>
      </c>
      <c r="BP15" s="39">
        <f t="shared" si="24"/>
        <v>0</v>
      </c>
      <c r="BQ15" s="39" t="str">
        <f t="shared" si="9"/>
        <v/>
      </c>
      <c r="BS15" s="39">
        <f t="shared" si="10"/>
        <v>0</v>
      </c>
      <c r="BT15" s="39"/>
      <c r="BU15" s="39" t="str">
        <f t="shared" si="25"/>
        <v/>
      </c>
      <c r="BX15" s="397">
        <f t="shared" si="11"/>
        <v>0</v>
      </c>
      <c r="BY15" s="397">
        <f t="shared" si="12"/>
        <v>0</v>
      </c>
      <c r="BZ15" s="802" t="str">
        <f t="shared" si="26"/>
        <v/>
      </c>
    </row>
    <row r="16" spans="1:78" ht="16.5" thickBot="1">
      <c r="A16" s="192"/>
      <c r="B16" s="193"/>
      <c r="C16" s="193"/>
      <c r="D16" s="193">
        <f>SUM(D9:D15)</f>
        <v>0.62261765481413833</v>
      </c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>
        <f>SUM(S9:S15)</f>
        <v>2634.0451194999719</v>
      </c>
      <c r="T16" s="193"/>
      <c r="U16" s="193">
        <f>SUM(U9:U15)</f>
        <v>792.03384662678855</v>
      </c>
      <c r="V16" s="193"/>
      <c r="W16" s="193"/>
      <c r="X16" s="193"/>
      <c r="Y16" s="193"/>
      <c r="Z16" s="193"/>
      <c r="AA16" s="193"/>
      <c r="AB16" s="193"/>
      <c r="AC16" s="193"/>
      <c r="AD16" s="193"/>
      <c r="AE16" s="193"/>
      <c r="AF16" s="193"/>
      <c r="AG16" s="193"/>
      <c r="AH16" s="194" t="s">
        <v>140</v>
      </c>
      <c r="AI16" s="194">
        <f>SUM(AI9:AI15)</f>
        <v>9.3392648222120762</v>
      </c>
      <c r="AJ16" s="193"/>
      <c r="AK16" s="196">
        <f>SUM(AK9:AK15)</f>
        <v>52.117995977664911</v>
      </c>
      <c r="AL16" s="193"/>
      <c r="AM16" s="194">
        <f>SUM(AM9:AM15)</f>
        <v>3.2614707261796649</v>
      </c>
      <c r="AN16" s="194"/>
      <c r="AO16" s="194">
        <f>SUM(AO9:AO15)</f>
        <v>1.4008897233318114</v>
      </c>
      <c r="AP16" s="194">
        <f>SUM(AP9:AP15)</f>
        <v>0</v>
      </c>
      <c r="AQ16" s="193"/>
      <c r="AR16" s="193"/>
      <c r="AS16" s="194">
        <f>SUM(AS9:AS15)</f>
        <v>36.480918487461487</v>
      </c>
      <c r="AT16" s="193"/>
      <c r="AU16" s="193"/>
      <c r="AV16" s="194">
        <f>SUM(AV9:AV15)</f>
        <v>4.6888403720305893</v>
      </c>
      <c r="AW16" s="193"/>
      <c r="AX16" s="198" t="s">
        <v>654</v>
      </c>
      <c r="AY16" s="198" t="s">
        <v>654</v>
      </c>
      <c r="AZ16" s="198" t="s">
        <v>654</v>
      </c>
      <c r="BA16" s="198" t="s">
        <v>654</v>
      </c>
      <c r="BB16" s="198" t="s">
        <v>654</v>
      </c>
      <c r="BC16" s="198" t="s">
        <v>654</v>
      </c>
      <c r="BD16" s="198" t="s">
        <v>654</v>
      </c>
      <c r="BE16" s="198" t="s">
        <v>654</v>
      </c>
      <c r="BF16" s="194">
        <f>SUM(BF9:BF15)</f>
        <v>47.207417078727772</v>
      </c>
      <c r="BG16" s="194">
        <f>SUM(BG9:BG15)</f>
        <v>5.6950772278023392</v>
      </c>
      <c r="BH16" s="193"/>
      <c r="BI16" s="194">
        <f>SUM(BI9:BI15)</f>
        <v>2.2816570553736479</v>
      </c>
      <c r="BJ16" s="192"/>
      <c r="BK16" s="192"/>
      <c r="BL16" s="194">
        <f>SUM(BL9:BL15)</f>
        <v>66.119621249388459</v>
      </c>
      <c r="BM16" s="194">
        <f>SUM(BM9:BM15)</f>
        <v>90.373017821395848</v>
      </c>
      <c r="BN16" s="194">
        <f>SUM(BN9:BN15)</f>
        <v>-24.253396572007375</v>
      </c>
      <c r="BO16" s="193">
        <f t="shared" si="8"/>
        <v>-38.953917198585408</v>
      </c>
      <c r="BP16" s="194">
        <f>SUM(BP9:BP15)</f>
        <v>-24.559752632500931</v>
      </c>
      <c r="BQ16" s="193">
        <f t="shared" si="9"/>
        <v>-39.445962449992564</v>
      </c>
      <c r="BR16" s="192"/>
      <c r="BS16" s="193">
        <f>SUM(BS9:BS15)</f>
        <v>0.62261765481413833</v>
      </c>
      <c r="BU16" s="39"/>
      <c r="BX16" s="808">
        <f>SUM(BX9:BX15)</f>
        <v>4989.9145121714282</v>
      </c>
      <c r="BY16" s="808">
        <f>SUM(BY9:BY15)</f>
        <v>478.65484055507147</v>
      </c>
      <c r="BZ16" s="809">
        <f t="shared" si="26"/>
        <v>9.5924457099923019E-2</v>
      </c>
    </row>
    <row r="18" spans="37:68">
      <c r="BP18" s="39"/>
    </row>
    <row r="19" spans="37:68">
      <c r="BF19" s="42" t="s">
        <v>1353</v>
      </c>
      <c r="BG19" s="42"/>
    </row>
    <row r="21" spans="37:68">
      <c r="AK21" s="42" t="s">
        <v>1352</v>
      </c>
      <c r="AL21" s="42"/>
      <c r="AM21" s="42"/>
      <c r="AS21" s="42" t="s">
        <v>1351</v>
      </c>
      <c r="AT21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zoomScale="115" zoomScaleNormal="115" workbookViewId="0">
      <selection activeCell="H7" sqref="H7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542" customFormat="1">
      <c r="A2" s="1542" t="s">
        <v>1321</v>
      </c>
    </row>
    <row r="3" spans="1:28" s="147" customFormat="1">
      <c r="B3" s="255"/>
      <c r="C3" s="255"/>
      <c r="D3" s="255"/>
      <c r="E3" s="255"/>
      <c r="F3" s="255"/>
      <c r="G3" s="255"/>
      <c r="H3" s="255"/>
      <c r="O3" s="231"/>
      <c r="S3" s="232"/>
      <c r="V3" s="586"/>
      <c r="AB3" s="230"/>
    </row>
    <row r="4" spans="1:28" s="147" customFormat="1" ht="94.5">
      <c r="B4" s="691" t="str">
        <f>CONCATENATE("Feed Item 1 - ", INPUTS!B52)</f>
        <v>Feed Item 1 - Concentrate (commercial)</v>
      </c>
      <c r="C4" s="691" t="str">
        <f>CONCATENATE("Feed Item 2 - ", INPUTS!B53)</f>
        <v xml:space="preserve">Feed Item 2 - Naturally occuring pasture - green fodder </v>
      </c>
      <c r="D4" s="691" t="str">
        <f>CONCATENATE("Feed Item 3 - ", INPUTS!B54)</f>
        <v>Feed Item 3 - Maize (Zea mays)-stover</v>
      </c>
      <c r="E4" s="691" t="str">
        <f>CONCATENATE("Feed Item 4 - ", INPUTS!B55)</f>
        <v>Feed Item 4 - Guatemala grass (Tripsacum andersonii) - forage</v>
      </c>
      <c r="F4" s="691" t="str">
        <f>CONCATENATE("Feed Item 5 - ", INPUTS!B56)</f>
        <v>Feed Item 5 - Rhodes grass (Chloris gayana) - forage</v>
      </c>
      <c r="G4" s="691" t="str">
        <f>CONCATENATE("Feed Item 6 - ", INPUTS!B57)</f>
        <v>Feed Item 6 - Napier grass (Pennisetum purpureum) - forage</v>
      </c>
      <c r="H4" s="691" t="str">
        <f>CONCATENATE("Feed Item 7 - ", INPUTS!B58)</f>
        <v>Feed Item 7 - N/A</v>
      </c>
      <c r="I4" s="225"/>
      <c r="J4" s="692" t="s">
        <v>1322</v>
      </c>
      <c r="O4" s="231"/>
      <c r="S4" s="232"/>
      <c r="V4" s="586"/>
      <c r="AB4" s="230"/>
    </row>
    <row r="5" spans="1:28" s="147" customFormat="1">
      <c r="A5" s="147" t="s">
        <v>1323</v>
      </c>
      <c r="B5" s="767">
        <f>'Land requirements'!E4/'Land requirements'!$E$11</f>
        <v>0</v>
      </c>
      <c r="C5" s="767">
        <f>'Land requirements'!E5/'Land requirements'!$E$11</f>
        <v>0.18639236008846743</v>
      </c>
      <c r="D5" s="767">
        <f>'Land requirements'!E6/'Land requirements'!$E$11</f>
        <v>0.59182304597145463</v>
      </c>
      <c r="E5" s="767">
        <f>'Land requirements'!E7/'Land requirements'!$E$11</f>
        <v>4.233186667144221E-2</v>
      </c>
      <c r="F5" s="767">
        <f>'Land requirements'!E8/'Land requirements'!$E$11</f>
        <v>0.15593959643737126</v>
      </c>
      <c r="G5" s="767">
        <f>'Land requirements'!E9/'Land requirements'!$E$11</f>
        <v>2.351313083126453E-2</v>
      </c>
      <c r="H5" s="767">
        <f>'Land requirements'!E10/'Land requirements'!$E$11</f>
        <v>0</v>
      </c>
      <c r="J5" s="693"/>
      <c r="O5" s="231"/>
      <c r="S5" s="232"/>
      <c r="V5" s="586"/>
      <c r="AB5" s="230"/>
    </row>
    <row r="6" spans="1:28" s="147" customFormat="1">
      <c r="A6" s="147" t="s">
        <v>1324</v>
      </c>
      <c r="B6" s="767">
        <f>VLOOKUP(INPUTS!D72,'Crop parameters'!$A$3:$Z$39, 21, FALSE)</f>
        <v>0</v>
      </c>
      <c r="C6" s="767">
        <f>VLOOKUP(INPUTS!D73,'Crop parameters'!$A$3:$Z$39, 21, FALSE)</f>
        <v>0.6</v>
      </c>
      <c r="D6" s="767">
        <f>VLOOKUP(INPUTS!D74,'Crop parameters'!$A$3:$Z$39, 21, FALSE)</f>
        <v>0.64999999999999991</v>
      </c>
      <c r="E6" s="767">
        <f>VLOOKUP(INPUTS!D75,  'Crop parameters'!$A$3:$Z$39, 21, FALSE)</f>
        <v>0.91666666666666663</v>
      </c>
      <c r="F6" s="767">
        <f>VLOOKUP(INPUTS!D76,'Crop parameters'!$A$3:$Z$39, 21, FALSE)</f>
        <v>0.91666666666666663</v>
      </c>
      <c r="G6" s="767">
        <f>VLOOKUP(INPUTS!D77,'Crop parameters'!$A$3:$Z$39, 21, FALSE)</f>
        <v>0.91666666666666663</v>
      </c>
      <c r="H6" s="767">
        <f>VLOOKUP(INPUTS!D78,  'Crop parameters'!$A$3:$Z$39, 21, FALSE)</f>
        <v>0</v>
      </c>
      <c r="J6" s="693">
        <f>SUMPRODUCT(B5:H5,B6:H6)</f>
        <v>0.69982294037959736</v>
      </c>
      <c r="O6" s="231"/>
      <c r="S6" s="232"/>
      <c r="V6" s="586"/>
      <c r="AB6" s="230"/>
    </row>
    <row r="7" spans="1:28" s="147" customFormat="1">
      <c r="B7" s="767">
        <f>B5*B6</f>
        <v>0</v>
      </c>
      <c r="C7" s="767">
        <f t="shared" ref="C7:H7" si="0">C5*C6</f>
        <v>0.11183541605308046</v>
      </c>
      <c r="D7" s="767">
        <f t="shared" si="0"/>
        <v>0.38468497988144545</v>
      </c>
      <c r="E7" s="767">
        <f t="shared" si="0"/>
        <v>3.8804211115488693E-2</v>
      </c>
      <c r="F7" s="767">
        <f t="shared" si="0"/>
        <v>0.14294463006759031</v>
      </c>
      <c r="G7" s="767">
        <f t="shared" si="0"/>
        <v>2.1553703261992484E-2</v>
      </c>
      <c r="H7" s="767">
        <f t="shared" si="0"/>
        <v>0</v>
      </c>
      <c r="O7" s="231"/>
      <c r="S7" s="232"/>
      <c r="V7" s="586"/>
      <c r="AB7" s="230"/>
    </row>
    <row r="8" spans="1:28" s="147" customFormat="1">
      <c r="A8" s="147" t="s">
        <v>1326</v>
      </c>
      <c r="B8" s="799">
        <f>'Area Parameters'!$D$10*Water!B7</f>
        <v>0</v>
      </c>
      <c r="C8" s="799">
        <f>'Area Parameters'!$D$10*Water!C7</f>
        <v>163.27970743749748</v>
      </c>
      <c r="D8" s="799">
        <f>'Area Parameters'!$D$10*Water!D7</f>
        <v>561.64007062691041</v>
      </c>
      <c r="E8" s="799">
        <f>'Area Parameters'!$D$10*Water!E7</f>
        <v>56.654148228613494</v>
      </c>
      <c r="F8" s="799">
        <f>'Area Parameters'!$D$10*Water!F7</f>
        <v>208.69915989868184</v>
      </c>
      <c r="G8" s="799">
        <f>'Area Parameters'!$D$10*Water!G7</f>
        <v>31.468406762509026</v>
      </c>
      <c r="H8" s="799">
        <f>'Area Parameters'!$D$10*Water!H7</f>
        <v>0</v>
      </c>
      <c r="O8" s="231"/>
      <c r="S8" s="232"/>
      <c r="V8" s="586"/>
      <c r="AB8" s="230"/>
    </row>
    <row r="9" spans="1:28" s="147" customFormat="1">
      <c r="A9" s="147" t="s">
        <v>1420</v>
      </c>
      <c r="B9" s="801">
        <f>B8*'Land requirements'!$E$11</f>
        <v>0</v>
      </c>
      <c r="C9" s="801">
        <f>C8*'Land requirements'!$E$11</f>
        <v>101.6608285234733</v>
      </c>
      <c r="D9" s="801">
        <f>D8*'Land requirements'!$E$11</f>
        <v>349.68702362337399</v>
      </c>
      <c r="E9" s="801">
        <f>E8*'Land requirements'!$E$11</f>
        <v>35.273872905591901</v>
      </c>
      <c r="F9" s="801">
        <f>F8*'Land requirements'!$E$11</f>
        <v>129.93978149779815</v>
      </c>
      <c r="G9" s="801">
        <f>G8*'Land requirements'!$E$11</f>
        <v>19.592785619210741</v>
      </c>
      <c r="H9" s="801">
        <f>H8*'Land requirements'!$E$11</f>
        <v>0</v>
      </c>
      <c r="O9" s="231"/>
      <c r="S9" s="232"/>
      <c r="V9" s="586"/>
      <c r="AB9" s="230"/>
    </row>
    <row r="10" spans="1:28" s="147" customFormat="1">
      <c r="A10" s="147" t="s">
        <v>1421</v>
      </c>
      <c r="B10" s="801">
        <f>IFERROR(B9*(1-('Land Requirement '!J16+'Land Requirement '!K16)/('Land Requirement '!H16+'Land Requirement '!I16)),0)</f>
        <v>0</v>
      </c>
      <c r="C10" s="801">
        <f>IFERROR(C9*(1-('Land Requirement '!V16+'Land Requirement '!W16)/('Land Requirement '!T16+'Land Requirement '!U16)),0)</f>
        <v>101.6608285234733</v>
      </c>
      <c r="D10" s="801">
        <f>IFERROR(D9*(1-('Land Requirement '!AH16+'Land Requirement '!AI16)/('Land Requirement '!AF16+'Land Requirement '!AG16)),0)</f>
        <v>281.61173974089979</v>
      </c>
      <c r="E10" s="801">
        <f>IFERROR(E9*(1-('Land Requirement '!AT16+'Land Requirement '!AU16)/('Land Requirement '!AR16+'Land Requirement '!AS16)),0)</f>
        <v>35.273872905591901</v>
      </c>
      <c r="F10" s="801">
        <f>IFERROR(F9*(1-('Land Requirement '!BF16+'Land Requirement '!BG16)/('Land Requirement '!BD16+'Land Requirement '!BE16)),0)</f>
        <v>129.93978149779815</v>
      </c>
      <c r="G10" s="801">
        <f>IFERROR(G9*(1-('Land Requirement '!BR16+'Land Requirement '!BS16)/('Land Requirement '!BP16+'Land Requirement '!BQ16)),0)</f>
        <v>19.592785619210741</v>
      </c>
      <c r="H10" s="801">
        <f>IFERROR(H9*(1-('Land Requirement '!CD16+'Land Requirement '!CE16)/('Land Requirement '!CB16+'Land Requirement '!CC16)),0)</f>
        <v>0</v>
      </c>
      <c r="O10" s="231"/>
      <c r="S10" s="232"/>
      <c r="V10" s="586"/>
      <c r="AB10" s="230"/>
    </row>
    <row r="11" spans="1:28" s="147" customFormat="1">
      <c r="A11" s="147" t="s">
        <v>1491</v>
      </c>
      <c r="B11" s="801">
        <f>B9-B10</f>
        <v>0</v>
      </c>
      <c r="C11" s="801">
        <f t="shared" ref="C11:H11" si="1">C9-C10</f>
        <v>0</v>
      </c>
      <c r="D11" s="801">
        <f t="shared" si="1"/>
        <v>68.075283882474196</v>
      </c>
      <c r="E11" s="801">
        <f t="shared" si="1"/>
        <v>0</v>
      </c>
      <c r="F11" s="801">
        <f t="shared" si="1"/>
        <v>0</v>
      </c>
      <c r="G11" s="801">
        <f t="shared" si="1"/>
        <v>0</v>
      </c>
      <c r="H11" s="801">
        <f t="shared" si="1"/>
        <v>0</v>
      </c>
      <c r="O11" s="231"/>
      <c r="S11" s="232"/>
      <c r="V11" s="586"/>
      <c r="AB11" s="230"/>
    </row>
    <row r="12" spans="1:28" s="1542" customFormat="1">
      <c r="A12" s="1542" t="s">
        <v>1325</v>
      </c>
    </row>
    <row r="13" spans="1:28" s="147" customFormat="1">
      <c r="A13" s="147" t="s">
        <v>1326</v>
      </c>
      <c r="B13" s="799">
        <f>'Area Parameters'!D10*Water!J6</f>
        <v>1021.7414929542122</v>
      </c>
      <c r="C13" s="255"/>
      <c r="D13" s="255"/>
      <c r="E13" s="255"/>
      <c r="F13" s="255"/>
      <c r="G13" s="255"/>
      <c r="H13" s="255"/>
      <c r="O13" s="231"/>
      <c r="S13" s="232"/>
      <c r="V13" s="586"/>
      <c r="AB13" s="230"/>
    </row>
    <row r="14" spans="1:28" s="147" customFormat="1">
      <c r="A14" s="147" t="s">
        <v>1419</v>
      </c>
      <c r="B14" s="798">
        <f>B13/'Area Parameters'!D2</f>
        <v>0.72981535211015158</v>
      </c>
      <c r="C14" s="255"/>
      <c r="D14" s="255"/>
      <c r="E14" s="255"/>
      <c r="F14" s="255"/>
      <c r="G14" s="255"/>
      <c r="H14" s="255"/>
      <c r="O14" s="231"/>
      <c r="S14" s="232"/>
      <c r="V14" s="586"/>
      <c r="AB14" s="230"/>
    </row>
    <row r="15" spans="1:28" s="147" customFormat="1">
      <c r="A15" s="147" t="s">
        <v>1327</v>
      </c>
      <c r="B15" s="799">
        <f>B13*'Land requirements'!E11</f>
        <v>636.15429216944801</v>
      </c>
      <c r="C15" s="255"/>
      <c r="D15" s="255"/>
      <c r="E15" s="255"/>
      <c r="F15" s="255"/>
      <c r="G15" s="255"/>
      <c r="H15" s="255"/>
      <c r="O15" s="231"/>
      <c r="S15" s="232"/>
      <c r="V15" s="586"/>
      <c r="AB15" s="230"/>
    </row>
    <row r="16" spans="1:28" s="147" customFormat="1">
      <c r="A16" s="147" t="s">
        <v>1335</v>
      </c>
      <c r="B16" s="800">
        <f>B15/'Meat &amp; Milk '!B28</f>
        <v>0.2036469222422132</v>
      </c>
      <c r="C16" s="255"/>
      <c r="D16" s="255"/>
      <c r="E16" s="255"/>
      <c r="F16" s="255"/>
      <c r="G16" s="255"/>
      <c r="H16" s="255"/>
      <c r="O16" s="231"/>
      <c r="S16" s="232"/>
      <c r="V16" s="586"/>
      <c r="AB16" s="230"/>
    </row>
    <row r="17" spans="1:28" s="147" customFormat="1">
      <c r="A17" s="147" t="s">
        <v>1515</v>
      </c>
      <c r="B17" s="800">
        <f>B15/'Meat &amp; Milk '!B24</f>
        <v>2.3436276605122606</v>
      </c>
      <c r="C17" s="255"/>
      <c r="D17" s="255"/>
      <c r="E17" s="255"/>
      <c r="F17" s="255"/>
      <c r="G17" s="255"/>
      <c r="H17" s="255"/>
      <c r="O17" s="231"/>
      <c r="S17" s="232"/>
      <c r="V17" s="586"/>
      <c r="AB17" s="230"/>
    </row>
    <row r="18" spans="1:28">
      <c r="A18" s="147" t="s">
        <v>1377</v>
      </c>
      <c r="B18" s="781">
        <f>B15/'Meat &amp; Milk '!B33</f>
        <v>3.4173297937601692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2"/>
  <sheetViews>
    <sheetView topLeftCell="D1" workbookViewId="0">
      <selection activeCell="G13" sqref="G13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348</v>
      </c>
    </row>
    <row r="2" spans="1:14">
      <c r="E2" t="s">
        <v>390</v>
      </c>
    </row>
    <row r="3" spans="1:14">
      <c r="E3">
        <f>44/12</f>
        <v>3.6666666666666665</v>
      </c>
      <c r="G3" s="81" t="s">
        <v>907</v>
      </c>
      <c r="H3" t="s">
        <v>908</v>
      </c>
    </row>
    <row r="4" spans="1:14">
      <c r="G4" t="s">
        <v>961</v>
      </c>
      <c r="H4">
        <f>1000000*('Area Parameters'!D9/100)*'Area Parameters'!D8</f>
        <v>30000</v>
      </c>
    </row>
    <row r="5" spans="1:14">
      <c r="G5" t="s">
        <v>1469</v>
      </c>
    </row>
    <row r="6" spans="1:14">
      <c r="G6" t="s">
        <v>1470</v>
      </c>
      <c r="H6" s="39">
        <f>H4*'Area Parameters'!D6*0.001</f>
        <v>39</v>
      </c>
    </row>
    <row r="7" spans="1:14">
      <c r="B7" t="s">
        <v>320</v>
      </c>
      <c r="G7" s="37" t="s">
        <v>613</v>
      </c>
    </row>
    <row r="8" spans="1:14">
      <c r="B8" s="1561" t="s">
        <v>262</v>
      </c>
      <c r="C8" s="1561"/>
      <c r="D8" s="26" t="s">
        <v>304</v>
      </c>
      <c r="E8" s="1558" t="s">
        <v>339</v>
      </c>
      <c r="F8" s="1559"/>
      <c r="G8" s="1559"/>
      <c r="H8" s="1559"/>
      <c r="I8" s="1559"/>
      <c r="J8" s="1559"/>
      <c r="K8" s="1560"/>
      <c r="L8" s="11"/>
      <c r="M8" s="11"/>
      <c r="N8" s="11"/>
    </row>
    <row r="9" spans="1:14" ht="47.25">
      <c r="B9" s="1418" t="s">
        <v>306</v>
      </c>
      <c r="C9" s="1418"/>
      <c r="D9" s="1418" t="s">
        <v>615</v>
      </c>
      <c r="E9" s="24" t="s">
        <v>321</v>
      </c>
      <c r="F9" s="24" t="s">
        <v>322</v>
      </c>
      <c r="G9" s="24" t="s">
        <v>323</v>
      </c>
      <c r="H9" s="24" t="s">
        <v>328</v>
      </c>
      <c r="I9" s="24" t="s">
        <v>324</v>
      </c>
      <c r="J9" s="24" t="s">
        <v>325</v>
      </c>
      <c r="K9" s="31" t="s">
        <v>320</v>
      </c>
    </row>
    <row r="10" spans="1:14">
      <c r="B10" s="1418" t="s">
        <v>308</v>
      </c>
      <c r="C10" s="1418" t="s">
        <v>307</v>
      </c>
      <c r="D10" s="1418"/>
      <c r="E10" s="24" t="s">
        <v>223</v>
      </c>
      <c r="F10" s="24" t="s">
        <v>326</v>
      </c>
      <c r="G10" s="24" t="s">
        <v>327</v>
      </c>
      <c r="H10" s="24" t="s">
        <v>161</v>
      </c>
      <c r="I10" s="24" t="s">
        <v>161</v>
      </c>
      <c r="J10" s="24" t="s">
        <v>161</v>
      </c>
      <c r="K10" s="31" t="s">
        <v>329</v>
      </c>
    </row>
    <row r="11" spans="1:14" ht="31.5">
      <c r="B11" s="1418"/>
      <c r="C11" s="1418"/>
      <c r="D11" s="1418"/>
      <c r="E11" s="24"/>
      <c r="F11" s="24" t="s">
        <v>331</v>
      </c>
      <c r="G11" s="24" t="s">
        <v>910</v>
      </c>
      <c r="H11" s="24" t="s">
        <v>590</v>
      </c>
      <c r="I11" s="24" t="s">
        <v>590</v>
      </c>
      <c r="J11" s="24" t="s">
        <v>590</v>
      </c>
      <c r="K11" s="31" t="s">
        <v>338</v>
      </c>
    </row>
    <row r="12" spans="1:14">
      <c r="B12" s="1418"/>
      <c r="C12" s="1418"/>
      <c r="D12" s="1418"/>
      <c r="E12" s="24" t="s">
        <v>330</v>
      </c>
      <c r="F12" s="24" t="s">
        <v>332</v>
      </c>
      <c r="G12" s="24" t="s">
        <v>333</v>
      </c>
      <c r="H12" s="24" t="s">
        <v>334</v>
      </c>
      <c r="I12" s="24" t="s">
        <v>335</v>
      </c>
      <c r="J12" s="24" t="s">
        <v>336</v>
      </c>
      <c r="K12" s="31" t="s">
        <v>337</v>
      </c>
    </row>
    <row r="13" spans="1:14">
      <c r="B13" s="27" t="s">
        <v>319</v>
      </c>
      <c r="C13" s="27" t="s">
        <v>319</v>
      </c>
      <c r="D13" s="13" t="s">
        <v>1451</v>
      </c>
      <c r="E13" s="1314">
        <v>0</v>
      </c>
      <c r="F13" s="40">
        <f>IF(H6&gt;0,H6,30)</f>
        <v>39</v>
      </c>
      <c r="G13" s="13">
        <v>20</v>
      </c>
      <c r="H13" s="168">
        <f>VLOOKUP('Area Parameters'!G13,'SOC parameters'!E6:G38,3,FALSE)</f>
        <v>0.48</v>
      </c>
      <c r="I13" s="168">
        <f>VLOOKUP('Area Parameters'!G14,'SOC parameters'!E6:G38,3, FALSE)</f>
        <v>1.1499999999999999</v>
      </c>
      <c r="J13" s="157">
        <f>VLOOKUP('Area Parameters'!G15,'SOC parameters'!E6:G38,3,FALSE)</f>
        <v>0.92</v>
      </c>
      <c r="K13" s="117">
        <f>((F13*H13*I13*J13)-F13)/G13*E13</f>
        <v>0</v>
      </c>
    </row>
    <row r="14" spans="1:14">
      <c r="B14" s="127" t="s">
        <v>389</v>
      </c>
      <c r="C14" s="127" t="s">
        <v>389</v>
      </c>
      <c r="D14" s="13" t="s">
        <v>673</v>
      </c>
      <c r="E14" s="1314">
        <v>0</v>
      </c>
      <c r="F14" s="13">
        <v>40</v>
      </c>
      <c r="G14" s="13">
        <v>20</v>
      </c>
      <c r="H14" s="167">
        <f>'SOC parameters'!E44</f>
        <v>1</v>
      </c>
      <c r="I14" s="168">
        <f>VLOOKUP('Area Parameters'!G16,'SOC parameters'!D45:E52,2, FALSE)</f>
        <v>0.97</v>
      </c>
      <c r="J14" s="168">
        <f>VLOOKUP('Area Parameters'!G17,'SOC parameters'!D53:E55,2, FALSE)</f>
        <v>1</v>
      </c>
      <c r="K14" s="117">
        <f>((F14*H14*I14*J14)-F14)/G14*E14</f>
        <v>0</v>
      </c>
      <c r="L14" s="39"/>
    </row>
    <row r="15" spans="1:14">
      <c r="B15" s="127" t="s">
        <v>978</v>
      </c>
      <c r="C15" s="127" t="s">
        <v>978</v>
      </c>
      <c r="D15" s="124" t="s">
        <v>933</v>
      </c>
      <c r="E15" s="1315"/>
      <c r="F15" s="124">
        <v>40</v>
      </c>
      <c r="G15" s="124">
        <v>20</v>
      </c>
      <c r="H15" s="167">
        <f>'SOC parameters'!E44</f>
        <v>1</v>
      </c>
      <c r="I15" s="168"/>
      <c r="J15" s="168"/>
      <c r="K15" s="117">
        <f>((F15*H15*I15*J15)-F15)/G15*E15</f>
        <v>0</v>
      </c>
      <c r="L15" s="39"/>
    </row>
    <row r="16" spans="1:14">
      <c r="B16" s="1543" t="s">
        <v>568</v>
      </c>
      <c r="C16" s="1543"/>
      <c r="D16" s="1543"/>
      <c r="E16" s="152"/>
      <c r="F16" s="152"/>
      <c r="G16" s="152"/>
      <c r="H16" s="19"/>
      <c r="I16" s="19"/>
      <c r="J16" s="19"/>
      <c r="K16" s="115">
        <f>SUM(K13:K15)</f>
        <v>0</v>
      </c>
    </row>
    <row r="17" spans="2:12">
      <c r="B17" s="27" t="s">
        <v>389</v>
      </c>
      <c r="C17" s="27" t="s">
        <v>319</v>
      </c>
      <c r="D17" s="13"/>
      <c r="E17" s="13">
        <f>'Area Parameters'!G18</f>
        <v>0</v>
      </c>
      <c r="F17" s="13">
        <v>30</v>
      </c>
      <c r="G17" s="13">
        <v>20</v>
      </c>
      <c r="H17" s="153"/>
      <c r="I17" s="153"/>
      <c r="J17" s="153"/>
      <c r="K17" s="154">
        <f>((F17*H17*I17*J17)-F17)/G17*E17</f>
        <v>0</v>
      </c>
    </row>
    <row r="18" spans="2:12">
      <c r="B18" s="27" t="s">
        <v>319</v>
      </c>
      <c r="C18" s="27" t="s">
        <v>389</v>
      </c>
      <c r="D18" s="13"/>
      <c r="E18" s="13">
        <f>'Area Parameters'!G19</f>
        <v>0</v>
      </c>
      <c r="F18" s="13">
        <v>40</v>
      </c>
      <c r="G18" s="13">
        <v>20</v>
      </c>
      <c r="H18" s="153"/>
      <c r="I18" s="153"/>
      <c r="J18" s="153"/>
      <c r="K18" s="154">
        <f>((F18*H18*I18*J18)-F18)/G18*E18</f>
        <v>0</v>
      </c>
    </row>
    <row r="19" spans="2:12">
      <c r="B19" s="1544" t="s">
        <v>140</v>
      </c>
      <c r="C19" s="1545"/>
      <c r="D19" s="1545"/>
      <c r="E19" s="1545"/>
      <c r="F19" s="1545"/>
      <c r="G19" s="1545"/>
      <c r="H19" s="1545"/>
      <c r="I19" s="1545"/>
      <c r="J19" s="1546"/>
      <c r="K19" s="117">
        <f>K16+SUM(K17:K18)</f>
        <v>0</v>
      </c>
      <c r="L19" t="s">
        <v>1468</v>
      </c>
    </row>
    <row r="22" spans="2:12">
      <c r="B22" t="s">
        <v>340</v>
      </c>
    </row>
    <row r="23" spans="2:12">
      <c r="B23" s="1550" t="s">
        <v>262</v>
      </c>
      <c r="C23" s="1552"/>
      <c r="D23" s="26" t="s">
        <v>304</v>
      </c>
      <c r="E23" s="1550" t="s">
        <v>346</v>
      </c>
      <c r="F23" s="1551"/>
      <c r="G23" s="1552"/>
    </row>
    <row r="24" spans="2:12" ht="30" customHeight="1">
      <c r="B24" s="1414" t="s">
        <v>306</v>
      </c>
      <c r="C24" s="1416"/>
      <c r="D24" s="1419" t="s">
        <v>615</v>
      </c>
      <c r="E24" s="24" t="s">
        <v>341</v>
      </c>
      <c r="F24" s="24" t="s">
        <v>344</v>
      </c>
      <c r="G24" s="24" t="s">
        <v>345</v>
      </c>
    </row>
    <row r="25" spans="2:12" ht="15" customHeight="1">
      <c r="B25" s="1419" t="s">
        <v>308</v>
      </c>
      <c r="C25" s="1419" t="s">
        <v>307</v>
      </c>
      <c r="D25" s="1428"/>
      <c r="E25" s="24" t="s">
        <v>223</v>
      </c>
      <c r="F25" s="24" t="s">
        <v>311</v>
      </c>
      <c r="G25" s="24" t="s">
        <v>329</v>
      </c>
    </row>
    <row r="26" spans="2:12" ht="63">
      <c r="B26" s="1428"/>
      <c r="C26" s="1428"/>
      <c r="D26" s="1428"/>
      <c r="E26" s="24"/>
      <c r="F26" s="24" t="s">
        <v>347</v>
      </c>
      <c r="G26" s="24" t="s">
        <v>343</v>
      </c>
    </row>
    <row r="27" spans="2:12">
      <c r="B27" s="1420"/>
      <c r="C27" s="1420"/>
      <c r="D27" s="1420"/>
      <c r="E27" s="24" t="s">
        <v>152</v>
      </c>
      <c r="F27" s="24" t="s">
        <v>0</v>
      </c>
      <c r="G27" s="24" t="s">
        <v>342</v>
      </c>
    </row>
    <row r="28" spans="2:12">
      <c r="B28" s="1421" t="s">
        <v>319</v>
      </c>
      <c r="C28" s="1421" t="s">
        <v>319</v>
      </c>
      <c r="D28" s="13" t="s">
        <v>106</v>
      </c>
      <c r="E28" s="24"/>
      <c r="F28" s="24"/>
      <c r="G28" s="24">
        <f>E28*F28</f>
        <v>0</v>
      </c>
    </row>
    <row r="29" spans="2:12">
      <c r="B29" s="1556"/>
      <c r="C29" s="1556"/>
      <c r="D29" s="13" t="s">
        <v>107</v>
      </c>
      <c r="E29" s="24"/>
      <c r="F29" s="24"/>
      <c r="G29" s="24">
        <f>E29*F29</f>
        <v>0</v>
      </c>
    </row>
    <row r="30" spans="2:12">
      <c r="B30" s="1557"/>
      <c r="C30" s="1557"/>
      <c r="D30" s="13" t="s">
        <v>108</v>
      </c>
      <c r="E30" s="24"/>
      <c r="F30" s="24"/>
      <c r="G30" s="24">
        <f>E30*F30</f>
        <v>0</v>
      </c>
    </row>
    <row r="31" spans="2:12">
      <c r="B31" s="1553" t="s">
        <v>135</v>
      </c>
      <c r="C31" s="1554"/>
      <c r="D31" s="1555"/>
      <c r="E31" s="26"/>
      <c r="F31" s="24"/>
      <c r="G31" s="24">
        <f>SUM(G28:G30)</f>
        <v>0</v>
      </c>
    </row>
    <row r="35" spans="1:7">
      <c r="A35" t="s">
        <v>349</v>
      </c>
    </row>
    <row r="37" spans="1:7">
      <c r="B37" t="s">
        <v>350</v>
      </c>
    </row>
    <row r="39" spans="1:7">
      <c r="B39" s="1550" t="s">
        <v>262</v>
      </c>
      <c r="C39" s="1552"/>
      <c r="D39" s="25"/>
      <c r="E39" s="26"/>
      <c r="F39" s="24"/>
      <c r="G39" s="67" t="s">
        <v>357</v>
      </c>
    </row>
    <row r="40" spans="1:7" ht="47.25">
      <c r="B40" s="1550" t="s">
        <v>306</v>
      </c>
      <c r="C40" s="1552"/>
      <c r="D40" s="24" t="s">
        <v>320</v>
      </c>
      <c r="E40" s="24" t="s">
        <v>345</v>
      </c>
      <c r="F40" s="24" t="s">
        <v>351</v>
      </c>
      <c r="G40" s="31" t="s">
        <v>354</v>
      </c>
    </row>
    <row r="41" spans="1:7">
      <c r="B41" s="1547" t="s">
        <v>308</v>
      </c>
      <c r="C41" s="1547" t="s">
        <v>307</v>
      </c>
      <c r="D41" s="24" t="s">
        <v>329</v>
      </c>
      <c r="E41" s="24" t="s">
        <v>329</v>
      </c>
      <c r="F41" s="24" t="s">
        <v>329</v>
      </c>
      <c r="G41" s="31" t="s">
        <v>329</v>
      </c>
    </row>
    <row r="42" spans="1:7" ht="31.5">
      <c r="B42" s="1548"/>
      <c r="C42" s="1548"/>
      <c r="D42" s="20" t="s">
        <v>338</v>
      </c>
      <c r="E42" s="24" t="s">
        <v>343</v>
      </c>
      <c r="F42" s="24" t="s">
        <v>352</v>
      </c>
      <c r="G42" s="31" t="s">
        <v>356</v>
      </c>
    </row>
    <row r="43" spans="1:7">
      <c r="B43" s="1549"/>
      <c r="C43" s="1549"/>
      <c r="D43" s="20" t="s">
        <v>337</v>
      </c>
      <c r="E43" s="24" t="s">
        <v>342</v>
      </c>
      <c r="F43" s="24" t="s">
        <v>353</v>
      </c>
      <c r="G43" s="31" t="s">
        <v>355</v>
      </c>
    </row>
    <row r="44" spans="1:7">
      <c r="B44" s="25" t="s">
        <v>319</v>
      </c>
      <c r="C44" s="25" t="s">
        <v>319</v>
      </c>
      <c r="D44" s="40">
        <f>K16</f>
        <v>0</v>
      </c>
      <c r="E44" s="40">
        <f>G31</f>
        <v>0</v>
      </c>
      <c r="F44" s="40">
        <v>0</v>
      </c>
      <c r="G44" s="47">
        <f>D44-E44+F44</f>
        <v>0</v>
      </c>
    </row>
    <row r="52" ht="31.5" customHeight="1"/>
    <row r="57" ht="27" customHeight="1"/>
    <row r="59" ht="31.5" customHeight="1"/>
    <row r="68" ht="15.75" customHeight="1"/>
    <row r="88" ht="15.75" customHeight="1"/>
    <row r="92" ht="15.75" customHeight="1"/>
    <row r="97" ht="57" customHeight="1"/>
    <row r="98" ht="31.5" customHeight="1"/>
    <row r="101" ht="24" customHeight="1"/>
    <row r="102" ht="36" customHeight="1"/>
    <row r="107" ht="15.75" customHeight="1"/>
    <row r="110" ht="46.5" customHeight="1"/>
    <row r="111" ht="59.25" customHeight="1"/>
    <row r="112" ht="96.75" customHeight="1"/>
  </sheetData>
  <mergeCells count="21">
    <mergeCell ref="E8:K8"/>
    <mergeCell ref="B8:C8"/>
    <mergeCell ref="B9:C9"/>
    <mergeCell ref="D9:D12"/>
    <mergeCell ref="B10:B12"/>
    <mergeCell ref="C10:C12"/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28"/>
  <sheetViews>
    <sheetView topLeftCell="A5" workbookViewId="0">
      <selection activeCell="A27" sqref="A27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303</v>
      </c>
    </row>
    <row r="4" spans="1:8">
      <c r="B4" t="s">
        <v>105</v>
      </c>
    </row>
    <row r="5" spans="1:8">
      <c r="B5" s="1561" t="s">
        <v>262</v>
      </c>
      <c r="C5" s="1561"/>
      <c r="D5" s="26" t="s">
        <v>304</v>
      </c>
      <c r="E5" s="1550" t="s">
        <v>305</v>
      </c>
      <c r="F5" s="1551"/>
      <c r="G5" s="1551"/>
      <c r="H5" s="1552"/>
    </row>
    <row r="6" spans="1:8" ht="110.25">
      <c r="B6" s="1418" t="s">
        <v>306</v>
      </c>
      <c r="C6" s="1418"/>
      <c r="D6" s="1418" t="s">
        <v>175</v>
      </c>
      <c r="E6" s="20" t="s">
        <v>309</v>
      </c>
      <c r="F6" s="20" t="s">
        <v>310</v>
      </c>
      <c r="G6" s="20" t="s">
        <v>316</v>
      </c>
      <c r="H6" s="20" t="s">
        <v>1467</v>
      </c>
    </row>
    <row r="7" spans="1:8" ht="31.5">
      <c r="B7" s="1418" t="s">
        <v>308</v>
      </c>
      <c r="C7" s="1418" t="s">
        <v>307</v>
      </c>
      <c r="D7" s="1418"/>
      <c r="E7" s="20" t="s">
        <v>223</v>
      </c>
      <c r="F7" s="20" t="s">
        <v>311</v>
      </c>
      <c r="G7" s="20" t="s">
        <v>311</v>
      </c>
      <c r="H7" s="20" t="s">
        <v>317</v>
      </c>
    </row>
    <row r="8" spans="1:8" ht="31.5">
      <c r="B8" s="1418"/>
      <c r="C8" s="1418"/>
      <c r="D8" s="1418"/>
      <c r="E8" s="20"/>
      <c r="F8" s="20" t="s">
        <v>312</v>
      </c>
      <c r="G8" s="20" t="s">
        <v>312</v>
      </c>
      <c r="H8" s="20" t="s">
        <v>318</v>
      </c>
    </row>
    <row r="9" spans="1:8">
      <c r="B9" s="1418"/>
      <c r="C9" s="1418"/>
      <c r="D9" s="1418"/>
      <c r="E9" s="20" t="s">
        <v>152</v>
      </c>
      <c r="F9" s="38" t="s">
        <v>314</v>
      </c>
      <c r="G9" s="20" t="s">
        <v>315</v>
      </c>
      <c r="H9" s="20" t="s">
        <v>313</v>
      </c>
    </row>
    <row r="10" spans="1:8">
      <c r="B10" s="1417" t="s">
        <v>319</v>
      </c>
      <c r="C10" s="1417" t="s">
        <v>319</v>
      </c>
      <c r="D10" s="13" t="s">
        <v>106</v>
      </c>
      <c r="E10" s="40" t="e">
        <f>'Land requirements'!#REF!</f>
        <v>#REF!</v>
      </c>
      <c r="F10" s="40">
        <v>2.6</v>
      </c>
      <c r="G10" s="40">
        <v>2.5</v>
      </c>
      <c r="H10" s="40" t="e">
        <f>E10*(F10-G10)</f>
        <v>#REF!</v>
      </c>
    </row>
    <row r="11" spans="1:8">
      <c r="B11" s="1417"/>
      <c r="C11" s="1417"/>
      <c r="D11" s="13" t="s">
        <v>107</v>
      </c>
      <c r="E11" s="40"/>
      <c r="F11" s="40"/>
      <c r="G11" s="40"/>
      <c r="H11" s="40">
        <f>E11*(F11-G11)</f>
        <v>0</v>
      </c>
    </row>
    <row r="12" spans="1:8">
      <c r="B12" s="1417"/>
      <c r="C12" s="1417"/>
      <c r="D12" s="13" t="s">
        <v>108</v>
      </c>
      <c r="E12" s="40"/>
      <c r="F12" s="40"/>
      <c r="G12" s="40"/>
      <c r="H12" s="40">
        <f>E12*(F12-G12)</f>
        <v>0</v>
      </c>
    </row>
    <row r="13" spans="1:8">
      <c r="B13" s="1562" t="s">
        <v>135</v>
      </c>
      <c r="C13" s="1562"/>
      <c r="D13" s="1562"/>
      <c r="E13" s="19"/>
      <c r="F13" s="19"/>
      <c r="G13" s="19"/>
      <c r="H13" s="40" t="e">
        <f>SUM(H10:H12)</f>
        <v>#REF!</v>
      </c>
    </row>
    <row r="16" spans="1:8">
      <c r="A16" t="s">
        <v>844</v>
      </c>
      <c r="B16" t="s">
        <v>496</v>
      </c>
    </row>
    <row r="17" spans="2:19" s="30" customFormat="1" ht="78.75">
      <c r="B17" s="1419" t="s">
        <v>479</v>
      </c>
      <c r="C17" s="88" t="s">
        <v>1406</v>
      </c>
      <c r="D17" s="24" t="s">
        <v>1456</v>
      </c>
      <c r="E17" s="24" t="s">
        <v>480</v>
      </c>
      <c r="F17" s="24" t="s">
        <v>497</v>
      </c>
      <c r="G17" s="24" t="s">
        <v>498</v>
      </c>
      <c r="H17" s="24" t="s">
        <v>485</v>
      </c>
      <c r="I17" s="24" t="s">
        <v>486</v>
      </c>
      <c r="J17" s="24" t="s">
        <v>1457</v>
      </c>
      <c r="K17" s="24" t="s">
        <v>1458</v>
      </c>
      <c r="L17" s="114" t="s">
        <v>1465</v>
      </c>
      <c r="M17" s="159" t="s">
        <v>676</v>
      </c>
      <c r="N17" s="159" t="s">
        <v>676</v>
      </c>
      <c r="O17" s="114" t="s">
        <v>1466</v>
      </c>
      <c r="P17" s="159" t="s">
        <v>675</v>
      </c>
      <c r="Q17" s="24" t="s">
        <v>618</v>
      </c>
      <c r="R17" s="24" t="s">
        <v>674</v>
      </c>
      <c r="S17"/>
    </row>
    <row r="18" spans="2:19" ht="31.5">
      <c r="B18" s="1428"/>
      <c r="C18" s="797" t="s">
        <v>134</v>
      </c>
      <c r="D18" s="24" t="s">
        <v>482</v>
      </c>
      <c r="E18" s="24" t="s">
        <v>483</v>
      </c>
      <c r="F18" s="24" t="s">
        <v>484</v>
      </c>
      <c r="G18" s="24" t="s">
        <v>493</v>
      </c>
      <c r="H18" s="24" t="s">
        <v>499</v>
      </c>
      <c r="I18" s="27" t="s">
        <v>488</v>
      </c>
      <c r="J18" s="24" t="s">
        <v>1459</v>
      </c>
      <c r="K18" s="24" t="s">
        <v>843</v>
      </c>
      <c r="L18" s="114" t="s">
        <v>839</v>
      </c>
      <c r="M18" s="159" t="s">
        <v>1459</v>
      </c>
      <c r="N18" s="159" t="s">
        <v>677</v>
      </c>
      <c r="O18" s="114" t="s">
        <v>1405</v>
      </c>
      <c r="P18" s="159" t="s">
        <v>840</v>
      </c>
      <c r="Q18" s="24" t="s">
        <v>843</v>
      </c>
      <c r="R18" s="24" t="s">
        <v>842</v>
      </c>
    </row>
    <row r="19" spans="2:19" ht="63">
      <c r="B19" s="1420"/>
      <c r="C19" s="34"/>
      <c r="D19" s="24"/>
      <c r="E19" s="24" t="s">
        <v>616</v>
      </c>
      <c r="F19" s="24" t="s">
        <v>477</v>
      </c>
      <c r="G19" s="24" t="s">
        <v>495</v>
      </c>
      <c r="H19" s="24"/>
      <c r="I19" s="24" t="s">
        <v>490</v>
      </c>
      <c r="J19" s="24"/>
      <c r="K19" s="24"/>
      <c r="L19" s="114"/>
      <c r="M19" s="159"/>
      <c r="N19" s="159"/>
      <c r="O19" s="114"/>
      <c r="P19" s="159"/>
      <c r="Q19" s="24" t="s">
        <v>619</v>
      </c>
      <c r="R19" s="24" t="s">
        <v>492</v>
      </c>
    </row>
    <row r="20" spans="2:19" ht="31.5">
      <c r="B20" s="24" t="s">
        <v>487</v>
      </c>
      <c r="C20" s="24"/>
      <c r="D20" s="24" t="s">
        <v>491</v>
      </c>
      <c r="E20" s="24" t="s">
        <v>481</v>
      </c>
      <c r="F20" s="24" t="s">
        <v>494</v>
      </c>
      <c r="G20" s="27" t="s">
        <v>476</v>
      </c>
      <c r="H20" s="24" t="s">
        <v>478</v>
      </c>
      <c r="I20" s="27" t="s">
        <v>489</v>
      </c>
      <c r="J20" s="24" t="s">
        <v>838</v>
      </c>
      <c r="K20" s="24"/>
      <c r="L20" s="114"/>
      <c r="M20" s="159" t="s">
        <v>841</v>
      </c>
      <c r="N20" s="159" t="s">
        <v>841</v>
      </c>
      <c r="O20" s="114"/>
      <c r="P20" s="159" t="s">
        <v>617</v>
      </c>
      <c r="Q20" s="24" t="s">
        <v>620</v>
      </c>
      <c r="R20" s="24" t="s">
        <v>620</v>
      </c>
    </row>
    <row r="21" spans="2:19">
      <c r="B21" s="24" t="str">
        <f>'Land requirements'!B4</f>
        <v>Purchased</v>
      </c>
      <c r="C21" s="45" t="e">
        <f>'Land requirements'!#REF!</f>
        <v>#REF!</v>
      </c>
      <c r="D21" s="24" t="str">
        <f>IF(VLOOKUP(B21,'Crop parameters'!$A$3:$Z$39,23)&gt;0,VLOOKUP(B21,'Crop parameters'!$A$3:$Z$39,23),"")</f>
        <v/>
      </c>
      <c r="E21" s="24" t="str">
        <f>IF(VLOOKUP(B21,'Crop parameters'!$A$3:$Z$39,24)&gt;0,VLOOKUP(B21,'Crop parameters'!$A$3:$Z$39,24),"")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 t="e">
        <f>J21*C21</f>
        <v>#REF!</v>
      </c>
      <c r="L21" s="24" t="str">
        <f>IF(VLOOKUP(B21,'Crop parameters'!$A$3:$Z$39,25)&gt;0,VLOOKUP(B21,'Crop parameters'!$A$3:$Z$39,25),"")</f>
        <v/>
      </c>
      <c r="M21" s="160">
        <f>IFERROR(L21*H21*D21,0)</f>
        <v>0</v>
      </c>
      <c r="N21" s="160" t="e">
        <f>M21*C21</f>
        <v>#REF!</v>
      </c>
      <c r="O21" s="24" t="str">
        <f>IF(VLOOKUP(B21,'Crop parameters'!$A$3:$Z$39,26)&gt;0,VLOOKUP(B21,'Crop parameters'!$A$3:$Z$39,26),"")</f>
        <v/>
      </c>
      <c r="P21" s="160">
        <f>IFERROR(O21*H21,0)</f>
        <v>0</v>
      </c>
      <c r="Q21" s="121" t="e">
        <f>N21-P21</f>
        <v>#REF!</v>
      </c>
      <c r="R21" s="121" t="e">
        <f>Q21*(44/12)</f>
        <v>#REF!</v>
      </c>
    </row>
    <row r="22" spans="2:19">
      <c r="B22" s="24" t="str">
        <f>'Land requirements'!B5</f>
        <v>Natural pasture</v>
      </c>
      <c r="C22" s="45" t="e">
        <f>'Land requirements'!#REF!</f>
        <v>#REF!</v>
      </c>
      <c r="D22" s="24" t="str">
        <f>IF(VLOOKUP(B22,'Crop parameters'!$A$3:$Z$39,23)&gt;0,VLOOKUP(B22,'Crop parameters'!$A$3:$Z$39,23),"")</f>
        <v/>
      </c>
      <c r="E22" s="24" t="str">
        <f>IF(VLOOKUP(B22,'Crop parameters'!$A$3:$Z$39,24)&gt;0,VLOOKUP(B22,'Crop parameters'!$A$3:$Z$39,24),"")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 t="e">
        <f t="shared" ref="K22:K27" si="4">J22*C22</f>
        <v>#REF!</v>
      </c>
      <c r="L22" s="24" t="str">
        <f>IF(VLOOKUP(B22,'Crop parameters'!$A$3:$Z$39,25)&gt;0,VLOOKUP(B22,'Crop parameters'!$A$3:$Z$39,25),"")</f>
        <v/>
      </c>
      <c r="M22" s="160">
        <f t="shared" ref="M22:M27" si="5">IFERROR(L22*H22*D22,0)</f>
        <v>0</v>
      </c>
      <c r="N22" s="160" t="e">
        <f t="shared" ref="N22:N27" si="6">M22*C22</f>
        <v>#REF!</v>
      </c>
      <c r="O22" s="24" t="str">
        <f>IF(VLOOKUP(B22,'Crop parameters'!$A$3:$Z$39,26)&gt;0,VLOOKUP(B22,'Crop parameters'!$A$3:$Z$39,26),"")</f>
        <v/>
      </c>
      <c r="P22" s="160">
        <f t="shared" ref="P22:P27" si="7">IFERROR(O22*H22,0)</f>
        <v>0</v>
      </c>
      <c r="Q22" s="121" t="e">
        <f t="shared" ref="Q22:Q27" si="8">N22-P22</f>
        <v>#REF!</v>
      </c>
      <c r="R22" s="121" t="e">
        <f t="shared" ref="R22:R27" si="9">Q22*(44/12)</f>
        <v>#REF!</v>
      </c>
    </row>
    <row r="23" spans="2:19">
      <c r="B23" s="24" t="str">
        <f>'Land requirements'!B6</f>
        <v>Maize</v>
      </c>
      <c r="C23" s="45" t="e">
        <f>'Land requirements'!#REF!</f>
        <v>#REF!</v>
      </c>
      <c r="D23" s="24" t="str">
        <f>IF(VLOOKUP(B23,'Crop parameters'!$A$3:$Z$39,23)&gt;0,VLOOKUP(B23,'Crop parameters'!$A$3:$Z$39,23),"")</f>
        <v/>
      </c>
      <c r="E23" s="24" t="str">
        <f>IF(VLOOKUP(B23,'Crop parameters'!$A$3:$Z$39,24)&gt;0,VLOOKUP(B23,'Crop parameters'!$A$3:$Z$39,24),"")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 t="e">
        <f t="shared" si="4"/>
        <v>#REF!</v>
      </c>
      <c r="L23" s="24" t="str">
        <f>IF(VLOOKUP(B23,'Crop parameters'!$A$3:$Z$39,25)&gt;0,VLOOKUP(B23,'Crop parameters'!$A$3:$Z$39,25),"")</f>
        <v/>
      </c>
      <c r="M23" s="160">
        <f t="shared" si="5"/>
        <v>0</v>
      </c>
      <c r="N23" s="160" t="e">
        <f t="shared" si="6"/>
        <v>#REF!</v>
      </c>
      <c r="O23" s="24" t="str">
        <f>IF(VLOOKUP(B23,'Crop parameters'!$A$3:$Z$39,26)&gt;0,VLOOKUP(B23,'Crop parameters'!$A$3:$Z$39,26),"")</f>
        <v/>
      </c>
      <c r="P23" s="160">
        <f t="shared" si="7"/>
        <v>0</v>
      </c>
      <c r="Q23" s="121" t="e">
        <f t="shared" si="8"/>
        <v>#REF!</v>
      </c>
      <c r="R23" s="121" t="e">
        <f t="shared" si="9"/>
        <v>#REF!</v>
      </c>
    </row>
    <row r="24" spans="2:19">
      <c r="B24" s="24" t="str">
        <f>'Land requirements'!B7</f>
        <v>Guatemala</v>
      </c>
      <c r="C24" s="45" t="e">
        <f>'Land requirements'!#REF!</f>
        <v>#REF!</v>
      </c>
      <c r="D24" s="24" t="str">
        <f>IF(VLOOKUP(B24,'Crop parameters'!$A$3:$Z$39,23)&gt;0,VLOOKUP(B24,'Crop parameters'!$A$3:$Z$39,23),"")</f>
        <v/>
      </c>
      <c r="E24" s="24" t="str">
        <f>IF(VLOOKUP(B24,'Crop parameters'!$A$3:$Z$50,24)&gt;0,VLOOKUP(B24,'Crop parameters'!$A$3:$Z$39,24),"")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 t="e">
        <f t="shared" si="4"/>
        <v>#REF!</v>
      </c>
      <c r="L24" s="24" t="str">
        <f>IF(VLOOKUP(B24,'Crop parameters'!$A$3:$Z$50,25)&gt;0,VLOOKUP(B24,'Crop parameters'!$A$3:$Z$39,25),"")</f>
        <v/>
      </c>
      <c r="M24" s="160">
        <f t="shared" si="5"/>
        <v>0</v>
      </c>
      <c r="N24" s="160" t="e">
        <f t="shared" si="6"/>
        <v>#REF!</v>
      </c>
      <c r="O24" s="24" t="str">
        <f>IF(VLOOKUP(B24,'Crop parameters'!$A$3:$Z$50,26)&gt;0,VLOOKUP(B24,'Crop parameters'!$A$3:$Z$39,26),"")</f>
        <v/>
      </c>
      <c r="P24" s="160">
        <f t="shared" si="7"/>
        <v>0</v>
      </c>
      <c r="Q24" s="121" t="e">
        <f t="shared" si="8"/>
        <v>#REF!</v>
      </c>
      <c r="R24" s="121" t="e">
        <f t="shared" si="9"/>
        <v>#REF!</v>
      </c>
    </row>
    <row r="25" spans="2:19">
      <c r="B25" s="24" t="str">
        <f>'Land requirements'!B8</f>
        <v>Rhodes</v>
      </c>
      <c r="C25" s="45" t="e">
        <f>'Land requirements'!#REF!</f>
        <v>#REF!</v>
      </c>
      <c r="D25" s="24" t="str">
        <f>IF(VLOOKUP(B25,'Crop parameters'!$A$3:$Z$39,23)&gt;0,VLOOKUP(B25,'Crop parameters'!$A$3:$Z$39,23),"")</f>
        <v/>
      </c>
      <c r="E25" s="24" t="str">
        <f>IF(VLOOKUP(B25,'Crop parameters'!$A$3:$Z$39,24)&gt;0,VLOOKUP(B25,'Crop parameters'!$A$3:$Z$39,24),"")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 t="e">
        <f t="shared" si="4"/>
        <v>#REF!</v>
      </c>
      <c r="L25" s="24" t="str">
        <f>IF(VLOOKUP(B25,'Crop parameters'!$A$3:$Z$39,25)&gt;0,VLOOKUP(B25,'Crop parameters'!$A$3:$Z$39,25),"")</f>
        <v/>
      </c>
      <c r="M25" s="160">
        <f t="shared" si="5"/>
        <v>0</v>
      </c>
      <c r="N25" s="160" t="e">
        <f t="shared" si="6"/>
        <v>#REF!</v>
      </c>
      <c r="O25" s="24" t="str">
        <f>IF(VLOOKUP(B25,'Crop parameters'!$A$3:$Z$39,26)&gt;0,VLOOKUP(B25,'Crop parameters'!$A$3:$Z$39,26),"")</f>
        <v/>
      </c>
      <c r="P25" s="160">
        <f t="shared" si="7"/>
        <v>0</v>
      </c>
      <c r="Q25" s="121" t="e">
        <f t="shared" si="8"/>
        <v>#REF!</v>
      </c>
      <c r="R25" s="121" t="e">
        <f t="shared" si="9"/>
        <v>#REF!</v>
      </c>
    </row>
    <row r="26" spans="2:19">
      <c r="B26" s="24" t="str">
        <f>'Land requirements'!B9</f>
        <v>Napier</v>
      </c>
      <c r="C26" s="45" t="e">
        <f>'Land requirements'!#REF!</f>
        <v>#REF!</v>
      </c>
      <c r="D26" s="24" t="str">
        <f>IF(VLOOKUP(B26,'Crop parameters'!$A$3:$Z$39,23)&gt;0,VLOOKUP(B26,'Crop parameters'!$A$3:$Z$39,23),"")</f>
        <v/>
      </c>
      <c r="E26" s="24" t="str">
        <f>IF(VLOOKUP(B26,'Crop parameters'!$A$3:$Z$39,24)&gt;0,VLOOKUP(B26,'Crop parameters'!$A$3:$Z$39,24),"")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 t="e">
        <f t="shared" si="4"/>
        <v>#REF!</v>
      </c>
      <c r="L26" s="24" t="str">
        <f>IF(VLOOKUP(B26,'Crop parameters'!$A$3:$Z$39,25)&gt;0,VLOOKUP(B26,'Crop parameters'!$A$3:$Z$39,25),"")</f>
        <v/>
      </c>
      <c r="M26" s="160">
        <f t="shared" si="5"/>
        <v>0</v>
      </c>
      <c r="N26" s="160" t="e">
        <f t="shared" si="6"/>
        <v>#REF!</v>
      </c>
      <c r="O26" s="24" t="str">
        <f>IF(VLOOKUP(B26,'Crop parameters'!$A$3:$Z$39,26)&gt;0,VLOOKUP(B26,'Crop parameters'!$A$3:$Z$39,26),"")</f>
        <v/>
      </c>
      <c r="P26" s="160">
        <f t="shared" si="7"/>
        <v>0</v>
      </c>
      <c r="Q26" s="121" t="e">
        <f t="shared" si="8"/>
        <v>#REF!</v>
      </c>
      <c r="R26" s="121" t="e">
        <f t="shared" si="9"/>
        <v>#REF!</v>
      </c>
    </row>
    <row r="27" spans="2:19">
      <c r="B27" s="24" t="str">
        <f>'Land requirements'!B10</f>
        <v>N/A</v>
      </c>
      <c r="C27" s="45" t="e">
        <f>'Land requirements'!#REF!</f>
        <v>#REF!</v>
      </c>
      <c r="D27" s="24" t="str">
        <f>IF(VLOOKUP(B27,'Crop parameters'!$A$3:$Z$39,23)&gt;0,VLOOKUP(B27,'Crop parameters'!$A$3:$Z$39,23),"")</f>
        <v/>
      </c>
      <c r="E27" s="24" t="str">
        <f>IF(VLOOKUP(B27,'Crop parameters'!$A$3:$Z$39,24)&gt;0,VLOOKUP(B27,'Crop parameters'!$A$3:$Z$39,24),"")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 t="e">
        <f t="shared" si="4"/>
        <v>#REF!</v>
      </c>
      <c r="L27" s="24" t="str">
        <f>IF(VLOOKUP(B27,'Crop parameters'!$A$3:$Z$39,25)&gt;0,VLOOKUP(B27,'Crop parameters'!$A$3:$Z$39,25),"")</f>
        <v/>
      </c>
      <c r="M27" s="160">
        <f t="shared" si="5"/>
        <v>0</v>
      </c>
      <c r="N27" s="160" t="e">
        <f t="shared" si="6"/>
        <v>#REF!</v>
      </c>
      <c r="O27" s="24" t="str">
        <f>IF(VLOOKUP(B27,'Crop parameters'!$A$3:$Z$39,26)&gt;0,VLOOKUP(B27,'Crop parameters'!$A$3:$Z$39,26),"")</f>
        <v/>
      </c>
      <c r="P27" s="160">
        <f t="shared" si="7"/>
        <v>0</v>
      </c>
      <c r="Q27" s="121" t="e">
        <f t="shared" si="8"/>
        <v>#REF!</v>
      </c>
      <c r="R27" s="121" t="e">
        <f t="shared" si="9"/>
        <v>#REF!</v>
      </c>
    </row>
    <row r="28" spans="2:19">
      <c r="B28" s="16" t="s">
        <v>217</v>
      </c>
      <c r="C28" s="126"/>
      <c r="D28" s="126"/>
      <c r="E28" s="126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 t="e">
        <f>SUM(K21:K27)</f>
        <v>#REF!</v>
      </c>
      <c r="L28" s="126"/>
      <c r="M28" s="126"/>
      <c r="N28" s="126"/>
      <c r="O28" s="833"/>
      <c r="P28" s="161" t="s">
        <v>678</v>
      </c>
      <c r="Q28" s="162"/>
      <c r="R28" s="163" t="e">
        <f>SUM(R21:R27)</f>
        <v>#REF!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workbookViewId="0">
      <selection activeCell="H4" sqref="H4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02" customFormat="1"/>
    <row r="2" spans="1:17" s="2" customFormat="1" ht="51">
      <c r="A2" s="1563" t="s">
        <v>902</v>
      </c>
      <c r="B2" s="1563" t="s">
        <v>876</v>
      </c>
      <c r="C2" s="187" t="s">
        <v>794</v>
      </c>
      <c r="D2" s="187" t="s">
        <v>795</v>
      </c>
      <c r="E2" s="187" t="s">
        <v>796</v>
      </c>
      <c r="F2" s="187" t="s">
        <v>797</v>
      </c>
      <c r="G2" s="187" t="s">
        <v>798</v>
      </c>
      <c r="H2" s="188" t="s">
        <v>949</v>
      </c>
      <c r="I2" s="188" t="s">
        <v>949</v>
      </c>
      <c r="J2" s="218" t="s">
        <v>988</v>
      </c>
      <c r="M2" s="186"/>
      <c r="N2" s="186"/>
      <c r="O2" s="186"/>
      <c r="P2" s="186" t="s">
        <v>837</v>
      </c>
      <c r="Q2" s="186" t="s">
        <v>946</v>
      </c>
    </row>
    <row r="3" spans="1:17" ht="50.25" customHeight="1">
      <c r="A3" s="1563"/>
      <c r="B3" s="1563"/>
      <c r="C3" s="219" t="s">
        <v>799</v>
      </c>
      <c r="D3" s="219" t="s">
        <v>800</v>
      </c>
      <c r="E3" s="219" t="s">
        <v>801</v>
      </c>
      <c r="F3" s="219" t="s">
        <v>802</v>
      </c>
      <c r="G3" s="219" t="s">
        <v>803</v>
      </c>
      <c r="H3" s="219" t="s">
        <v>986</v>
      </c>
      <c r="I3" s="220" t="s">
        <v>987</v>
      </c>
      <c r="J3" s="217"/>
      <c r="M3" s="195" t="s">
        <v>989</v>
      </c>
      <c r="O3" s="199">
        <f>SUM(I4:I16)</f>
        <v>5.0703490119414401</v>
      </c>
      <c r="P3" s="199">
        <f>SUM(I20:I32)</f>
        <v>0</v>
      </c>
      <c r="Q3" s="199">
        <f>O3+P3</f>
        <v>5.0703490119414401</v>
      </c>
    </row>
    <row r="4" spans="1:17" ht="56.25">
      <c r="A4" s="13" t="str">
        <f>INPUTS!D72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VLOOKUP(INPUTS!J72,'Soil erosion parameters'!$B$44:$H$48,MATCH(INPUTS!K72, 'Soil erosion parameters'!$B$44:$H$44,0), FALSE)</f>
        <v>5.34</v>
      </c>
      <c r="F4" s="40">
        <f>VLOOKUP(INPUTS!I72,'Soil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99">
        <f>H4*'Land requirements'!E4*('N balance'!C$4/365)</f>
        <v>0</v>
      </c>
      <c r="M4" s="195" t="s">
        <v>1004</v>
      </c>
      <c r="O4" s="199">
        <f>AVERAGEIF(H4:H16,"&lt;&gt;0")</f>
        <v>6.1049931428571425</v>
      </c>
      <c r="P4" s="199" t="e">
        <f>AVERAGEIF(H20:H32,"&lt;&gt;0")</f>
        <v>#DIV/0!</v>
      </c>
      <c r="Q4" s="199"/>
    </row>
    <row r="5" spans="1:17">
      <c r="A5" s="13" t="str">
        <f>INPUTS!D73</f>
        <v>Natural pasture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VLOOKUP(INPUTS!J73,'Soil erosion parameters'!$B$44:$H$48,MATCH(INPUTS!K73, 'Soil erosion parameters'!$B$44:$H$44,0), FALSE)</f>
        <v>5.34</v>
      </c>
      <c r="F5" s="40">
        <f>VLOOKUP(INPUTS!I73,'Soil erosion parameters'!B$23:C$36,2,FALSE)</f>
        <v>0.05</v>
      </c>
      <c r="G5" s="13">
        <v>0.8</v>
      </c>
      <c r="H5" s="40">
        <f t="shared" si="0"/>
        <v>5.6230200000000004</v>
      </c>
      <c r="I5" s="399">
        <f>H5*'Land requirements'!E5*('N balance'!C$4/365)</f>
        <v>0.65255807306399638</v>
      </c>
    </row>
    <row r="6" spans="1:17">
      <c r="A6" s="13" t="str">
        <f>INPUTS!D74</f>
        <v>Maize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VLOOKUP(INPUTS!J74,'Soil erosion parameters'!$B$44:$H$48,MATCH(INPUTS!K74, 'Soil erosion parameters'!$B$44:$H$44,0), FALSE)</f>
        <v>5.34</v>
      </c>
      <c r="F6" s="40">
        <f>VLOOKUP(INPUTS!I74,'Soil erosion parameters'!B$23:C$36,2,FALSE)</f>
        <v>0.1</v>
      </c>
      <c r="G6" s="13">
        <v>0.8</v>
      </c>
      <c r="H6" s="40">
        <f t="shared" si="0"/>
        <v>11.246040000000001</v>
      </c>
      <c r="I6" s="399">
        <f>H6*'Land requirements'!E6*('N balance'!C$4/365)</f>
        <v>4.1439349369329914</v>
      </c>
    </row>
    <row r="7" spans="1:17">
      <c r="A7" s="13" t="str">
        <f>INPUTS!D75</f>
        <v>Guatemala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VLOOKUP(INPUTS!J75,'Soil erosion parameters'!$B$44:$H$48,MATCH(INPUTS!K75, 'Soil erosion parameters'!$B$44:$H$44,0), FALSE)</f>
        <v>5.34</v>
      </c>
      <c r="F7" s="40">
        <f>VLOOKUP(INPUTS!I75,'Soil erosion parameters'!B$23:C$36,2,FALSE)</f>
        <v>0.05</v>
      </c>
      <c r="G7" s="13">
        <v>0.8</v>
      </c>
      <c r="H7" s="40">
        <f t="shared" si="0"/>
        <v>5.6230200000000004</v>
      </c>
      <c r="I7" s="399">
        <f>H7*'Land requirements'!E7*('N balance'!C$4/365)</f>
        <v>0.14820350646993877</v>
      </c>
      <c r="O7" s="39"/>
    </row>
    <row r="8" spans="1:17">
      <c r="A8" s="13" t="str">
        <f>INPUTS!D76</f>
        <v>Rhodes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VLOOKUP(INPUTS!J76,'Soil erosion parameters'!$B$44:$H$48,MATCH(INPUTS!K76, 'Soil erosion parameters'!$B$44:$H$44,0), FALSE)</f>
        <v>5.34</v>
      </c>
      <c r="F8" s="40">
        <f>VLOOKUP(INPUTS!I76,'Soil erosion parameters'!B$23:C$36,2,FALSE)</f>
        <v>0.01</v>
      </c>
      <c r="G8" s="13">
        <v>0.8</v>
      </c>
      <c r="H8" s="40">
        <f t="shared" si="0"/>
        <v>1.1246040000000002</v>
      </c>
      <c r="I8" s="399">
        <f>H8*'Land requirements'!E8*('N balance'!C$4/365)</f>
        <v>0.1091886411194644</v>
      </c>
    </row>
    <row r="9" spans="1:17">
      <c r="A9" s="13" t="str">
        <f>INPUTS!D77</f>
        <v>Napier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VLOOKUP(INPUTS!J77,'Soil erosion parameters'!$B$44:$H$48,MATCH(INPUTS!K77, 'Soil erosion parameters'!$B$44:$H$44,0), FALSE)</f>
        <v>5.34</v>
      </c>
      <c r="F9" s="40">
        <f>VLOOKUP(INPUTS!I77,'Soil erosion parameters'!B$23:C$36,2,FALSE)</f>
        <v>0.01</v>
      </c>
      <c r="G9" s="13">
        <v>0.8</v>
      </c>
      <c r="H9" s="40">
        <f t="shared" si="0"/>
        <v>1.1246040000000002</v>
      </c>
      <c r="I9" s="399">
        <f>H9*'Land requirements'!E9*('N balance'!C$4/365)</f>
        <v>1.6463854355048727E-2</v>
      </c>
    </row>
    <row r="10" spans="1:17">
      <c r="A10" s="13" t="str">
        <f>INPUTS!D78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VLOOKUP(INPUTS!J78,'Soil erosion parameters'!$B$44:$H$48,MATCH(INPUTS!K78, 'Soil erosion parameters'!$B$44:$H$44,0), FALSE)</f>
        <v>5.34</v>
      </c>
      <c r="F10" s="40">
        <f>VLOOKUP(INPUTS!I78,'Soil erosion parameters'!B$23:C$36,2,FALSE)</f>
        <v>0.01</v>
      </c>
      <c r="G10" s="13">
        <v>0.8</v>
      </c>
      <c r="H10" s="40">
        <f t="shared" si="0"/>
        <v>1.1246040000000002</v>
      </c>
      <c r="I10" s="399">
        <f>H10*'Land requirements'!E10*('N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99">
        <f>H11*INPUTS!F78*('N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99">
        <f>H12*INPUTS!F79*('N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99">
        <f>H13*INPUTS!F80*('N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99">
        <f>H14*INPUTS!F81*('N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99">
        <f>H15*INPUTS!F82*('N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99">
        <f>H16*INPUTS!F83*('N balance'!C$4/365)</f>
        <v>0</v>
      </c>
    </row>
    <row r="17" spans="1:9" s="1564" customFormat="1" ht="15"/>
    <row r="18" spans="1:9" s="402" customFormat="1" ht="60">
      <c r="A18" s="1565" t="s">
        <v>902</v>
      </c>
      <c r="B18" s="1565" t="s">
        <v>876</v>
      </c>
      <c r="C18" s="400" t="s">
        <v>794</v>
      </c>
      <c r="D18" s="400" t="s">
        <v>795</v>
      </c>
      <c r="E18" s="400" t="s">
        <v>796</v>
      </c>
      <c r="F18" s="400" t="s">
        <v>797</v>
      </c>
      <c r="G18" s="400" t="s">
        <v>798</v>
      </c>
      <c r="H18" s="401" t="s">
        <v>949</v>
      </c>
      <c r="I18" s="401" t="s">
        <v>949</v>
      </c>
    </row>
    <row r="19" spans="1:9" s="404" customFormat="1" ht="45">
      <c r="A19" s="1565"/>
      <c r="B19" s="1565"/>
      <c r="C19" s="403" t="s">
        <v>799</v>
      </c>
      <c r="D19" s="403" t="s">
        <v>800</v>
      </c>
      <c r="E19" s="403" t="s">
        <v>801</v>
      </c>
      <c r="F19" s="403" t="s">
        <v>802</v>
      </c>
      <c r="G19" s="403" t="s">
        <v>803</v>
      </c>
      <c r="H19" s="403" t="s">
        <v>986</v>
      </c>
      <c r="I19" s="403" t="s">
        <v>1163</v>
      </c>
    </row>
    <row r="20" spans="1:9" s="404" customFormat="1" ht="15">
      <c r="A20" s="405" t="str">
        <f>A4</f>
        <v>Purchased</v>
      </c>
      <c r="B20" s="405" t="str">
        <f>'Area Parameters'!D$4</f>
        <v>Lixisol</v>
      </c>
      <c r="C20" s="406">
        <f>0.55*('Area Parameters'!$D$2/'Area Parameters'!$D$3)-4.7</f>
        <v>105.30000000000001</v>
      </c>
      <c r="D20" s="405">
        <f>VLOOKUP('Area Parameters'!D$4,'Soil erosion parameters'!B$12:D$20,3,FALSE)</f>
        <v>0.25</v>
      </c>
      <c r="E20" s="405" t="e">
        <f>VLOOKUP(INPUTS!O94,'Soil erosion parameters'!$B$44:$H$48,MATCH(INPUTS!P94, 'Soil erosion parameters'!$B$44:$H$44,0), FALSE)</f>
        <v>#N/A</v>
      </c>
      <c r="F20" s="405" t="e">
        <f>VLOOKUP(INPUTS!AB56,'Soil erosion parameters'!B$23:C$36,2,FALSE)</f>
        <v>#N/A</v>
      </c>
      <c r="G20" s="405">
        <v>0.8</v>
      </c>
      <c r="H20" s="406">
        <f t="shared" ref="H20:H32" si="1">IF(ISERROR(C20*D20*E20*F20*G20),0,(C20*D20*E20*F20*G20))</f>
        <v>0</v>
      </c>
      <c r="I20" s="407">
        <f>H20*INPUTS!AB56*(1-('N balance'!C$4/365))</f>
        <v>0</v>
      </c>
    </row>
    <row r="21" spans="1:9" s="404" customFormat="1" ht="15">
      <c r="A21" s="405" t="str">
        <f t="shared" ref="A21:A26" si="2">A5</f>
        <v>Natural pasture</v>
      </c>
      <c r="B21" s="405" t="str">
        <f>'Area Parameters'!D$4</f>
        <v>Lixisol</v>
      </c>
      <c r="C21" s="406">
        <f>0.55*('Area Parameters'!$D$2/'Area Parameters'!$D$3)-4.7</f>
        <v>105.30000000000001</v>
      </c>
      <c r="D21" s="405">
        <f>VLOOKUP('Area Parameters'!D$4,'Soil erosion parameters'!B$12:D$20,3,FALSE)</f>
        <v>0.25</v>
      </c>
      <c r="E21" s="405" t="e">
        <f>VLOOKUP(INPUTS!O95,'Soil erosion parameters'!$B$44:$H$48,MATCH(INPUTS!P95, 'Soil erosion parameters'!$B$44:$H$44,0), FALSE)</f>
        <v>#N/A</v>
      </c>
      <c r="F21" s="405" t="e">
        <f>VLOOKUP(INPUTS!AB57,'Soil erosion parameters'!B$23:C$36,2,FALSE)</f>
        <v>#N/A</v>
      </c>
      <c r="G21" s="405">
        <v>0.8</v>
      </c>
      <c r="H21" s="406">
        <f t="shared" si="1"/>
        <v>0</v>
      </c>
      <c r="I21" s="407">
        <f>H21*INPUTS!AB57*(1-('N balance'!C$4/365))</f>
        <v>0</v>
      </c>
    </row>
    <row r="22" spans="1:9" s="404" customFormat="1" ht="15">
      <c r="A22" s="405" t="str">
        <f t="shared" si="2"/>
        <v>Maize</v>
      </c>
      <c r="B22" s="405" t="str">
        <f>'Area Parameters'!D$4</f>
        <v>Lixisol</v>
      </c>
      <c r="C22" s="406">
        <f>0.55*('Area Parameters'!$D$2/'Area Parameters'!$D$3)-4.7</f>
        <v>105.30000000000001</v>
      </c>
      <c r="D22" s="405">
        <f>VLOOKUP('Area Parameters'!D$4,'Soil erosion parameters'!B$12:D$20,3,FALSE)</f>
        <v>0.25</v>
      </c>
      <c r="E22" s="405" t="e">
        <f>VLOOKUP(INPUTS!O96,'Soil erosion parameters'!$B$44:$H$48,MATCH(INPUTS!P96, 'Soil erosion parameters'!$B$44:$H$44,0), FALSE)</f>
        <v>#N/A</v>
      </c>
      <c r="F22" s="405" t="e">
        <f>VLOOKUP(INPUTS!AB58,'Soil erosion parameters'!B$23:C$36,2,FALSE)</f>
        <v>#N/A</v>
      </c>
      <c r="G22" s="405">
        <v>0.8</v>
      </c>
      <c r="H22" s="406">
        <f t="shared" si="1"/>
        <v>0</v>
      </c>
      <c r="I22" s="407">
        <f>H22*INPUTS!AB58*(1-('N balance'!C$4/365))</f>
        <v>0</v>
      </c>
    </row>
    <row r="23" spans="1:9" s="404" customFormat="1" ht="15">
      <c r="A23" s="405" t="str">
        <f t="shared" si="2"/>
        <v>Guatemala</v>
      </c>
      <c r="B23" s="405" t="str">
        <f>'Area Parameters'!D$4</f>
        <v>Lixisol</v>
      </c>
      <c r="C23" s="406">
        <f>0.55*('Area Parameters'!$D$2/'Area Parameters'!$D$3)-4.7</f>
        <v>105.30000000000001</v>
      </c>
      <c r="D23" s="405">
        <f>VLOOKUP('Area Parameters'!D$4,'Soil erosion parameters'!B$12:D$20,3,FALSE)</f>
        <v>0.25</v>
      </c>
      <c r="E23" s="405" t="e">
        <f>VLOOKUP(INPUTS!O97,'Soil erosion parameters'!$B$44:$H$48,MATCH(INPUTS!P97, 'Soil erosion parameters'!$B$44:$H$44,0), FALSE)</f>
        <v>#N/A</v>
      </c>
      <c r="F23" s="405" t="e">
        <f>VLOOKUP(INPUTS!AB59,'Soil erosion parameters'!B$23:C$36,2,FALSE)</f>
        <v>#N/A</v>
      </c>
      <c r="G23" s="405">
        <v>0.8</v>
      </c>
      <c r="H23" s="406">
        <f t="shared" si="1"/>
        <v>0</v>
      </c>
      <c r="I23" s="407">
        <f>H23*INPUTS!AB59*(1-('N balance'!C$4/365))</f>
        <v>0</v>
      </c>
    </row>
    <row r="24" spans="1:9" s="404" customFormat="1" ht="15">
      <c r="A24" s="405" t="str">
        <f t="shared" si="2"/>
        <v>Rhodes</v>
      </c>
      <c r="B24" s="405" t="str">
        <f>'Area Parameters'!D$4</f>
        <v>Lixisol</v>
      </c>
      <c r="C24" s="406">
        <f>0.55*('Area Parameters'!$D$2/'Area Parameters'!$D$3)-4.7</f>
        <v>105.30000000000001</v>
      </c>
      <c r="D24" s="405">
        <f>VLOOKUP('Area Parameters'!D$4,'Soil erosion parameters'!B$12:D$20,3,FALSE)</f>
        <v>0.25</v>
      </c>
      <c r="E24" s="405" t="e">
        <f>VLOOKUP(INPUTS!O98,'Soil erosion parameters'!$B$44:$H$48,MATCH(INPUTS!P98, 'Soil erosion parameters'!$B$44:$H$44,0), FALSE)</f>
        <v>#N/A</v>
      </c>
      <c r="F24" s="405" t="e">
        <f>VLOOKUP(INPUTS!AB60,'Soil erosion parameters'!B$23:C$36,2,FALSE)</f>
        <v>#N/A</v>
      </c>
      <c r="G24" s="405">
        <v>0.8</v>
      </c>
      <c r="H24" s="406">
        <f t="shared" si="1"/>
        <v>0</v>
      </c>
      <c r="I24" s="407">
        <f>H24*INPUTS!AB60*(1-('N balance'!C$4/365))</f>
        <v>0</v>
      </c>
    </row>
    <row r="25" spans="1:9" s="404" customFormat="1" ht="15">
      <c r="A25" s="405" t="str">
        <f t="shared" si="2"/>
        <v>Napier</v>
      </c>
      <c r="B25" s="405" t="str">
        <f>'Area Parameters'!D$4</f>
        <v>Lixisol</v>
      </c>
      <c r="C25" s="406">
        <f>0.55*('Area Parameters'!$D$2/'Area Parameters'!$D$3)-4.7</f>
        <v>105.30000000000001</v>
      </c>
      <c r="D25" s="405">
        <f>VLOOKUP('Area Parameters'!D$4,'Soil erosion parameters'!B$12:D$20,3,FALSE)</f>
        <v>0.25</v>
      </c>
      <c r="E25" s="405" t="e">
        <f>VLOOKUP(INPUTS!O99,'Soil erosion parameters'!$B$44:$H$48,MATCH(INPUTS!P99, 'Soil erosion parameters'!$B$44:$H$44,0), FALSE)</f>
        <v>#N/A</v>
      </c>
      <c r="F25" s="405" t="e">
        <f>VLOOKUP(INPUTS!AB61,'Soil erosion parameters'!B$23:C$36,2,FALSE)</f>
        <v>#N/A</v>
      </c>
      <c r="G25" s="405">
        <v>0.8</v>
      </c>
      <c r="H25" s="406">
        <f t="shared" si="1"/>
        <v>0</v>
      </c>
      <c r="I25" s="407">
        <f>H25*INPUTS!AB61*(1-('N balance'!C$4/365))</f>
        <v>0</v>
      </c>
    </row>
    <row r="26" spans="1:9" s="404" customFormat="1" ht="15">
      <c r="A26" s="405" t="str">
        <f t="shared" si="2"/>
        <v>N/A</v>
      </c>
      <c r="B26" s="405" t="str">
        <f>'Area Parameters'!D$4</f>
        <v>Lixisol</v>
      </c>
      <c r="C26" s="406">
        <f>0.55*('Area Parameters'!$D$2/'Area Parameters'!$D$3)-4.7</f>
        <v>105.30000000000001</v>
      </c>
      <c r="D26" s="405">
        <f>VLOOKUP('Area Parameters'!D$4,'Soil erosion parameters'!B$12:D$20,3,FALSE)</f>
        <v>0.25</v>
      </c>
      <c r="E26" s="405" t="e">
        <f>VLOOKUP(INPUTS!O100,'Soil erosion parameters'!$B$44:$H$48,MATCH(INPUTS!P100, 'Soil erosion parameters'!$B$44:$H$44,0), FALSE)</f>
        <v>#N/A</v>
      </c>
      <c r="F26" s="405" t="e">
        <f>VLOOKUP(INPUTS!AB62,'Soil erosion parameters'!B$23:C$36,2,FALSE)</f>
        <v>#N/A</v>
      </c>
      <c r="G26" s="405">
        <v>0.8</v>
      </c>
      <c r="H26" s="406">
        <f t="shared" si="1"/>
        <v>0</v>
      </c>
      <c r="I26" s="407">
        <f>H26*INPUTS!AB62*(1-('N balance'!C$4/365))</f>
        <v>0</v>
      </c>
    </row>
    <row r="27" spans="1:9" s="404" customFormat="1" ht="15">
      <c r="A27" s="405" t="e">
        <f>INPUTS!#REF!</f>
        <v>#REF!</v>
      </c>
      <c r="B27" s="405" t="str">
        <f>'Area Parameters'!D$4</f>
        <v>Lixisol</v>
      </c>
      <c r="C27" s="406">
        <f>0.55*('Area Parameters'!$D$2/'Area Parameters'!$D$3)-4.7</f>
        <v>105.30000000000001</v>
      </c>
      <c r="D27" s="405">
        <f>VLOOKUP('Area Parameters'!D$4,'Soil erosion parameters'!B$12:D$20,3,FALSE)</f>
        <v>0.25</v>
      </c>
      <c r="E27" s="405"/>
      <c r="F27" s="405"/>
      <c r="G27" s="405">
        <v>0.8</v>
      </c>
      <c r="H27" s="406">
        <f t="shared" si="1"/>
        <v>0</v>
      </c>
      <c r="I27" s="407">
        <f>H27*INPUTS!AB63*(1-('N balance'!C$4/365))</f>
        <v>0</v>
      </c>
    </row>
    <row r="28" spans="1:9" s="404" customFormat="1" ht="15">
      <c r="A28" s="405" t="e">
        <f>INPUTS!#REF!</f>
        <v>#REF!</v>
      </c>
      <c r="B28" s="405" t="str">
        <f>'Area Parameters'!D$4</f>
        <v>Lixisol</v>
      </c>
      <c r="C28" s="406">
        <f>0.55*('Area Parameters'!$D$2/'Area Parameters'!$D$3)-4.7</f>
        <v>105.30000000000001</v>
      </c>
      <c r="D28" s="405">
        <f>VLOOKUP('Area Parameters'!D$4,'Soil erosion parameters'!B$12:D$20,3,FALSE)</f>
        <v>0.25</v>
      </c>
      <c r="E28" s="405"/>
      <c r="F28" s="405"/>
      <c r="G28" s="405">
        <v>0.8</v>
      </c>
      <c r="H28" s="406">
        <f t="shared" si="1"/>
        <v>0</v>
      </c>
      <c r="I28" s="407">
        <f>H28*INPUTS!AB64*(1-('N balance'!C$4/365))</f>
        <v>0</v>
      </c>
    </row>
    <row r="29" spans="1:9" s="404" customFormat="1" ht="15">
      <c r="A29" s="405" t="e">
        <f>INPUTS!#REF!</f>
        <v>#REF!</v>
      </c>
      <c r="B29" s="405" t="str">
        <f>'Area Parameters'!D$4</f>
        <v>Lixisol</v>
      </c>
      <c r="C29" s="406">
        <f>0.55*('Area Parameters'!$D$2/'Area Parameters'!$D$3)-4.7</f>
        <v>105.30000000000001</v>
      </c>
      <c r="D29" s="405">
        <f>VLOOKUP('Area Parameters'!D$4,'Soil erosion parameters'!B$12:D$20,3,FALSE)</f>
        <v>0.25</v>
      </c>
      <c r="E29" s="405"/>
      <c r="F29" s="405"/>
      <c r="G29" s="405">
        <v>0.8</v>
      </c>
      <c r="H29" s="406">
        <f t="shared" si="1"/>
        <v>0</v>
      </c>
      <c r="I29" s="407">
        <f>H29*INPUTS!AB65*(1-('N balance'!C$4/365))</f>
        <v>0</v>
      </c>
    </row>
    <row r="30" spans="1:9" s="404" customFormat="1" ht="15">
      <c r="A30" s="405" t="e">
        <f>INPUTS!#REF!</f>
        <v>#REF!</v>
      </c>
      <c r="B30" s="405" t="str">
        <f>'Area Parameters'!D$4</f>
        <v>Lixisol</v>
      </c>
      <c r="C30" s="406">
        <f>0.55*('Area Parameters'!$D$2/'Area Parameters'!$D$3)-4.7</f>
        <v>105.30000000000001</v>
      </c>
      <c r="D30" s="405">
        <f>VLOOKUP('Area Parameters'!D$4,'Soil erosion parameters'!B$12:D$20,3,FALSE)</f>
        <v>0.25</v>
      </c>
      <c r="E30" s="405"/>
      <c r="F30" s="405"/>
      <c r="G30" s="405">
        <v>0.8</v>
      </c>
      <c r="H30" s="406">
        <f t="shared" si="1"/>
        <v>0</v>
      </c>
      <c r="I30" s="407">
        <f>H30*INPUTS!AB66*(1-('N balance'!C$4/365))</f>
        <v>0</v>
      </c>
    </row>
    <row r="31" spans="1:9" s="404" customFormat="1" ht="15">
      <c r="A31" s="405" t="e">
        <f>INPUTS!#REF!</f>
        <v>#REF!</v>
      </c>
      <c r="B31" s="405" t="str">
        <f>'Area Parameters'!D$4</f>
        <v>Lixisol</v>
      </c>
      <c r="C31" s="406">
        <f>0.55*('Area Parameters'!$D$2/'Area Parameters'!$D$3)-4.7</f>
        <v>105.30000000000001</v>
      </c>
      <c r="D31" s="405">
        <f>VLOOKUP('Area Parameters'!D$4,'Soil erosion parameters'!B$12:D$20,3,FALSE)</f>
        <v>0.25</v>
      </c>
      <c r="E31" s="405"/>
      <c r="F31" s="405"/>
      <c r="G31" s="405">
        <v>0.8</v>
      </c>
      <c r="H31" s="406">
        <f t="shared" si="1"/>
        <v>0</v>
      </c>
      <c r="I31" s="407">
        <f>H31*INPUTS!AB67*(1-('N balance'!C$4/365))</f>
        <v>0</v>
      </c>
    </row>
    <row r="32" spans="1:9" s="404" customFormat="1" ht="15">
      <c r="A32" s="405" t="e">
        <f>INPUTS!#REF!</f>
        <v>#REF!</v>
      </c>
      <c r="B32" s="405" t="str">
        <f>'Area Parameters'!D$4</f>
        <v>Lixisol</v>
      </c>
      <c r="C32" s="406">
        <f>0.55*('Area Parameters'!$D$2/'Area Parameters'!$D$3)-4.7</f>
        <v>105.30000000000001</v>
      </c>
      <c r="D32" s="405">
        <f>VLOOKUP('Area Parameters'!D$4,'Soil erosion parameters'!B$12:D$20,3,FALSE)</f>
        <v>0.25</v>
      </c>
      <c r="E32" s="405"/>
      <c r="F32" s="405"/>
      <c r="G32" s="405">
        <v>0.8</v>
      </c>
      <c r="H32" s="406">
        <f t="shared" si="1"/>
        <v>0</v>
      </c>
      <c r="I32" s="407">
        <f>H32*INPUTS!AB68*(1-('N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I103"/>
  <sheetViews>
    <sheetView workbookViewId="0">
      <selection activeCell="C32" sqref="C32"/>
    </sheetView>
  </sheetViews>
  <sheetFormatPr defaultColWidth="11" defaultRowHeight="15.75"/>
  <cols>
    <col min="2" max="2" width="24.37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6">
      <c r="A1" t="s">
        <v>109</v>
      </c>
    </row>
    <row r="2" spans="1:6">
      <c r="B2" s="1" t="s">
        <v>1</v>
      </c>
    </row>
    <row r="3" spans="1:6">
      <c r="B3" s="19" t="s">
        <v>180</v>
      </c>
      <c r="C3" s="1567" t="s">
        <v>274</v>
      </c>
      <c r="D3" s="1567"/>
      <c r="E3" s="19" t="s">
        <v>275</v>
      </c>
    </row>
    <row r="4" spans="1:6" s="30" customFormat="1" ht="63">
      <c r="B4" s="1568" t="s">
        <v>266</v>
      </c>
      <c r="C4" s="33" t="s">
        <v>267</v>
      </c>
      <c r="D4" s="33" t="s">
        <v>270</v>
      </c>
      <c r="E4" s="29" t="s">
        <v>276</v>
      </c>
      <c r="F4"/>
    </row>
    <row r="5" spans="1:6" s="30" customFormat="1" ht="31.5">
      <c r="B5" s="1569"/>
      <c r="C5" s="24" t="s">
        <v>268</v>
      </c>
      <c r="D5" s="24" t="s">
        <v>271</v>
      </c>
      <c r="E5" s="31" t="s">
        <v>277</v>
      </c>
    </row>
    <row r="6" spans="1:6" s="30" customFormat="1" ht="31.5">
      <c r="B6" s="1570"/>
      <c r="C6" s="24"/>
      <c r="D6" s="24" t="s">
        <v>272</v>
      </c>
      <c r="E6" s="31" t="s">
        <v>278</v>
      </c>
    </row>
    <row r="7" spans="1:6" s="30" customFormat="1">
      <c r="B7" s="24" t="s">
        <v>151</v>
      </c>
      <c r="C7" s="24" t="s">
        <v>269</v>
      </c>
      <c r="D7" s="24" t="s">
        <v>273</v>
      </c>
      <c r="E7" s="31" t="s">
        <v>279</v>
      </c>
    </row>
    <row r="8" spans="1:6">
      <c r="B8" s="311" t="str">
        <f>'Livestock parameters'!A4</f>
        <v>Cows - local</v>
      </c>
      <c r="C8" s="1058">
        <f>INPUTS!D18</f>
        <v>0</v>
      </c>
      <c r="D8" s="1160">
        <f>'GHG Parameters'!B7</f>
        <v>32</v>
      </c>
      <c r="E8" s="43">
        <f t="shared" ref="E8:E16" si="0">C8*D8</f>
        <v>0</v>
      </c>
    </row>
    <row r="9" spans="1:6">
      <c r="B9" s="311" t="str">
        <f>'Livestock parameters'!A5</f>
        <v>Cows - improved</v>
      </c>
      <c r="C9" s="1058">
        <f>INPUTS!D19</f>
        <v>2</v>
      </c>
      <c r="D9" s="1160">
        <f>'GHG Parameters'!B6</f>
        <v>46</v>
      </c>
      <c r="E9" s="43">
        <f t="shared" si="0"/>
        <v>92</v>
      </c>
    </row>
    <row r="10" spans="1:6">
      <c r="B10" s="311" t="str">
        <f>'Livestock parameters'!A6</f>
        <v>Adult cattle - male</v>
      </c>
      <c r="C10" s="1058">
        <f>INPUTS!D20</f>
        <v>0</v>
      </c>
      <c r="D10" s="1160">
        <f>'GHG Parameters'!B8</f>
        <v>41</v>
      </c>
      <c r="E10" s="43">
        <f t="shared" si="0"/>
        <v>0</v>
      </c>
    </row>
    <row r="11" spans="1:6">
      <c r="B11" s="311" t="str">
        <f>'Livestock parameters'!A7</f>
        <v>Steers/heifers</v>
      </c>
      <c r="C11" s="1058">
        <f>INPUTS!D21</f>
        <v>0</v>
      </c>
      <c r="D11" s="1160">
        <f>'GHG Parameters'!B7</f>
        <v>32</v>
      </c>
      <c r="E11" s="43">
        <f t="shared" si="0"/>
        <v>0</v>
      </c>
    </row>
    <row r="12" spans="1:6">
      <c r="B12" s="311" t="str">
        <f>'Livestock parameters'!A8</f>
        <v>Calves</v>
      </c>
      <c r="C12" s="1058">
        <f>INPUTS!D22</f>
        <v>0</v>
      </c>
      <c r="D12" s="1160">
        <f>'GHG Parameters'!B11</f>
        <v>16</v>
      </c>
      <c r="E12" s="43">
        <f t="shared" si="0"/>
        <v>0</v>
      </c>
    </row>
    <row r="13" spans="1:6">
      <c r="B13" s="311" t="str">
        <f>'Livestock parameters'!A9</f>
        <v>Steers/heifers improved</v>
      </c>
      <c r="C13" s="1058">
        <f>INPUTS!D23</f>
        <v>3</v>
      </c>
      <c r="D13" s="1160">
        <f>'GHG Parameters'!B7</f>
        <v>32</v>
      </c>
      <c r="E13" s="43">
        <f t="shared" si="0"/>
        <v>96</v>
      </c>
    </row>
    <row r="14" spans="1:6">
      <c r="B14" s="311" t="str">
        <f>'Livestock parameters'!A10</f>
        <v>Calves improved</v>
      </c>
      <c r="C14" s="1058">
        <f>INPUTS!D24</f>
        <v>0</v>
      </c>
      <c r="D14" s="1160">
        <f>'GHG Parameters'!B11</f>
        <v>16</v>
      </c>
      <c r="E14" s="43">
        <f t="shared" si="0"/>
        <v>0</v>
      </c>
    </row>
    <row r="15" spans="1:6">
      <c r="B15" s="311" t="str">
        <f>'Livestock parameters'!A11</f>
        <v>Sheep</v>
      </c>
      <c r="C15" s="1058">
        <f>INPUTS!D25</f>
        <v>0</v>
      </c>
      <c r="D15" s="1059">
        <v>0</v>
      </c>
      <c r="E15" s="43">
        <f t="shared" si="0"/>
        <v>0</v>
      </c>
    </row>
    <row r="16" spans="1:6">
      <c r="B16" s="311" t="str">
        <f>'Livestock parameters'!A12</f>
        <v>Goats</v>
      </c>
      <c r="C16" s="1058">
        <f>INPUTS!D26</f>
        <v>0</v>
      </c>
      <c r="D16" s="1059">
        <v>0</v>
      </c>
      <c r="E16" s="43">
        <f t="shared" si="0"/>
        <v>0</v>
      </c>
    </row>
    <row r="17" spans="2:9">
      <c r="B17" s="32"/>
      <c r="C17" s="32"/>
      <c r="D17" s="32" t="s">
        <v>2</v>
      </c>
      <c r="E17" s="43">
        <f>SUM(E8:E16)</f>
        <v>188</v>
      </c>
    </row>
    <row r="19" spans="2:9">
      <c r="B19" s="1" t="s">
        <v>97</v>
      </c>
    </row>
    <row r="24" spans="2:9">
      <c r="B24" s="23" t="s">
        <v>180</v>
      </c>
      <c r="C24" s="23"/>
      <c r="D24" s="23"/>
      <c r="E24" s="23" t="s">
        <v>287</v>
      </c>
      <c r="F24" s="23"/>
    </row>
    <row r="25" spans="2:9" ht="47.25">
      <c r="B25" s="1562" t="s">
        <v>266</v>
      </c>
      <c r="C25" s="27" t="s">
        <v>387</v>
      </c>
      <c r="D25" s="33" t="s">
        <v>267</v>
      </c>
      <c r="E25" s="114" t="s">
        <v>290</v>
      </c>
      <c r="F25" s="29" t="s">
        <v>1362</v>
      </c>
    </row>
    <row r="26" spans="2:9">
      <c r="B26" s="1562"/>
      <c r="C26" s="27" t="s">
        <v>286</v>
      </c>
      <c r="D26" s="24" t="s">
        <v>268</v>
      </c>
      <c r="E26" s="24" t="s">
        <v>277</v>
      </c>
      <c r="F26" s="31" t="s">
        <v>277</v>
      </c>
    </row>
    <row r="27" spans="2:9" ht="31.5">
      <c r="B27" s="1562"/>
      <c r="C27" s="27"/>
      <c r="D27" s="24"/>
      <c r="E27" s="24" t="s">
        <v>288</v>
      </c>
      <c r="F27" s="31" t="s">
        <v>278</v>
      </c>
    </row>
    <row r="28" spans="2:9">
      <c r="B28" s="23" t="s">
        <v>151</v>
      </c>
      <c r="C28" s="35" t="s">
        <v>96</v>
      </c>
      <c r="D28" s="34" t="s">
        <v>269</v>
      </c>
      <c r="E28" s="34" t="s">
        <v>289</v>
      </c>
      <c r="F28" s="44" t="s">
        <v>279</v>
      </c>
      <c r="H28" t="s">
        <v>1368</v>
      </c>
      <c r="I28" t="s">
        <v>1359</v>
      </c>
    </row>
    <row r="29" spans="2:9">
      <c r="B29" s="311" t="str">
        <f t="shared" ref="B29:B37" si="1">B8</f>
        <v>Cows - local</v>
      </c>
      <c r="C29" s="587">
        <f>Feed!L100/365</f>
        <v>0</v>
      </c>
      <c r="D29" s="122">
        <f>INPUTS!D18</f>
        <v>0</v>
      </c>
      <c r="E29" s="68">
        <f>IFERROR(((C29*('GHG Parameters'!B$20/100)*365)/55.65)/D29,0)</f>
        <v>0</v>
      </c>
      <c r="F29" s="69">
        <f t="shared" ref="F29:F37" si="2">E29*D29</f>
        <v>0</v>
      </c>
      <c r="H29" s="42" t="s">
        <v>1361</v>
      </c>
    </row>
    <row r="30" spans="2:9">
      <c r="B30" s="311" t="str">
        <f t="shared" si="1"/>
        <v>Cows - improved</v>
      </c>
      <c r="C30" s="587">
        <f>Feed!L101/365</f>
        <v>128.08306528363474</v>
      </c>
      <c r="D30" s="122">
        <f>INPUTS!D19</f>
        <v>2</v>
      </c>
      <c r="E30" s="68">
        <f>IFERROR(((C30*('GHG Parameters'!B$20/100)*365)/55.65)/D30,0)</f>
        <v>27.302522226902376</v>
      </c>
      <c r="F30" s="69">
        <f t="shared" si="2"/>
        <v>54.605044453804751</v>
      </c>
    </row>
    <row r="31" spans="2:9">
      <c r="B31" s="311" t="str">
        <f t="shared" si="1"/>
        <v>Adult cattle - male</v>
      </c>
      <c r="C31" s="587">
        <f>Feed!L102/365</f>
        <v>0</v>
      </c>
      <c r="D31" s="122">
        <f>INPUTS!D20</f>
        <v>0</v>
      </c>
      <c r="E31" s="68">
        <f>IFERROR(((C31*('GHG Parameters'!B$20/100)*365)/55.65)/D31,0)</f>
        <v>0</v>
      </c>
      <c r="F31" s="69">
        <f t="shared" si="2"/>
        <v>0</v>
      </c>
      <c r="H31" t="s">
        <v>1360</v>
      </c>
    </row>
    <row r="32" spans="2:9">
      <c r="B32" s="311" t="str">
        <f t="shared" si="1"/>
        <v>Steers/heifers</v>
      </c>
      <c r="C32" s="587">
        <f>Feed!L103/365</f>
        <v>0</v>
      </c>
      <c r="D32" s="122">
        <f>INPUTS!D21</f>
        <v>0</v>
      </c>
      <c r="E32" s="68">
        <f>IFERROR(((C32*('GHG Parameters'!B$20/100)*365)/55.65)/D32,0)</f>
        <v>0</v>
      </c>
      <c r="F32" s="69">
        <f t="shared" si="2"/>
        <v>0</v>
      </c>
    </row>
    <row r="33" spans="2:6">
      <c r="B33" s="311" t="str">
        <f t="shared" si="1"/>
        <v>Calves</v>
      </c>
      <c r="C33" s="587">
        <f>Feed!L104/365</f>
        <v>0</v>
      </c>
      <c r="D33" s="122">
        <f>INPUTS!D22</f>
        <v>0</v>
      </c>
      <c r="E33" s="68">
        <f>IFERROR(((C33*('GHG Parameters'!B$20/100)*365)/55.65)/D33,0)</f>
        <v>0</v>
      </c>
      <c r="F33" s="69">
        <f t="shared" si="2"/>
        <v>0</v>
      </c>
    </row>
    <row r="34" spans="2:6">
      <c r="B34" s="311" t="str">
        <f t="shared" si="1"/>
        <v>Steers/heifers improved</v>
      </c>
      <c r="C34" s="587">
        <f>Feed!L105/365</f>
        <v>154.45739468552998</v>
      </c>
      <c r="D34" s="122">
        <f>INPUTS!D23</f>
        <v>3</v>
      </c>
      <c r="E34" s="68">
        <f>IFERROR(((C34*('GHG Parameters'!B$20/100)*365)/55.65)/D34,0)</f>
        <v>21.949695650878699</v>
      </c>
      <c r="F34" s="69">
        <f t="shared" si="2"/>
        <v>65.8490869526361</v>
      </c>
    </row>
    <row r="35" spans="2:6">
      <c r="B35" s="311" t="str">
        <f t="shared" si="1"/>
        <v>Calves improved</v>
      </c>
      <c r="C35" s="587">
        <f>Feed!L106/365</f>
        <v>0</v>
      </c>
      <c r="D35" s="122">
        <f>INPUTS!D24</f>
        <v>0</v>
      </c>
      <c r="E35" s="68">
        <f>IFERROR(((C35*('GHG Parameters'!B$20/100)*365)/55.65)/D35,0)</f>
        <v>0</v>
      </c>
      <c r="F35" s="69">
        <f t="shared" si="2"/>
        <v>0</v>
      </c>
    </row>
    <row r="36" spans="2:6">
      <c r="B36" s="311" t="str">
        <f t="shared" si="1"/>
        <v>Sheep</v>
      </c>
      <c r="C36" s="587">
        <f>Feed!K107/365</f>
        <v>0</v>
      </c>
      <c r="D36" s="1158">
        <f>INPUTS!D25</f>
        <v>0</v>
      </c>
      <c r="E36" s="1124">
        <f>D15</f>
        <v>0</v>
      </c>
      <c r="F36" s="1159">
        <f t="shared" si="2"/>
        <v>0</v>
      </c>
    </row>
    <row r="37" spans="2:6">
      <c r="B37" s="311" t="str">
        <f t="shared" si="1"/>
        <v>Goats</v>
      </c>
      <c r="C37" s="587">
        <f>Feed!K108/365</f>
        <v>0</v>
      </c>
      <c r="D37" s="1158">
        <f>INPUTS!D26</f>
        <v>0</v>
      </c>
      <c r="E37" s="1124">
        <f>D16</f>
        <v>0</v>
      </c>
      <c r="F37" s="1159">
        <f t="shared" si="2"/>
        <v>0</v>
      </c>
    </row>
    <row r="38" spans="2:6">
      <c r="B38" s="19"/>
      <c r="C38" s="19"/>
      <c r="D38" s="19"/>
      <c r="E38" s="71" t="s">
        <v>2</v>
      </c>
      <c r="F38" s="80">
        <f>SUM(F29:F37)</f>
        <v>120.45413140644085</v>
      </c>
    </row>
    <row r="42" spans="2:6">
      <c r="B42" s="37"/>
    </row>
    <row r="43" spans="2:6">
      <c r="B43" s="37"/>
    </row>
    <row r="46" spans="2:6">
      <c r="B46" s="12"/>
      <c r="C46" s="1517"/>
      <c r="D46" s="1517"/>
      <c r="E46" s="1517"/>
    </row>
    <row r="47" spans="2:6">
      <c r="B47" s="2"/>
      <c r="C47" s="1066"/>
      <c r="D47" s="156"/>
      <c r="E47" s="51"/>
    </row>
    <row r="48" spans="2:6">
      <c r="B48" s="2"/>
      <c r="C48" s="30"/>
      <c r="D48" s="812"/>
      <c r="E48" s="51"/>
    </row>
    <row r="49" spans="2:5">
      <c r="B49" s="2"/>
      <c r="C49" s="30"/>
      <c r="D49" s="51"/>
      <c r="E49" s="51"/>
    </row>
    <row r="50" spans="2:5">
      <c r="B50" s="12"/>
      <c r="C50" s="30"/>
      <c r="D50" s="12"/>
      <c r="E50" s="51"/>
    </row>
    <row r="51" spans="2:5">
      <c r="B51" s="156"/>
      <c r="C51" s="1067"/>
      <c r="D51" s="63"/>
      <c r="E51" s="12"/>
    </row>
    <row r="52" spans="2:5">
      <c r="B52" s="156"/>
      <c r="C52" s="1067"/>
      <c r="D52" s="63"/>
      <c r="E52" s="12"/>
    </row>
    <row r="53" spans="2:5">
      <c r="B53" s="156"/>
      <c r="C53" s="1067"/>
      <c r="D53" s="63"/>
      <c r="E53" s="12"/>
    </row>
    <row r="54" spans="2:5">
      <c r="B54" s="156"/>
      <c r="C54" s="1067"/>
      <c r="D54" s="63"/>
      <c r="E54" s="12"/>
    </row>
    <row r="55" spans="2:5">
      <c r="B55" s="156"/>
      <c r="C55" s="1067"/>
      <c r="D55" s="63"/>
      <c r="E55" s="12"/>
    </row>
    <row r="56" spans="2:5">
      <c r="B56" s="156"/>
      <c r="C56" s="1067"/>
      <c r="D56" s="63"/>
      <c r="E56" s="12"/>
    </row>
    <row r="57" spans="2:5">
      <c r="B57" s="156"/>
      <c r="C57" s="1067"/>
      <c r="D57" s="63"/>
      <c r="E57" s="12"/>
    </row>
    <row r="58" spans="2:5">
      <c r="B58" s="156"/>
      <c r="C58" s="1067"/>
      <c r="D58" s="63"/>
      <c r="E58" s="12"/>
    </row>
    <row r="59" spans="2:5">
      <c r="B59" s="156"/>
      <c r="C59" s="1067"/>
      <c r="D59" s="63"/>
      <c r="E59" s="12"/>
    </row>
    <row r="60" spans="2:5">
      <c r="B60" s="1566"/>
      <c r="C60" s="1566"/>
      <c r="D60" s="1566"/>
      <c r="E60" s="215"/>
    </row>
    <row r="103" spans="2:4">
      <c r="B103" s="1"/>
      <c r="C103" s="1"/>
      <c r="D103" s="1"/>
    </row>
  </sheetData>
  <mergeCells count="5">
    <mergeCell ref="B60:D60"/>
    <mergeCell ref="C46:E46"/>
    <mergeCell ref="C3:D3"/>
    <mergeCell ref="B4:B6"/>
    <mergeCell ref="B25:B27"/>
  </mergeCells>
  <pageMargins left="0.75" right="0.75" top="1" bottom="1" header="0.5" footer="0.5"/>
  <pageSetup paperSize="9" orientation="portrait" horizontalDpi="4294967292" verticalDpi="4294967292"/>
  <ignoredErrors>
    <ignoredError sqref="D12:D13" formula="1"/>
  </ignoredError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162"/>
  <sheetViews>
    <sheetView topLeftCell="A19" zoomScale="70" zoomScaleNormal="70" workbookViewId="0">
      <selection activeCell="D54" sqref="D54"/>
    </sheetView>
  </sheetViews>
  <sheetFormatPr defaultColWidth="11" defaultRowHeight="15.75"/>
  <cols>
    <col min="1" max="1" width="20.25" customWidth="1"/>
    <col min="2" max="2" width="19.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123</v>
      </c>
    </row>
    <row r="3" spans="1:5">
      <c r="A3" s="1" t="s">
        <v>122</v>
      </c>
    </row>
    <row r="4" spans="1:5">
      <c r="B4" s="19" t="s">
        <v>180</v>
      </c>
      <c r="C4" s="1591" t="s">
        <v>285</v>
      </c>
      <c r="D4" s="1592"/>
      <c r="E4" s="1593"/>
    </row>
    <row r="5" spans="1:5" ht="31.5">
      <c r="B5" s="1568" t="s">
        <v>266</v>
      </c>
      <c r="C5" s="33" t="s">
        <v>267</v>
      </c>
      <c r="D5" s="33" t="s">
        <v>282</v>
      </c>
      <c r="E5" s="29" t="s">
        <v>283</v>
      </c>
    </row>
    <row r="6" spans="1:5">
      <c r="B6" s="1569"/>
      <c r="C6" s="24" t="s">
        <v>268</v>
      </c>
      <c r="D6" s="24" t="s">
        <v>271</v>
      </c>
      <c r="E6" s="31" t="s">
        <v>277</v>
      </c>
    </row>
    <row r="7" spans="1:5">
      <c r="B7" s="1570"/>
      <c r="C7" s="24"/>
      <c r="D7" s="24" t="s">
        <v>284</v>
      </c>
      <c r="E7" s="31" t="s">
        <v>280</v>
      </c>
    </row>
    <row r="8" spans="1:5">
      <c r="B8" s="24" t="s">
        <v>151</v>
      </c>
      <c r="C8" s="24" t="s">
        <v>269</v>
      </c>
      <c r="D8" s="24" t="s">
        <v>273</v>
      </c>
      <c r="E8" s="31" t="s">
        <v>281</v>
      </c>
    </row>
    <row r="9" spans="1:5">
      <c r="B9" s="114" t="str">
        <f>INPUTS!C18</f>
        <v>Cows - local</v>
      </c>
      <c r="C9" s="24">
        <f>INPUTS!D18</f>
        <v>0</v>
      </c>
      <c r="D9" s="83">
        <v>1</v>
      </c>
      <c r="E9" s="31">
        <f t="shared" ref="E9:E17" si="0">C9*D9</f>
        <v>0</v>
      </c>
    </row>
    <row r="10" spans="1:5">
      <c r="B10" s="114" t="str">
        <f>INPUTS!C19</f>
        <v>Cows - improved</v>
      </c>
      <c r="C10" s="24">
        <f>INPUTS!D19</f>
        <v>2</v>
      </c>
      <c r="D10" s="83">
        <v>1</v>
      </c>
      <c r="E10" s="31">
        <f t="shared" si="0"/>
        <v>2</v>
      </c>
    </row>
    <row r="11" spans="1:5">
      <c r="B11" s="114" t="str">
        <f>INPUTS!C20</f>
        <v>Adult cattle - male</v>
      </c>
      <c r="C11" s="24">
        <f>INPUTS!D20</f>
        <v>0</v>
      </c>
      <c r="D11" s="83">
        <v>1</v>
      </c>
      <c r="E11" s="31">
        <f t="shared" si="0"/>
        <v>0</v>
      </c>
    </row>
    <row r="12" spans="1:5">
      <c r="B12" s="114" t="str">
        <f>INPUTS!C21</f>
        <v>Steers/heifers</v>
      </c>
      <c r="C12" s="24">
        <f>INPUTS!D21</f>
        <v>0</v>
      </c>
      <c r="D12" s="83">
        <v>1</v>
      </c>
      <c r="E12" s="31">
        <f t="shared" si="0"/>
        <v>0</v>
      </c>
    </row>
    <row r="13" spans="1:5">
      <c r="B13" s="114" t="str">
        <f>INPUTS!C22</f>
        <v>Calves</v>
      </c>
      <c r="C13" s="24">
        <f>INPUTS!D22</f>
        <v>0</v>
      </c>
      <c r="D13" s="83">
        <v>1</v>
      </c>
      <c r="E13" s="31">
        <f t="shared" si="0"/>
        <v>0</v>
      </c>
    </row>
    <row r="14" spans="1:5" ht="31.5">
      <c r="B14" s="114" t="str">
        <f>INPUTS!C23</f>
        <v>Steers/heifers improved</v>
      </c>
      <c r="C14" s="24">
        <f>INPUTS!D23</f>
        <v>3</v>
      </c>
      <c r="D14" s="83">
        <v>1</v>
      </c>
      <c r="E14" s="31">
        <f t="shared" si="0"/>
        <v>3</v>
      </c>
    </row>
    <row r="15" spans="1:5">
      <c r="B15" s="114" t="str">
        <f>INPUTS!C24</f>
        <v>Calves improved</v>
      </c>
      <c r="C15" s="24">
        <f>INPUTS!D24</f>
        <v>0</v>
      </c>
      <c r="D15" s="83">
        <v>1</v>
      </c>
      <c r="E15" s="31">
        <f t="shared" si="0"/>
        <v>0</v>
      </c>
    </row>
    <row r="16" spans="1:5">
      <c r="B16" s="114" t="str">
        <f>INPUTS!C25</f>
        <v>Sheep</v>
      </c>
      <c r="C16" s="24">
        <f>INPUTS!D25</f>
        <v>0</v>
      </c>
      <c r="D16" s="83">
        <f>'GHG Parameters'!C69</f>
        <v>0.15</v>
      </c>
      <c r="E16" s="31">
        <f t="shared" si="0"/>
        <v>0</v>
      </c>
    </row>
    <row r="17" spans="2:16">
      <c r="B17" s="114" t="str">
        <f>INPUTS!C26</f>
        <v>Goats</v>
      </c>
      <c r="C17" s="24">
        <f>INPUTS!D26</f>
        <v>0</v>
      </c>
      <c r="D17" s="83">
        <f>'GHG Parameters'!C70</f>
        <v>0.17</v>
      </c>
      <c r="E17" s="31">
        <f t="shared" si="0"/>
        <v>0</v>
      </c>
    </row>
    <row r="18" spans="2:16">
      <c r="B18" s="26"/>
      <c r="C18" s="26"/>
      <c r="D18" s="26" t="s">
        <v>2</v>
      </c>
      <c r="E18" s="31">
        <f>SUM(E9:E17)</f>
        <v>5</v>
      </c>
    </row>
    <row r="20" spans="2:16">
      <c r="B20" s="1" t="s">
        <v>623</v>
      </c>
    </row>
    <row r="21" spans="2:16" s="10" customFormat="1">
      <c r="B21" s="26" t="s">
        <v>262</v>
      </c>
      <c r="C21" s="26"/>
      <c r="D21" s="26"/>
      <c r="E21" s="26"/>
      <c r="F21" s="26"/>
      <c r="G21" s="26" t="s">
        <v>376</v>
      </c>
      <c r="H21" s="26"/>
      <c r="I21" s="26"/>
      <c r="J21" s="26"/>
      <c r="K21" s="26"/>
      <c r="L21" s="26"/>
      <c r="M21" s="26"/>
      <c r="N21" s="26"/>
      <c r="O21" s="26" t="s">
        <v>397</v>
      </c>
      <c r="P21" s="46"/>
    </row>
    <row r="22" spans="2:16" s="10" customFormat="1" ht="47.25">
      <c r="B22" s="1561" t="s">
        <v>266</v>
      </c>
      <c r="C22" s="24" t="s">
        <v>377</v>
      </c>
      <c r="D22" s="24" t="s">
        <v>378</v>
      </c>
      <c r="E22" s="24" t="s">
        <v>379</v>
      </c>
      <c r="F22" s="24" t="s">
        <v>384</v>
      </c>
      <c r="G22" s="31" t="s">
        <v>383</v>
      </c>
      <c r="H22" s="116" t="s">
        <v>393</v>
      </c>
      <c r="I22" s="1414" t="s">
        <v>679</v>
      </c>
      <c r="J22" s="1415"/>
      <c r="K22" s="1416"/>
      <c r="L22" s="1414" t="s">
        <v>405</v>
      </c>
      <c r="M22" s="1415"/>
      <c r="N22" s="1416"/>
      <c r="O22" s="24" t="s">
        <v>1384</v>
      </c>
      <c r="P22" s="31" t="s">
        <v>680</v>
      </c>
    </row>
    <row r="23" spans="2:16" s="10" customFormat="1">
      <c r="B23" s="1561"/>
      <c r="C23" s="24" t="s">
        <v>381</v>
      </c>
      <c r="D23" s="24" t="s">
        <v>128</v>
      </c>
      <c r="E23" s="24" t="s">
        <v>128</v>
      </c>
      <c r="F23" s="24" t="s">
        <v>128</v>
      </c>
      <c r="G23" s="31" t="s">
        <v>382</v>
      </c>
      <c r="H23" s="116" t="s">
        <v>394</v>
      </c>
      <c r="I23" s="1414" t="s">
        <v>161</v>
      </c>
      <c r="J23" s="1415"/>
      <c r="K23" s="1416"/>
      <c r="L23" s="1414" t="s">
        <v>128</v>
      </c>
      <c r="M23" s="1415"/>
      <c r="N23" s="1416"/>
      <c r="O23" s="24" t="s">
        <v>271</v>
      </c>
      <c r="P23" s="31" t="s">
        <v>277</v>
      </c>
    </row>
    <row r="24" spans="2:16" s="10" customFormat="1" ht="47.25" customHeight="1">
      <c r="B24" s="1561"/>
      <c r="C24" s="1418"/>
      <c r="D24" s="1418"/>
      <c r="E24" s="1418"/>
      <c r="F24" s="1588"/>
      <c r="G24" s="1589" t="s">
        <v>402</v>
      </c>
      <c r="H24" s="116" t="s">
        <v>395</v>
      </c>
      <c r="I24" s="85"/>
      <c r="J24" s="86"/>
      <c r="K24" s="87"/>
      <c r="L24" s="1418" t="s">
        <v>404</v>
      </c>
      <c r="M24" s="1418"/>
      <c r="N24" s="1418"/>
      <c r="O24" s="24"/>
      <c r="P24" s="31"/>
    </row>
    <row r="25" spans="2:16" s="10" customFormat="1" ht="50.25" customHeight="1">
      <c r="B25" s="1561"/>
      <c r="C25" s="1418"/>
      <c r="D25" s="1418"/>
      <c r="E25" s="1418"/>
      <c r="F25" s="1588"/>
      <c r="G25" s="1589"/>
      <c r="H25" s="118"/>
      <c r="I25" s="1414" t="s">
        <v>398</v>
      </c>
      <c r="J25" s="1415"/>
      <c r="K25" s="1416"/>
      <c r="L25" s="1418" t="s">
        <v>403</v>
      </c>
      <c r="M25" s="1418"/>
      <c r="N25" s="1418"/>
      <c r="O25" s="24" t="s">
        <v>406</v>
      </c>
      <c r="P25" s="31" t="s">
        <v>280</v>
      </c>
    </row>
    <row r="26" spans="2:16" s="10" customFormat="1">
      <c r="B26" s="30" t="s">
        <v>151</v>
      </c>
      <c r="C26" s="24" t="s">
        <v>96</v>
      </c>
      <c r="D26" s="24" t="s">
        <v>380</v>
      </c>
      <c r="E26" s="24" t="s">
        <v>124</v>
      </c>
      <c r="F26" s="1074" t="s">
        <v>125</v>
      </c>
      <c r="G26" s="31" t="s">
        <v>126</v>
      </c>
      <c r="H26" s="114" t="s">
        <v>392</v>
      </c>
      <c r="I26" s="85" t="str">
        <f>INPUTS!D29</f>
        <v>solid storage</v>
      </c>
      <c r="J26" s="85" t="s">
        <v>1385</v>
      </c>
      <c r="K26" s="24" t="s">
        <v>1733</v>
      </c>
      <c r="L26" s="85" t="str">
        <f>INPUTS!D29</f>
        <v>solid storage</v>
      </c>
      <c r="M26" s="85" t="str">
        <f>INPUTS!D30</f>
        <v xml:space="preserve">dry lot </v>
      </c>
      <c r="N26" s="85" t="str">
        <f>INPUTS!D31</f>
        <v xml:space="preserve">Pasture / range / paddock </v>
      </c>
      <c r="O26" s="24" t="s">
        <v>273</v>
      </c>
      <c r="P26" s="31" t="s">
        <v>281</v>
      </c>
    </row>
    <row r="27" spans="2:16">
      <c r="B27" s="114" t="str">
        <f>INPUTS!C18</f>
        <v>Cows - local</v>
      </c>
      <c r="C27" s="45">
        <f>Feed!L100/365</f>
        <v>0</v>
      </c>
      <c r="D27" s="594">
        <f>Feed!V9</f>
        <v>0</v>
      </c>
      <c r="E27" s="45">
        <v>0.04</v>
      </c>
      <c r="F27" s="123">
        <v>0.08</v>
      </c>
      <c r="G27" s="73">
        <f t="shared" ref="G27:G35" si="1">(C27*(1-D27)+(E27*C27))*((1-F27)/18.65)</f>
        <v>0</v>
      </c>
      <c r="H27" s="119">
        <v>0.13</v>
      </c>
      <c r="I27" s="120">
        <f>(L27)*INPUTS!H18</f>
        <v>0</v>
      </c>
      <c r="J27" s="120">
        <f>(M27)*INPUTS!I18</f>
        <v>0</v>
      </c>
      <c r="K27" s="120">
        <f>(N27)*INPUTS!J18</f>
        <v>0</v>
      </c>
      <c r="L27" s="45">
        <f>INDEX('GHG Parameters'!$B$101:$B$103,MATCH(INPUTS!$D$29,'GHG Parameters'!$A$101:$A$103,0))</f>
        <v>0.04</v>
      </c>
      <c r="M27" s="45">
        <f>INDEX('GHG Parameters'!$B$101:$B$103,MATCH(INPUTS!$D$30,'GHG Parameters'!$A$101:$A$103,0))</f>
        <v>1.4999999999999999E-2</v>
      </c>
      <c r="N27" s="45">
        <f>INDEX('GHG Parameters'!$B$101:$B$103,MATCH(INPUTS!$D$31,'GHG Parameters'!$A$101:$A$103,0))</f>
        <v>1.4999999999999999E-2</v>
      </c>
      <c r="O27" s="45">
        <f t="shared" ref="O27:O35" si="2">(G27*365)*(H27*0.67*(SUM(I27:K27)))</f>
        <v>0</v>
      </c>
      <c r="P27" s="47">
        <f>O27</f>
        <v>0</v>
      </c>
    </row>
    <row r="28" spans="2:16">
      <c r="B28" s="114" t="str">
        <f>INPUTS!C19</f>
        <v>Cows - improved</v>
      </c>
      <c r="C28" s="45">
        <f>Feed!L101/365</f>
        <v>128.08306528363474</v>
      </c>
      <c r="D28" s="594">
        <f>Feed!V16</f>
        <v>0.54768916164383563</v>
      </c>
      <c r="E28" s="45">
        <v>0.04</v>
      </c>
      <c r="F28" s="123">
        <v>0.08</v>
      </c>
      <c r="G28" s="73">
        <f>(C28*(1-D28)+(E28*C28))*((1-F28)/18.65)</f>
        <v>3.1105708712650122</v>
      </c>
      <c r="H28" s="119">
        <v>0.13</v>
      </c>
      <c r="I28" s="120">
        <f>(L28)*INPUTS!H19</f>
        <v>0.04</v>
      </c>
      <c r="J28" s="120">
        <f>(M28)*INPUTS!I19</f>
        <v>0</v>
      </c>
      <c r="K28" s="120">
        <f>(N28)*INPUTS!J19</f>
        <v>0</v>
      </c>
      <c r="L28" s="45">
        <f>INDEX('GHG Parameters'!$B$101:$B$103,MATCH(INPUTS!$D$29,'GHG Parameters'!$A$101:$A$103,0))</f>
        <v>0.04</v>
      </c>
      <c r="M28" s="45">
        <f>INDEX('GHG Parameters'!$B$101:$B$103,MATCH(INPUTS!$D$30,'GHG Parameters'!$A$101:$A$103,0))</f>
        <v>1.4999999999999999E-2</v>
      </c>
      <c r="N28" s="45">
        <f>INDEX('GHG Parameters'!$B$101:$B$103,MATCH(INPUTS!$D$31,'GHG Parameters'!$A$101:$A$103,0))</f>
        <v>1.4999999999999999E-2</v>
      </c>
      <c r="O28" s="45">
        <f t="shared" si="2"/>
        <v>3.9555885541528659</v>
      </c>
      <c r="P28" s="47">
        <f t="shared" ref="P28:P35" si="3">O28</f>
        <v>3.9555885541528659</v>
      </c>
    </row>
    <row r="29" spans="2:16">
      <c r="B29" s="114" t="str">
        <f>INPUTS!C20</f>
        <v>Adult cattle - male</v>
      </c>
      <c r="C29" s="45">
        <f>Feed!L102/365</f>
        <v>0</v>
      </c>
      <c r="D29" s="594">
        <f>Feed!V23</f>
        <v>0</v>
      </c>
      <c r="E29" s="45">
        <v>0.04</v>
      </c>
      <c r="F29" s="123">
        <v>0.08</v>
      </c>
      <c r="G29" s="73">
        <f>(C29*(1-D29)+(E29*C29))*((1-F29)/18.65)</f>
        <v>0</v>
      </c>
      <c r="H29" s="119">
        <v>0.1</v>
      </c>
      <c r="I29" s="120">
        <f>(L29)*INPUTS!H20</f>
        <v>0</v>
      </c>
      <c r="J29" s="120">
        <f>(M29)*INPUTS!I20</f>
        <v>0</v>
      </c>
      <c r="K29" s="120">
        <f>(N29)*INPUTS!J20</f>
        <v>0</v>
      </c>
      <c r="L29" s="45">
        <f>INDEX('GHG Parameters'!$B$101:$B$103,MATCH(INPUTS!$D$29,'GHG Parameters'!$A$101:$A$103,0))</f>
        <v>0.04</v>
      </c>
      <c r="M29" s="45">
        <f>INDEX('GHG Parameters'!$B$101:$B$103,MATCH(INPUTS!$D$30,'GHG Parameters'!$A$101:$A$103,0))</f>
        <v>1.4999999999999999E-2</v>
      </c>
      <c r="N29" s="45">
        <f>INDEX('GHG Parameters'!$B$101:$B$103,MATCH(INPUTS!$D$31,'GHG Parameters'!$A$101:$A$103,0))</f>
        <v>1.4999999999999999E-2</v>
      </c>
      <c r="O29" s="45">
        <f t="shared" si="2"/>
        <v>0</v>
      </c>
      <c r="P29" s="47">
        <f t="shared" si="3"/>
        <v>0</v>
      </c>
    </row>
    <row r="30" spans="2:16">
      <c r="B30" s="114" t="str">
        <f>INPUTS!C21</f>
        <v>Steers/heifers</v>
      </c>
      <c r="C30" s="45">
        <f>Feed!L103/365</f>
        <v>0</v>
      </c>
      <c r="D30" s="594">
        <f>Feed!V30</f>
        <v>0</v>
      </c>
      <c r="E30" s="45">
        <v>0.04</v>
      </c>
      <c r="F30" s="123">
        <v>0.08</v>
      </c>
      <c r="G30" s="73">
        <f>(C30*(1-D30)+(E30*C30))*((1-F30)/18.65)</f>
        <v>0</v>
      </c>
      <c r="H30" s="119">
        <v>0.1</v>
      </c>
      <c r="I30" s="120">
        <f>(L30)*INPUTS!H21</f>
        <v>0</v>
      </c>
      <c r="J30" s="120">
        <f>(M30)*INPUTS!I21</f>
        <v>0</v>
      </c>
      <c r="K30" s="120">
        <f>(N30)*INPUTS!J21</f>
        <v>0</v>
      </c>
      <c r="L30" s="45">
        <f>INDEX('GHG Parameters'!$B$101:$B$103,MATCH(INPUTS!$D$29,'GHG Parameters'!$A$101:$A$103,0))</f>
        <v>0.04</v>
      </c>
      <c r="M30" s="45">
        <f>INDEX('GHG Parameters'!$B$101:$B$103,MATCH(INPUTS!$D$30,'GHG Parameters'!$A$101:$A$103,0))</f>
        <v>1.4999999999999999E-2</v>
      </c>
      <c r="N30" s="45">
        <f>INDEX('GHG Parameters'!$B$101:$B$103,MATCH(INPUTS!$D$31,'GHG Parameters'!$A$101:$A$103,0))</f>
        <v>1.4999999999999999E-2</v>
      </c>
      <c r="O30" s="45">
        <f t="shared" si="2"/>
        <v>0</v>
      </c>
      <c r="P30" s="47">
        <f t="shared" si="3"/>
        <v>0</v>
      </c>
    </row>
    <row r="31" spans="2:16">
      <c r="B31" s="114" t="str">
        <f>INPUTS!C22</f>
        <v>Calves</v>
      </c>
      <c r="C31" s="45">
        <f>Feed!L104/365</f>
        <v>0</v>
      </c>
      <c r="D31" s="594">
        <f>Feed!V37</f>
        <v>0</v>
      </c>
      <c r="E31" s="45">
        <v>0.04</v>
      </c>
      <c r="F31" s="123">
        <v>0.08</v>
      </c>
      <c r="G31" s="73">
        <f t="shared" si="1"/>
        <v>0</v>
      </c>
      <c r="H31" s="119">
        <v>0.1</v>
      </c>
      <c r="I31" s="120">
        <f>(L31)*INPUTS!H22</f>
        <v>0</v>
      </c>
      <c r="J31" s="120">
        <f>(M31)*INPUTS!I22</f>
        <v>0</v>
      </c>
      <c r="K31" s="120">
        <f>(N31)*INPUTS!J22</f>
        <v>0</v>
      </c>
      <c r="L31" s="45">
        <f>INDEX('GHG Parameters'!$B$101:$B$103,MATCH(INPUTS!$D$29,'GHG Parameters'!$A$101:$A$103,0))</f>
        <v>0.04</v>
      </c>
      <c r="M31" s="45">
        <f>INDEX('GHG Parameters'!$B$101:$B$103,MATCH(INPUTS!$D$30,'GHG Parameters'!$A$101:$A$103,0))</f>
        <v>1.4999999999999999E-2</v>
      </c>
      <c r="N31" s="45">
        <f>INDEX('GHG Parameters'!$B$101:$B$103,MATCH(INPUTS!$D$31,'GHG Parameters'!$A$101:$A$103,0))</f>
        <v>1.4999999999999999E-2</v>
      </c>
      <c r="O31" s="45">
        <f t="shared" si="2"/>
        <v>0</v>
      </c>
      <c r="P31" s="47">
        <f t="shared" si="3"/>
        <v>0</v>
      </c>
    </row>
    <row r="32" spans="2:16" ht="31.5">
      <c r="B32" s="114" t="str">
        <f>INPUTS!C23</f>
        <v>Steers/heifers improved</v>
      </c>
      <c r="C32" s="45">
        <f>Feed!L105/365</f>
        <v>154.45739468552998</v>
      </c>
      <c r="D32" s="594">
        <f>Feed!V44</f>
        <v>0.54768916164383563</v>
      </c>
      <c r="E32" s="45">
        <v>0.04</v>
      </c>
      <c r="F32" s="123">
        <v>0.08</v>
      </c>
      <c r="G32" s="73">
        <f>(C32*(1-D32)+(E32*C32))*((1-F32)/18.65)</f>
        <v>3.7510866225472848</v>
      </c>
      <c r="H32" s="119">
        <v>0.1</v>
      </c>
      <c r="I32" s="120">
        <f>(L32)*INPUTS!H23</f>
        <v>0.04</v>
      </c>
      <c r="J32" s="120">
        <f>(M32)*INPUTS!I23</f>
        <v>0</v>
      </c>
      <c r="K32" s="120">
        <f>(N32)*INPUTS!J23</f>
        <v>0</v>
      </c>
      <c r="L32" s="45">
        <f>INDEX('GHG Parameters'!$B$101:$B$103,MATCH(INPUTS!$D$29,'GHG Parameters'!$A$101:$A$103,0))</f>
        <v>0.04</v>
      </c>
      <c r="M32" s="45">
        <f>INDEX('GHG Parameters'!$B$101:$B$103,MATCH(INPUTS!$D$30,'GHG Parameters'!$A$101:$A$103,0))</f>
        <v>1.4999999999999999E-2</v>
      </c>
      <c r="N32" s="45">
        <f>INDEX('GHG Parameters'!$B$101:$B$103,MATCH(INPUTS!$D$31,'GHG Parameters'!$A$101:$A$103,0))</f>
        <v>1.4999999999999999E-2</v>
      </c>
      <c r="O32" s="45">
        <f t="shared" si="2"/>
        <v>3.6693129341757542</v>
      </c>
      <c r="P32" s="47">
        <f t="shared" si="3"/>
        <v>3.6693129341757542</v>
      </c>
    </row>
    <row r="33" spans="1:19">
      <c r="B33" s="114" t="str">
        <f>INPUTS!C24</f>
        <v>Calves improved</v>
      </c>
      <c r="C33" s="45">
        <f>Feed!L106/365</f>
        <v>0</v>
      </c>
      <c r="D33" s="594">
        <f>Feed!V51</f>
        <v>0</v>
      </c>
      <c r="E33" s="45">
        <v>0.04</v>
      </c>
      <c r="F33" s="123">
        <v>0.08</v>
      </c>
      <c r="G33" s="73">
        <f>(C33*(1-D33)+(E33*C33))*((1-F33)/18.65)</f>
        <v>0</v>
      </c>
      <c r="H33" s="119">
        <v>0.1</v>
      </c>
      <c r="I33" s="120">
        <f>(L33)*INPUTS!H24</f>
        <v>0</v>
      </c>
      <c r="J33" s="120">
        <f>(M33)*INPUTS!I24</f>
        <v>0</v>
      </c>
      <c r="K33" s="120">
        <f>(N33)*INPUTS!J24</f>
        <v>0</v>
      </c>
      <c r="L33" s="45">
        <f>INDEX('GHG Parameters'!$B$101:$B$103,MATCH(INPUTS!$D$29,'GHG Parameters'!$A$101:$A$103,0))</f>
        <v>0.04</v>
      </c>
      <c r="M33" s="45">
        <f>INDEX('GHG Parameters'!$B$101:$B$103,MATCH(INPUTS!$D$30,'GHG Parameters'!$A$101:$A$103,0))</f>
        <v>1.4999999999999999E-2</v>
      </c>
      <c r="N33" s="45">
        <f>INDEX('GHG Parameters'!$B$101:$B$103,MATCH(INPUTS!$D$31,'GHG Parameters'!$A$101:$A$103,0))</f>
        <v>1.4999999999999999E-2</v>
      </c>
      <c r="O33" s="45">
        <f t="shared" si="2"/>
        <v>0</v>
      </c>
      <c r="P33" s="47">
        <f t="shared" si="3"/>
        <v>0</v>
      </c>
    </row>
    <row r="34" spans="1:19">
      <c r="B34" s="24" t="str">
        <f>INPUTS!C25</f>
        <v>Sheep</v>
      </c>
      <c r="C34" s="45">
        <f>Feed!L107/365</f>
        <v>0</v>
      </c>
      <c r="D34" s="594">
        <f>Feed!V58</f>
        <v>0</v>
      </c>
      <c r="E34" s="45">
        <v>0.04</v>
      </c>
      <c r="F34" s="45">
        <v>8</v>
      </c>
      <c r="G34" s="47">
        <f t="shared" si="1"/>
        <v>0</v>
      </c>
      <c r="H34" s="1077">
        <v>0.13</v>
      </c>
      <c r="I34" s="120">
        <f>(L34)*INPUTS!H25</f>
        <v>0</v>
      </c>
      <c r="J34" s="120">
        <f>(M34)*INPUTS!I25</f>
        <v>0</v>
      </c>
      <c r="K34" s="120">
        <f>(N34)*INPUTS!J25</f>
        <v>0</v>
      </c>
      <c r="L34" s="45">
        <f>INDEX('GHG Parameters'!$B$101:$B$103,MATCH(INPUTS!$D$29,'GHG Parameters'!$A$101:$A$103,0))</f>
        <v>0.04</v>
      </c>
      <c r="M34" s="45">
        <f>INDEX('GHG Parameters'!$B$101:$B$103,MATCH(INPUTS!$D$30,'GHG Parameters'!$A$101:$A$103,0))</f>
        <v>1.4999999999999999E-2</v>
      </c>
      <c r="N34" s="45">
        <f>INDEX('GHG Parameters'!$B$101:$B$103,MATCH(INPUTS!$D$31,'GHG Parameters'!$A$101:$A$103,0))</f>
        <v>1.4999999999999999E-2</v>
      </c>
      <c r="O34" s="45">
        <f t="shared" si="2"/>
        <v>0</v>
      </c>
      <c r="P34" s="47">
        <f t="shared" si="3"/>
        <v>0</v>
      </c>
    </row>
    <row r="35" spans="1:19">
      <c r="B35" s="24" t="str">
        <f>INPUTS!C26</f>
        <v>Goats</v>
      </c>
      <c r="C35" s="45">
        <f>Feed!L108/365</f>
        <v>0</v>
      </c>
      <c r="D35" s="594">
        <f>Feed!V65</f>
        <v>0</v>
      </c>
      <c r="E35" s="45">
        <v>0.04</v>
      </c>
      <c r="F35" s="45">
        <v>8</v>
      </c>
      <c r="G35" s="47">
        <f t="shared" si="1"/>
        <v>0</v>
      </c>
      <c r="H35" s="1077">
        <v>0.13</v>
      </c>
      <c r="I35" s="120">
        <f>(L35)*INPUTS!H26</f>
        <v>0</v>
      </c>
      <c r="J35" s="120">
        <f>(M35)*INPUTS!I26</f>
        <v>0</v>
      </c>
      <c r="K35" s="120">
        <f>(N35)*INPUTS!J26</f>
        <v>0</v>
      </c>
      <c r="L35" s="45">
        <f>INDEX('GHG Parameters'!$B$101:$B$103,MATCH(INPUTS!$D$29,'GHG Parameters'!$A$101:$A$103,0))</f>
        <v>0.04</v>
      </c>
      <c r="M35" s="45">
        <f>INDEX('GHG Parameters'!$B$101:$B$103,MATCH(INPUTS!$D$30,'GHG Parameters'!$A$101:$A$103,0))</f>
        <v>1.4999999999999999E-2</v>
      </c>
      <c r="N35" s="45">
        <f>INDEX('GHG Parameters'!$B$101:$B$103,MATCH(INPUTS!$D$31,'GHG Parameters'!$A$101:$A$103,0))</f>
        <v>1.4999999999999999E-2</v>
      </c>
      <c r="O35" s="45">
        <f t="shared" si="2"/>
        <v>0</v>
      </c>
      <c r="P35" s="47">
        <f t="shared" si="3"/>
        <v>0</v>
      </c>
    </row>
    <row r="36" spans="1:19">
      <c r="A36" s="30"/>
      <c r="B36" s="1577" t="s">
        <v>2</v>
      </c>
      <c r="C36" s="1577"/>
      <c r="D36" s="1577"/>
      <c r="E36" s="1577"/>
      <c r="F36" s="1577"/>
      <c r="G36" s="1577"/>
      <c r="H36" s="1577"/>
      <c r="I36" s="1577"/>
      <c r="J36" s="1577"/>
      <c r="K36" s="1577"/>
      <c r="L36" s="1577"/>
      <c r="M36" s="1577"/>
      <c r="N36" s="1577"/>
      <c r="O36" s="1577"/>
      <c r="P36" s="47">
        <f>SUM(P27:P35)</f>
        <v>7.6249014883286197</v>
      </c>
    </row>
    <row r="38" spans="1:19" s="41" customFormat="1" ht="16.5" thickBot="1"/>
    <row r="39" spans="1:19" s="41" customFormat="1" ht="17.25" thickTop="1" thickBot="1"/>
    <row r="40" spans="1:19" ht="16.5" thickTop="1">
      <c r="A40" s="1" t="s">
        <v>110</v>
      </c>
    </row>
    <row r="41" spans="1:19">
      <c r="A41" s="5" t="s">
        <v>111</v>
      </c>
    </row>
    <row r="42" spans="1:19">
      <c r="A42" s="1"/>
    </row>
    <row r="43" spans="1:19">
      <c r="A43" s="1"/>
      <c r="B43" s="23" t="s">
        <v>180</v>
      </c>
      <c r="C43" s="23"/>
      <c r="D43" s="1100" t="s">
        <v>1732</v>
      </c>
      <c r="E43" s="23" t="s">
        <v>301</v>
      </c>
    </row>
    <row r="44" spans="1:19" ht="31.5">
      <c r="A44" s="1"/>
      <c r="B44" s="1574" t="s">
        <v>266</v>
      </c>
      <c r="C44" s="24" t="s">
        <v>292</v>
      </c>
      <c r="D44" s="24" t="s">
        <v>293</v>
      </c>
      <c r="E44" s="31" t="s">
        <v>294</v>
      </c>
      <c r="F44" s="31" t="s">
        <v>294</v>
      </c>
    </row>
    <row r="45" spans="1:19" ht="31.5">
      <c r="A45" s="1"/>
      <c r="B45" s="1574"/>
      <c r="C45" s="24" t="s">
        <v>671</v>
      </c>
      <c r="D45" s="24" t="s">
        <v>672</v>
      </c>
      <c r="E45" s="31" t="s">
        <v>298</v>
      </c>
      <c r="F45" s="31" t="s">
        <v>222</v>
      </c>
    </row>
    <row r="46" spans="1:19">
      <c r="B46" s="1574"/>
      <c r="C46" s="24"/>
      <c r="D46" s="24" t="s">
        <v>300</v>
      </c>
      <c r="E46" s="31" t="s">
        <v>302</v>
      </c>
      <c r="F46" s="44"/>
    </row>
    <row r="47" spans="1:19">
      <c r="B47" s="26" t="s">
        <v>151</v>
      </c>
      <c r="C47" s="24" t="s">
        <v>297</v>
      </c>
      <c r="D47" s="24" t="s">
        <v>296</v>
      </c>
      <c r="E47" s="47" t="s">
        <v>295</v>
      </c>
      <c r="F47" s="44"/>
      <c r="M47" s="7"/>
      <c r="N47" s="7"/>
      <c r="O47" s="7"/>
      <c r="P47" s="7"/>
      <c r="Q47" s="7"/>
      <c r="R47" s="7"/>
      <c r="S47" s="7"/>
    </row>
    <row r="48" spans="1:19">
      <c r="B48" s="114" t="str">
        <f>INPUTS!C18</f>
        <v>Cows - local</v>
      </c>
      <c r="C48" s="45">
        <f>'Livestock parameters'!B4</f>
        <v>0</v>
      </c>
      <c r="D48" s="1372">
        <v>0.6</v>
      </c>
      <c r="E48" s="47">
        <f>D48*(C48/1000)*365</f>
        <v>0</v>
      </c>
      <c r="F48" s="44">
        <f>E48*INPUTS!D18</f>
        <v>0</v>
      </c>
    </row>
    <row r="49" spans="1:7">
      <c r="B49" s="114" t="str">
        <f>INPUTS!C19</f>
        <v>Cows - improved</v>
      </c>
      <c r="C49" s="45">
        <f>'Livestock parameters'!B5</f>
        <v>381</v>
      </c>
      <c r="D49" s="1372">
        <v>0.6</v>
      </c>
      <c r="E49" s="47">
        <f t="shared" ref="E49:E56" si="4">D49*(C49/1000)*365</f>
        <v>83.438999999999993</v>
      </c>
      <c r="F49" s="44">
        <f>E49*INPUTS!D19</f>
        <v>166.87799999999999</v>
      </c>
      <c r="G49" s="1587"/>
    </row>
    <row r="50" spans="1:7">
      <c r="B50" s="114" t="str">
        <f>INPUTS!C20</f>
        <v>Adult cattle - male</v>
      </c>
      <c r="C50" s="45">
        <f>'Livestock parameters'!B6</f>
        <v>0</v>
      </c>
      <c r="D50" s="1372">
        <v>0.63</v>
      </c>
      <c r="E50" s="47">
        <f t="shared" si="4"/>
        <v>0</v>
      </c>
      <c r="F50" s="44">
        <f>E50*INPUTS!D20</f>
        <v>0</v>
      </c>
      <c r="G50" s="1587"/>
    </row>
    <row r="51" spans="1:7">
      <c r="B51" s="114" t="str">
        <f>INPUTS!C21</f>
        <v>Steers/heifers</v>
      </c>
      <c r="C51" s="45">
        <f>'Livestock parameters'!B7</f>
        <v>0</v>
      </c>
      <c r="D51" s="1372">
        <v>0.63</v>
      </c>
      <c r="E51" s="47">
        <f t="shared" si="4"/>
        <v>0</v>
      </c>
      <c r="F51" s="44">
        <f>E51*INPUTS!D21</f>
        <v>0</v>
      </c>
      <c r="G51" s="1587"/>
    </row>
    <row r="52" spans="1:7">
      <c r="B52" s="114" t="str">
        <f>INPUTS!C22</f>
        <v>Calves</v>
      </c>
      <c r="C52" s="45">
        <f>'Livestock parameters'!B8</f>
        <v>0</v>
      </c>
      <c r="D52" s="1372">
        <v>0.63</v>
      </c>
      <c r="E52" s="47">
        <f t="shared" si="4"/>
        <v>0</v>
      </c>
      <c r="F52" s="44">
        <f>E52*INPUTS!D22</f>
        <v>0</v>
      </c>
      <c r="G52" s="1587"/>
    </row>
    <row r="53" spans="1:7" ht="31.5">
      <c r="B53" s="114" t="str">
        <f>INPUTS!C23</f>
        <v>Steers/heifers improved</v>
      </c>
      <c r="C53" s="45">
        <f>'Livestock parameters'!B9</f>
        <v>290</v>
      </c>
      <c r="D53" s="1372">
        <v>0.63</v>
      </c>
      <c r="E53" s="47">
        <f t="shared" si="4"/>
        <v>66.685500000000005</v>
      </c>
      <c r="F53" s="44">
        <f>E53*INPUTS!D23</f>
        <v>200.05650000000003</v>
      </c>
    </row>
    <row r="54" spans="1:7">
      <c r="B54" s="114" t="str">
        <f>INPUTS!C24</f>
        <v>Calves improved</v>
      </c>
      <c r="C54" s="45">
        <f>'Livestock parameters'!B10</f>
        <v>0</v>
      </c>
      <c r="D54" s="1372">
        <v>0.63</v>
      </c>
      <c r="E54" s="47">
        <f t="shared" si="4"/>
        <v>0</v>
      </c>
      <c r="F54" s="44">
        <f>E54*INPUTS!D24</f>
        <v>0</v>
      </c>
    </row>
    <row r="55" spans="1:7">
      <c r="B55" s="24" t="str">
        <f>INPUTS!C25</f>
        <v>Sheep</v>
      </c>
      <c r="C55" s="45">
        <f>'Livestock parameters'!B11</f>
        <v>0</v>
      </c>
      <c r="D55" s="24">
        <v>1.17</v>
      </c>
      <c r="E55" s="47">
        <f t="shared" si="4"/>
        <v>0</v>
      </c>
      <c r="F55" s="44">
        <f>E55*INPUTS!D25</f>
        <v>0</v>
      </c>
    </row>
    <row r="56" spans="1:7">
      <c r="B56" s="24" t="str">
        <f>INPUTS!C26</f>
        <v>Goats</v>
      </c>
      <c r="C56" s="45">
        <f>'Livestock parameters'!B12</f>
        <v>0</v>
      </c>
      <c r="D56" s="24">
        <v>1.37</v>
      </c>
      <c r="E56" s="47">
        <f t="shared" si="4"/>
        <v>0</v>
      </c>
      <c r="F56" s="44">
        <f>E56*INPUTS!D26</f>
        <v>0</v>
      </c>
    </row>
    <row r="58" spans="1:7">
      <c r="A58" s="1" t="s">
        <v>113</v>
      </c>
    </row>
    <row r="59" spans="1:7">
      <c r="A59" s="5" t="s">
        <v>111</v>
      </c>
    </row>
    <row r="60" spans="1:7">
      <c r="B60" s="26" t="s">
        <v>180</v>
      </c>
      <c r="C60" s="21"/>
      <c r="D60" s="21"/>
      <c r="E60" s="21" t="s">
        <v>375</v>
      </c>
      <c r="F60" s="1125" t="s">
        <v>1746</v>
      </c>
      <c r="G60" s="21" t="s">
        <v>373</v>
      </c>
    </row>
    <row r="61" spans="1:7" s="10" customFormat="1" ht="47.25">
      <c r="B61" s="36" t="s">
        <v>266</v>
      </c>
      <c r="C61" s="24" t="s">
        <v>1388</v>
      </c>
      <c r="D61" s="24" t="s">
        <v>370</v>
      </c>
      <c r="E61" s="24" t="s">
        <v>1390</v>
      </c>
      <c r="F61" s="24" t="s">
        <v>439</v>
      </c>
      <c r="G61" s="31" t="s">
        <v>374</v>
      </c>
    </row>
    <row r="62" spans="1:7" ht="31.5">
      <c r="B62" s="36"/>
      <c r="C62" s="24" t="s">
        <v>1380</v>
      </c>
      <c r="D62" s="24" t="s">
        <v>369</v>
      </c>
      <c r="E62" s="24" t="s">
        <v>1389</v>
      </c>
      <c r="F62" s="24" t="s">
        <v>438</v>
      </c>
      <c r="G62" s="31" t="s">
        <v>1381</v>
      </c>
    </row>
    <row r="63" spans="1:7" ht="28.5" customHeight="1">
      <c r="B63" s="36"/>
      <c r="C63" s="24"/>
      <c r="D63" s="24"/>
      <c r="E63" s="24" t="s">
        <v>368</v>
      </c>
      <c r="F63" s="24" t="s">
        <v>1745</v>
      </c>
      <c r="G63" s="28" t="s">
        <v>440</v>
      </c>
    </row>
    <row r="64" spans="1:7">
      <c r="B64" s="26" t="s">
        <v>151</v>
      </c>
      <c r="C64" s="24" t="s">
        <v>96</v>
      </c>
      <c r="D64" s="24" t="s">
        <v>367</v>
      </c>
      <c r="E64" s="24" t="s">
        <v>372</v>
      </c>
      <c r="F64" s="24" t="s">
        <v>1383</v>
      </c>
      <c r="G64" s="31" t="s">
        <v>371</v>
      </c>
    </row>
    <row r="65" spans="1:19">
      <c r="B65" s="158" t="str">
        <f>INPUTS!C18</f>
        <v>Cows - local</v>
      </c>
      <c r="C65" s="68">
        <f>'GHG Ent fermentation'!C29</f>
        <v>0</v>
      </c>
      <c r="D65" s="68" t="e">
        <f>Feed!W8</f>
        <v>#DIV/0!</v>
      </c>
      <c r="E65" s="1124" t="str">
        <f>IFERROR((C65/18.45)*((D65/100)/6.25),"")</f>
        <v/>
      </c>
      <c r="F65" s="1124" t="str">
        <f>IFERROR(((((INPUTS!E18*0.034/6.38)+(INPUTS!F18*(268-(7*16))/6250))*INPUTS!D18/365)/E65),"")</f>
        <v/>
      </c>
      <c r="G65" s="69" t="str">
        <f>IFERROR(E65*(1-(F65))*365,"")</f>
        <v/>
      </c>
      <c r="I65" s="1116"/>
      <c r="J65" s="1116"/>
      <c r="K65" s="1116"/>
      <c r="L65" s="1116"/>
    </row>
    <row r="66" spans="1:19">
      <c r="B66" s="158" t="str">
        <f>INPUTS!C19</f>
        <v>Cows - improved</v>
      </c>
      <c r="C66" s="68">
        <f>'GHG Ent fermentation'!C30</f>
        <v>128.08306528363474</v>
      </c>
      <c r="D66" s="68">
        <f>Feed!W15</f>
        <v>24.146766387664318</v>
      </c>
      <c r="E66" s="1124">
        <f t="shared" ref="E66:E73" si="5">IFERROR((C66/18.45)*((D66/100)/6.25),"")</f>
        <v>0.26820959181527465</v>
      </c>
      <c r="F66" s="1124">
        <f>IFERROR(((((INPUTS!E19*0.034/6.38)+(INPUTS!F19*(268-(7*16))/6250))*INPUTS!D19/365)/E66),"")</f>
        <v>0.16603165922354998</v>
      </c>
      <c r="G66" s="69">
        <f t="shared" ref="G66:G73" si="6">IFERROR(E66*(1-(F66))*365,"")</f>
        <v>81.642582517277432</v>
      </c>
      <c r="I66" s="1116"/>
      <c r="J66" s="1116"/>
      <c r="K66" s="1116"/>
      <c r="L66" s="1116"/>
    </row>
    <row r="67" spans="1:19">
      <c r="B67" s="158" t="str">
        <f>INPUTS!C20</f>
        <v>Adult cattle - male</v>
      </c>
      <c r="C67" s="68">
        <f>'GHG Ent fermentation'!C31</f>
        <v>0</v>
      </c>
      <c r="D67" s="68" t="e">
        <f>Feed!W22</f>
        <v>#DIV/0!</v>
      </c>
      <c r="E67" s="1124" t="str">
        <f t="shared" si="5"/>
        <v/>
      </c>
      <c r="F67" s="1124" t="str">
        <f>IFERROR(((((INPUTS!E20*0.034/6.38)+(INPUTS!F20*(268-(7*16))/6250))*INPUTS!D20/365)/E67),"")</f>
        <v/>
      </c>
      <c r="G67" s="69" t="str">
        <f t="shared" si="6"/>
        <v/>
      </c>
      <c r="I67" s="1116"/>
      <c r="J67" s="1116"/>
      <c r="K67" s="1116"/>
      <c r="L67" s="1116"/>
    </row>
    <row r="68" spans="1:19">
      <c r="B68" s="158" t="str">
        <f>INPUTS!C21</f>
        <v>Steers/heifers</v>
      </c>
      <c r="C68" s="68">
        <f>'GHG Ent fermentation'!C32</f>
        <v>0</v>
      </c>
      <c r="D68" s="68" t="e">
        <f>Feed!W29</f>
        <v>#DIV/0!</v>
      </c>
      <c r="E68" s="1124" t="str">
        <f t="shared" si="5"/>
        <v/>
      </c>
      <c r="F68" s="1124" t="str">
        <f>IFERROR(((((INPUTS!E21*0.034/6.38)+(INPUTS!F21*(268-(7*16))/6250))*INPUTS!D21/365)/E68),"")</f>
        <v/>
      </c>
      <c r="G68" s="69" t="str">
        <f t="shared" si="6"/>
        <v/>
      </c>
      <c r="I68" s="1116"/>
      <c r="J68" s="1116"/>
      <c r="K68" s="1116"/>
      <c r="L68" s="1116"/>
    </row>
    <row r="69" spans="1:19">
      <c r="B69" s="158" t="str">
        <f>INPUTS!C22</f>
        <v>Calves</v>
      </c>
      <c r="C69" s="68">
        <f>'GHG Ent fermentation'!C33</f>
        <v>0</v>
      </c>
      <c r="D69" s="68" t="e">
        <f>Feed!W36</f>
        <v>#DIV/0!</v>
      </c>
      <c r="E69" s="1124" t="str">
        <f t="shared" si="5"/>
        <v/>
      </c>
      <c r="F69" s="1124" t="str">
        <f>IFERROR(((((INPUTS!E22*0.034/6.38)+(INPUTS!F22*(268-(7*16))/6250))*INPUTS!D22/365)/E69),"")</f>
        <v/>
      </c>
      <c r="G69" s="69" t="str">
        <f t="shared" si="6"/>
        <v/>
      </c>
      <c r="I69" s="1116"/>
      <c r="J69" s="1116"/>
      <c r="K69" s="1116"/>
      <c r="L69" s="1116"/>
    </row>
    <row r="70" spans="1:19" ht="31.5">
      <c r="B70" s="158" t="str">
        <f>INPUTS!C23</f>
        <v>Steers/heifers improved</v>
      </c>
      <c r="C70" s="68">
        <f>'GHG Ent fermentation'!C34</f>
        <v>154.45739468552998</v>
      </c>
      <c r="D70" s="68">
        <f>Feed!W43</f>
        <v>24.146766387664318</v>
      </c>
      <c r="E70" s="1124">
        <f t="shared" si="5"/>
        <v>0.32343818981626071</v>
      </c>
      <c r="F70" s="1124">
        <f>IFERROR(((((INPUTS!E23*0.034/6.38)+(INPUTS!F23*(268-(7*16))/6250))*INPUTS!D23/365)/E70),"")</f>
        <v>9.8947829467805476E-2</v>
      </c>
      <c r="G70" s="69">
        <f t="shared" si="6"/>
        <v>106.37365928293515</v>
      </c>
      <c r="I70" s="1116"/>
      <c r="J70" s="1116"/>
      <c r="K70" s="1116"/>
      <c r="L70" s="1116"/>
    </row>
    <row r="71" spans="1:19">
      <c r="B71" s="158" t="str">
        <f>INPUTS!C24</f>
        <v>Calves improved</v>
      </c>
      <c r="C71" s="68">
        <f>'GHG Ent fermentation'!C35</f>
        <v>0</v>
      </c>
      <c r="D71" s="68" t="e">
        <f>Feed!W50</f>
        <v>#DIV/0!</v>
      </c>
      <c r="E71" s="1124" t="str">
        <f t="shared" si="5"/>
        <v/>
      </c>
      <c r="F71" s="1124" t="str">
        <f>IFERROR(((((INPUTS!E24*0.034/6.38)+(INPUTS!F24*(268-(7*16))/6250))*INPUTS!D24/365)/E71),"")</f>
        <v/>
      </c>
      <c r="G71" s="69" t="str">
        <f t="shared" si="6"/>
        <v/>
      </c>
      <c r="I71" s="1116"/>
      <c r="J71" s="1116"/>
      <c r="K71" s="1116"/>
      <c r="L71" s="1116"/>
    </row>
    <row r="72" spans="1:19">
      <c r="B72" s="1078" t="str">
        <f>INPUTS!C25</f>
        <v>Sheep</v>
      </c>
      <c r="C72" s="68">
        <f>'GHG Ent fermentation'!C36</f>
        <v>0</v>
      </c>
      <c r="D72" s="68" t="e">
        <f>Feed!W57</f>
        <v>#DIV/0!</v>
      </c>
      <c r="E72" s="1124" t="str">
        <f t="shared" si="5"/>
        <v/>
      </c>
      <c r="F72" s="1124" t="str">
        <f>IFERROR(((((INPUTS!E25*0.034/6.38)+(INPUTS!F25*(268-(7*16))/6250))*INPUTS!D25/365)/E72),"")</f>
        <v/>
      </c>
      <c r="G72" s="69" t="str">
        <f t="shared" si="6"/>
        <v/>
      </c>
      <c r="H72" s="63"/>
      <c r="I72" s="1116"/>
      <c r="J72" s="1116"/>
      <c r="K72" s="1116"/>
      <c r="L72" s="1116"/>
    </row>
    <row r="73" spans="1:19">
      <c r="B73" s="1078" t="str">
        <f>INPUTS!C26</f>
        <v>Goats</v>
      </c>
      <c r="C73" s="68">
        <f>'GHG Ent fermentation'!C37</f>
        <v>0</v>
      </c>
      <c r="D73" s="68" t="e">
        <f>Feed!W64</f>
        <v>#DIV/0!</v>
      </c>
      <c r="E73" s="1124" t="str">
        <f t="shared" si="5"/>
        <v/>
      </c>
      <c r="F73" s="1124" t="str">
        <f>IFERROR(((((INPUTS!E26*0.034/6.38)+(INPUTS!F26*(268-(7*16))/6250))*INPUTS!D26/365)/E73),"")</f>
        <v/>
      </c>
      <c r="G73" s="69" t="str">
        <f t="shared" si="6"/>
        <v/>
      </c>
      <c r="I73" s="1116"/>
      <c r="J73" s="1116"/>
      <c r="K73" s="1116"/>
      <c r="L73" s="1116"/>
    </row>
    <row r="75" spans="1:19">
      <c r="A75" s="6" t="s">
        <v>116</v>
      </c>
      <c r="P75" s="8"/>
      <c r="Q75" s="7"/>
      <c r="R75" s="8"/>
      <c r="S75" s="7"/>
    </row>
    <row r="76" spans="1:19">
      <c r="A76" s="1" t="s">
        <v>117</v>
      </c>
      <c r="F76" t="s">
        <v>114</v>
      </c>
      <c r="P76" s="8"/>
      <c r="Q76" s="7"/>
      <c r="R76" s="8"/>
      <c r="S76" s="7"/>
    </row>
    <row r="77" spans="1:19">
      <c r="A77" t="s">
        <v>118</v>
      </c>
      <c r="F77" t="s">
        <v>115</v>
      </c>
      <c r="P77" s="8"/>
      <c r="Q77" s="7"/>
      <c r="R77" s="8"/>
      <c r="S77" s="7"/>
    </row>
    <row r="78" spans="1:19">
      <c r="A78" t="s">
        <v>119</v>
      </c>
    </row>
    <row r="79" spans="1:19">
      <c r="A79" t="s">
        <v>120</v>
      </c>
    </row>
    <row r="80" spans="1:19">
      <c r="A80" t="s">
        <v>121</v>
      </c>
      <c r="G80" s="51"/>
    </row>
    <row r="81" spans="1:13">
      <c r="A81" s="5"/>
    </row>
    <row r="82" spans="1:13">
      <c r="A82" s="5"/>
      <c r="B82" s="23" t="s">
        <v>262</v>
      </c>
      <c r="C82" s="67"/>
      <c r="D82" s="67"/>
      <c r="E82" s="67" t="s">
        <v>422</v>
      </c>
      <c r="F82" s="67"/>
      <c r="G82" s="67" t="s">
        <v>421</v>
      </c>
      <c r="H82" s="67"/>
      <c r="I82" s="46" t="s">
        <v>835</v>
      </c>
      <c r="J82" s="67" t="s">
        <v>836</v>
      </c>
      <c r="L82" s="174" t="s">
        <v>926</v>
      </c>
    </row>
    <row r="83" spans="1:13">
      <c r="A83" s="11"/>
      <c r="B83" s="1543" t="s">
        <v>266</v>
      </c>
      <c r="C83" s="1414" t="s">
        <v>1386</v>
      </c>
      <c r="D83" s="1416"/>
      <c r="E83" s="1558" t="s">
        <v>979</v>
      </c>
      <c r="F83" s="1560"/>
      <c r="G83" s="1558" t="s">
        <v>979</v>
      </c>
      <c r="H83" s="1560"/>
      <c r="I83" s="24" t="s">
        <v>411</v>
      </c>
      <c r="J83" s="31" t="s">
        <v>411</v>
      </c>
      <c r="L83" s="213" t="s">
        <v>413</v>
      </c>
      <c r="M83" s="1097"/>
    </row>
    <row r="84" spans="1:13">
      <c r="B84" s="1575"/>
      <c r="C84" s="1585" t="s">
        <v>409</v>
      </c>
      <c r="D84" s="1586"/>
      <c r="E84" s="1558" t="s">
        <v>414</v>
      </c>
      <c r="F84" s="1560"/>
      <c r="G84" s="1558" t="s">
        <v>414</v>
      </c>
      <c r="H84" s="1560"/>
      <c r="I84" s="24" t="s">
        <v>265</v>
      </c>
      <c r="J84" s="31" t="s">
        <v>265</v>
      </c>
      <c r="L84" s="213" t="s">
        <v>414</v>
      </c>
      <c r="M84" s="1097"/>
    </row>
    <row r="85" spans="1:13" ht="47.25" customHeight="1">
      <c r="B85" s="1576"/>
      <c r="C85" s="93" t="s">
        <v>408</v>
      </c>
      <c r="D85" s="27" t="s">
        <v>408</v>
      </c>
      <c r="E85" s="1571" t="s">
        <v>424</v>
      </c>
      <c r="F85" s="1572"/>
      <c r="G85" s="1571" t="s">
        <v>423</v>
      </c>
      <c r="H85" s="1572"/>
      <c r="I85" s="24" t="s">
        <v>412</v>
      </c>
      <c r="J85" s="31" t="s">
        <v>412</v>
      </c>
      <c r="L85" s="1098" t="s">
        <v>423</v>
      </c>
      <c r="M85" s="1099"/>
    </row>
    <row r="86" spans="1:13" ht="15.75" customHeight="1">
      <c r="B86" s="49" t="s">
        <v>151</v>
      </c>
      <c r="C86" s="14" t="str">
        <f>INPUTS!D29</f>
        <v>solid storage</v>
      </c>
      <c r="D86" s="14" t="str">
        <f>INPUTS!D30</f>
        <v xml:space="preserve">dry lot </v>
      </c>
      <c r="E86" s="14" t="str">
        <f>INPUTS!D29</f>
        <v>solid storage</v>
      </c>
      <c r="F86" s="14" t="str">
        <f>INPUTS!D30</f>
        <v xml:space="preserve">dry lot </v>
      </c>
      <c r="G86" s="14" t="str">
        <f>INPUTS!D29</f>
        <v>solid storage</v>
      </c>
      <c r="H86" s="14" t="str">
        <f>INPUTS!D30</f>
        <v xml:space="preserve">dry lot </v>
      </c>
      <c r="I86" s="52" t="s">
        <v>410</v>
      </c>
      <c r="J86" s="48" t="s">
        <v>410</v>
      </c>
    </row>
    <row r="87" spans="1:13">
      <c r="B87" s="158" t="str">
        <f>INPUTS!C18</f>
        <v>Cows - local</v>
      </c>
      <c r="C87" s="133">
        <f>VLOOKUP(C$86,'GHG Parameters'!A$118:B$120, 2,FALSE)</f>
        <v>5.0000000000000001E-3</v>
      </c>
      <c r="D87" s="133">
        <f>VLOOKUP(D$86,'GHG Parameters'!A$118:B$120,2,FALSE)</f>
        <v>0.02</v>
      </c>
      <c r="E87" s="68">
        <f>'GHG Manure'!E48*INPUTS!H18*C87</f>
        <v>0</v>
      </c>
      <c r="F87" s="68">
        <f>'GHG Manure'!E48*INPUTS!I18*D87</f>
        <v>0</v>
      </c>
      <c r="G87" s="61" t="str">
        <f>IFERROR('GHG Manure'!G65*INPUTS!H18*C87,"")</f>
        <v/>
      </c>
      <c r="H87" s="61">
        <f>IFERROR(IFERROR('GHG Manure'!G65*INPUTS!I18*D87,"")/INPUTS!D18,0)</f>
        <v>0</v>
      </c>
      <c r="I87" s="68">
        <f>SUM(E87:F87)*(44/28)*INPUTS!D18</f>
        <v>0</v>
      </c>
      <c r="J87" s="66">
        <f>SUM(G87:H87)*(44/28)*INPUTS!D18</f>
        <v>0</v>
      </c>
    </row>
    <row r="88" spans="1:13">
      <c r="B88" s="158" t="str">
        <f>INPUTS!C19</f>
        <v>Cows - improved</v>
      </c>
      <c r="C88" s="133">
        <f>VLOOKUP(C$86,'GHG Parameters'!A$118:B$120, 2,FALSE)</f>
        <v>5.0000000000000001E-3</v>
      </c>
      <c r="D88" s="133">
        <f>VLOOKUP(D$86,'GHG Parameters'!A$118:B$120,2,FALSE)</f>
        <v>0.02</v>
      </c>
      <c r="E88" s="68">
        <f>'GHG Manure'!E49*INPUTS!H19*C88</f>
        <v>0.41719499999999998</v>
      </c>
      <c r="F88" s="68">
        <f>'GHG Manure'!E49*INPUTS!I19*D88</f>
        <v>0</v>
      </c>
      <c r="G88" s="61">
        <f>IFERROR('GHG Manure'!G66*INPUTS!H19*C88,"")</f>
        <v>0.40821291258638714</v>
      </c>
      <c r="H88" s="61">
        <f>IFERROR(IFERROR('GHG Manure'!G66*INPUTS!I19*D88,"")/INPUTS!D19,0)</f>
        <v>0</v>
      </c>
      <c r="I88" s="68">
        <f>SUM(E88:F88)*(44/28)*INPUTS!D19</f>
        <v>1.3111842857142857</v>
      </c>
      <c r="J88" s="66">
        <f>SUM(G88:H88)*(44/28)*INPUTS!D19</f>
        <v>1.2829548681286453</v>
      </c>
    </row>
    <row r="89" spans="1:13">
      <c r="B89" s="158" t="str">
        <f>INPUTS!C20</f>
        <v>Adult cattle - male</v>
      </c>
      <c r="C89" s="133">
        <f>VLOOKUP(C$86,'GHG Parameters'!A$118:B$120, 2,FALSE)</f>
        <v>5.0000000000000001E-3</v>
      </c>
      <c r="D89" s="133">
        <f>VLOOKUP(D$86,'GHG Parameters'!A$118:B$120,2,FALSE)</f>
        <v>0.02</v>
      </c>
      <c r="E89" s="68">
        <f>'GHG Manure'!E50*INPUTS!H20*C89</f>
        <v>0</v>
      </c>
      <c r="F89" s="68">
        <f>'GHG Manure'!E50*INPUTS!I20*D89</f>
        <v>0</v>
      </c>
      <c r="G89" s="61" t="str">
        <f>IFERROR('GHG Manure'!G67*INPUTS!H20*C89,"")</f>
        <v/>
      </c>
      <c r="H89" s="61">
        <f>IFERROR(IFERROR('GHG Manure'!G67*INPUTS!I20*D89,"")/INPUTS!D20,0)</f>
        <v>0</v>
      </c>
      <c r="I89" s="68">
        <f>SUM(E89:F89)*(44/28)*INPUTS!D20</f>
        <v>0</v>
      </c>
      <c r="J89" s="66">
        <f>SUM(G89:H89)*(44/28)*INPUTS!D20</f>
        <v>0</v>
      </c>
    </row>
    <row r="90" spans="1:13">
      <c r="B90" s="158" t="str">
        <f>INPUTS!C21</f>
        <v>Steers/heifers</v>
      </c>
      <c r="C90" s="133">
        <f>VLOOKUP(C$86,'GHG Parameters'!A$118:B$120, 2,FALSE)</f>
        <v>5.0000000000000001E-3</v>
      </c>
      <c r="D90" s="133">
        <f>VLOOKUP(D$86,'GHG Parameters'!A$118:B$120,2,FALSE)</f>
        <v>0.02</v>
      </c>
      <c r="E90" s="68">
        <f>'GHG Manure'!E51*INPUTS!H21*C90</f>
        <v>0</v>
      </c>
      <c r="F90" s="68">
        <f>'GHG Manure'!E51*INPUTS!I21*D90</f>
        <v>0</v>
      </c>
      <c r="G90" s="61" t="str">
        <f>IFERROR('GHG Manure'!G68*INPUTS!H21*C90,"")</f>
        <v/>
      </c>
      <c r="H90" s="61">
        <f>IFERROR(IFERROR('GHG Manure'!G68*INPUTS!I21*D90,"")/INPUTS!D21,0)</f>
        <v>0</v>
      </c>
      <c r="I90" s="68">
        <f>SUM(E90:F90)*(44/28)*INPUTS!D21</f>
        <v>0</v>
      </c>
      <c r="J90" s="66">
        <f>SUM(G90:H90)*(44/28)*INPUTS!D21</f>
        <v>0</v>
      </c>
    </row>
    <row r="91" spans="1:13">
      <c r="B91" s="158" t="str">
        <f>INPUTS!C22</f>
        <v>Calves</v>
      </c>
      <c r="C91" s="133">
        <f>VLOOKUP(C$86,'GHG Parameters'!A$118:B$120, 2,FALSE)</f>
        <v>5.0000000000000001E-3</v>
      </c>
      <c r="D91" s="133">
        <f>VLOOKUP(D$86,'GHG Parameters'!A$118:B$120,2,FALSE)</f>
        <v>0.02</v>
      </c>
      <c r="E91" s="68">
        <f>'GHG Manure'!E52*INPUTS!H22*C91</f>
        <v>0</v>
      </c>
      <c r="F91" s="68">
        <f>'GHG Manure'!E52*INPUTS!I22*D91</f>
        <v>0</v>
      </c>
      <c r="G91" s="61" t="str">
        <f>IFERROR('GHG Manure'!G69*INPUTS!H22*C91,"")</f>
        <v/>
      </c>
      <c r="H91" s="61">
        <f>IFERROR(IFERROR('GHG Manure'!G69*INPUTS!I22*D91,"")/INPUTS!D22,0)</f>
        <v>0</v>
      </c>
      <c r="I91" s="68">
        <f>SUM(E91:F91)*(44/28)*INPUTS!D22</f>
        <v>0</v>
      </c>
      <c r="J91" s="66">
        <f>SUM(G91:H91)*(44/28)*INPUTS!D22</f>
        <v>0</v>
      </c>
    </row>
    <row r="92" spans="1:13" ht="31.5">
      <c r="B92" s="158" t="str">
        <f>INPUTS!C23</f>
        <v>Steers/heifers improved</v>
      </c>
      <c r="C92" s="133">
        <f>VLOOKUP(C$86,'GHG Parameters'!A$118:B$120, 2,FALSE)</f>
        <v>5.0000000000000001E-3</v>
      </c>
      <c r="D92" s="133">
        <f>VLOOKUP(D$86,'GHG Parameters'!A$118:B$120,2,FALSE)</f>
        <v>0.02</v>
      </c>
      <c r="E92" s="68">
        <f>'GHG Manure'!E53*INPUTS!H23*C92</f>
        <v>0.33342750000000004</v>
      </c>
      <c r="F92" s="68">
        <f>'GHG Manure'!E53*INPUTS!I23*D92</f>
        <v>0</v>
      </c>
      <c r="G92" s="61">
        <f>IFERROR('GHG Manure'!G70*INPUTS!H23*C92,"")</f>
        <v>0.53186829641467581</v>
      </c>
      <c r="H92" s="61">
        <f>IFERROR(IFERROR('GHG Manure'!G70*INPUTS!I23*D92,"")/INPUTS!D23,0)</f>
        <v>0</v>
      </c>
      <c r="I92" s="68">
        <f>SUM(E92:F92)*(44/28)*INPUTS!D23</f>
        <v>1.5718725000000002</v>
      </c>
      <c r="J92" s="66">
        <f>SUM(G92:H92)*(44/28)*INPUTS!D23</f>
        <v>2.5073791116691861</v>
      </c>
    </row>
    <row r="93" spans="1:13">
      <c r="B93" s="158" t="str">
        <f>INPUTS!C24</f>
        <v>Calves improved</v>
      </c>
      <c r="C93" s="133">
        <f>VLOOKUP(C$86,'GHG Parameters'!A$118:B$120, 2,FALSE)</f>
        <v>5.0000000000000001E-3</v>
      </c>
      <c r="D93" s="133">
        <f>VLOOKUP(D$86,'GHG Parameters'!A$118:B$120,2,FALSE)</f>
        <v>0.02</v>
      </c>
      <c r="E93" s="68">
        <f>'GHG Manure'!E54*INPUTS!H24*C93</f>
        <v>0</v>
      </c>
      <c r="F93" s="68">
        <f>'GHG Manure'!E54*INPUTS!I24*D93</f>
        <v>0</v>
      </c>
      <c r="G93" s="61" t="str">
        <f>IFERROR('GHG Manure'!G71*INPUTS!H24*C93,"")</f>
        <v/>
      </c>
      <c r="H93" s="61">
        <f>IFERROR(IFERROR('GHG Manure'!G71*INPUTS!I24*D93,"")/INPUTS!D24,0)</f>
        <v>0</v>
      </c>
      <c r="I93" s="68">
        <f>SUM(E93:F93)*(44/28)*INPUTS!D24</f>
        <v>0</v>
      </c>
      <c r="J93" s="66">
        <f>SUM(G93:H93)*(44/28)*INPUTS!D24</f>
        <v>0</v>
      </c>
    </row>
    <row r="94" spans="1:13">
      <c r="B94" s="158" t="str">
        <f>INPUTS!C25</f>
        <v>Sheep</v>
      </c>
      <c r="C94" s="133">
        <f>VLOOKUP(C$86,'GHG Parameters'!A$118:B$120, 2,FALSE)</f>
        <v>5.0000000000000001E-3</v>
      </c>
      <c r="D94" s="133">
        <f>VLOOKUP(D$86,'GHG Parameters'!A$118:B$120,2,FALSE)</f>
        <v>0.02</v>
      </c>
      <c r="E94" s="68">
        <f>'GHG Manure'!E55*INPUTS!H25*C94</f>
        <v>0</v>
      </c>
      <c r="F94" s="68">
        <f>'GHG Manure'!E55*INPUTS!I25*D94</f>
        <v>0</v>
      </c>
      <c r="G94" s="61" t="str">
        <f>IFERROR('GHG Manure'!G72*INPUTS!H25*C94,"")</f>
        <v/>
      </c>
      <c r="H94" s="61">
        <f>IFERROR(IFERROR('GHG Manure'!G72*INPUTS!I25*D94,"")/INPUTS!D25,0)</f>
        <v>0</v>
      </c>
      <c r="I94" s="68">
        <f>SUM(E94:F94)*(44/28)*INPUTS!D25</f>
        <v>0</v>
      </c>
      <c r="J94" s="66">
        <f>SUM(G94:H94)*(44/28)*INPUTS!D25</f>
        <v>0</v>
      </c>
    </row>
    <row r="95" spans="1:13">
      <c r="B95" s="158" t="str">
        <f>INPUTS!C26</f>
        <v>Goats</v>
      </c>
      <c r="C95" s="133">
        <f>VLOOKUP(C$86,'GHG Parameters'!A$118:B$120, 2,FALSE)</f>
        <v>5.0000000000000001E-3</v>
      </c>
      <c r="D95" s="133">
        <f>VLOOKUP(D$86,'GHG Parameters'!A$118:B$120,2,FALSE)</f>
        <v>0.02</v>
      </c>
      <c r="E95" s="68">
        <f>'GHG Manure'!E56*INPUTS!H26*C95</f>
        <v>0</v>
      </c>
      <c r="F95" s="68">
        <f>'GHG Manure'!E56*INPUTS!I26*D95</f>
        <v>0</v>
      </c>
      <c r="G95" s="61" t="str">
        <f>IFERROR('GHG Manure'!G73*INPUTS!H26*C95,"")</f>
        <v/>
      </c>
      <c r="H95" s="61">
        <f>IFERROR(IFERROR('GHG Manure'!G73*INPUTS!I26*D95,"")/INPUTS!D26,0)</f>
        <v>0</v>
      </c>
      <c r="I95" s="68">
        <f>SUM(E95:F95)*(44/28)*INPUTS!D26</f>
        <v>0</v>
      </c>
      <c r="J95" s="66">
        <f>SUM(G95:H95)*(44/28)*INPUTS!D26</f>
        <v>0</v>
      </c>
    </row>
    <row r="96" spans="1:13">
      <c r="H96" s="50" t="s">
        <v>130</v>
      </c>
      <c r="I96" s="61">
        <f>SUM(I87:I95)</f>
        <v>2.8830567857142859</v>
      </c>
      <c r="J96" s="66">
        <f>SUM(J87:J95)</f>
        <v>3.7903339797978317</v>
      </c>
    </row>
    <row r="99" spans="1:13">
      <c r="A99" s="5" t="s">
        <v>437</v>
      </c>
    </row>
    <row r="100" spans="1:13">
      <c r="B100" s="23"/>
      <c r="C100" s="23"/>
      <c r="D100" s="23"/>
      <c r="E100" s="23"/>
      <c r="F100" s="23"/>
      <c r="G100" s="23"/>
      <c r="H100" s="23"/>
      <c r="I100" s="23" t="s">
        <v>436</v>
      </c>
      <c r="J100" s="23" t="s">
        <v>436</v>
      </c>
      <c r="K100" s="23"/>
      <c r="L100" s="23" t="s">
        <v>435</v>
      </c>
      <c r="M100" s="67" t="s">
        <v>435</v>
      </c>
    </row>
    <row r="101" spans="1:13" ht="47.25" customHeight="1">
      <c r="A101" s="10"/>
      <c r="B101" s="1597" t="s">
        <v>266</v>
      </c>
      <c r="C101" s="1573" t="s">
        <v>431</v>
      </c>
      <c r="D101" s="1441"/>
      <c r="E101" s="1414" t="s">
        <v>432</v>
      </c>
      <c r="F101" s="1416"/>
      <c r="G101" s="1414" t="s">
        <v>432</v>
      </c>
      <c r="H101" s="1416"/>
      <c r="I101" s="56" t="s">
        <v>430</v>
      </c>
      <c r="J101" s="56" t="s">
        <v>430</v>
      </c>
      <c r="K101" s="58" t="s">
        <v>416</v>
      </c>
      <c r="L101" s="24" t="s">
        <v>433</v>
      </c>
      <c r="M101" s="31" t="s">
        <v>433</v>
      </c>
    </row>
    <row r="102" spans="1:13" ht="31.5">
      <c r="B102" s="1598"/>
      <c r="C102" s="1600" t="s">
        <v>369</v>
      </c>
      <c r="D102" s="1601"/>
      <c r="E102" s="1571" t="s">
        <v>415</v>
      </c>
      <c r="F102" s="1572"/>
      <c r="G102" s="1571" t="s">
        <v>415</v>
      </c>
      <c r="H102" s="1572"/>
      <c r="I102" s="56" t="s">
        <v>222</v>
      </c>
      <c r="J102" s="56" t="s">
        <v>222</v>
      </c>
      <c r="K102" s="52" t="s">
        <v>418</v>
      </c>
      <c r="L102" s="60" t="s">
        <v>419</v>
      </c>
      <c r="M102" s="60" t="s">
        <v>419</v>
      </c>
    </row>
    <row r="103" spans="1:13" ht="47.25">
      <c r="B103" s="1599"/>
      <c r="C103" s="1571" t="s">
        <v>131</v>
      </c>
      <c r="D103" s="1572"/>
      <c r="E103" s="1571" t="s">
        <v>425</v>
      </c>
      <c r="F103" s="1572"/>
      <c r="G103" s="1571" t="s">
        <v>426</v>
      </c>
      <c r="H103" s="1572"/>
      <c r="I103" s="56"/>
      <c r="J103" s="56"/>
      <c r="K103" s="59" t="s">
        <v>417</v>
      </c>
      <c r="L103" s="54" t="s">
        <v>420</v>
      </c>
      <c r="M103" s="54" t="s">
        <v>420</v>
      </c>
    </row>
    <row r="104" spans="1:13" s="10" customFormat="1" ht="78.75" customHeight="1">
      <c r="A104"/>
      <c r="B104" s="62" t="s">
        <v>396</v>
      </c>
      <c r="C104" s="165" t="str">
        <f>INPUTS!D29</f>
        <v>solid storage</v>
      </c>
      <c r="D104" s="165" t="str">
        <f>INPUTS!D30</f>
        <v xml:space="preserve">dry lot </v>
      </c>
      <c r="E104" s="52" t="str">
        <f>INPUTS!D29</f>
        <v>solid storage</v>
      </c>
      <c r="F104" s="52" t="str">
        <f>INPUTS!D30</f>
        <v xml:space="preserve">dry lot </v>
      </c>
      <c r="G104" s="52" t="str">
        <f>INPUTS!D29</f>
        <v>solid storage</v>
      </c>
      <c r="H104" s="52" t="str">
        <f>INPUTS!D30</f>
        <v xml:space="preserve">dry lot </v>
      </c>
      <c r="I104" s="56" t="s">
        <v>427</v>
      </c>
      <c r="J104" s="56" t="s">
        <v>428</v>
      </c>
      <c r="K104" s="59" t="s">
        <v>133</v>
      </c>
      <c r="L104" s="54" t="s">
        <v>429</v>
      </c>
      <c r="M104" s="54" t="s">
        <v>434</v>
      </c>
    </row>
    <row r="105" spans="1:13" ht="48" customHeight="1">
      <c r="B105" s="158" t="str">
        <f>INPUTS!C18</f>
        <v>Cows - local</v>
      </c>
      <c r="C105" s="164">
        <f>VLOOKUP($C$104,'GHG Parameters'!B50:C51,2,FALSE)</f>
        <v>0.3</v>
      </c>
      <c r="D105" s="164">
        <f>VLOOKUP($D$104,'GHG Parameters'!B50:C51,2,FALSE)</f>
        <v>0.2</v>
      </c>
      <c r="E105" s="53">
        <f>'GHG Manure'!E48*INPUTS!H18*C105</f>
        <v>0</v>
      </c>
      <c r="F105" s="53">
        <f>'GHG Manure'!E48*INPUTS!I18*D105</f>
        <v>0</v>
      </c>
      <c r="G105" s="53" t="str">
        <f>IFERROR((('GHG Manure'!G65*INPUTS!H18)*'GHG Manure'!C105),"")</f>
        <v/>
      </c>
      <c r="H105" s="53">
        <f>IFERROR(IFERROR('GHG Manure'!G65*INPUTS!I18*'GHG Manure'!D105,"")/INPUTS!D18,0)</f>
        <v>0</v>
      </c>
      <c r="I105" s="57">
        <f>(SUM(E105:F105))*INPUTS!D18</f>
        <v>0</v>
      </c>
      <c r="J105" s="57">
        <f>(SUM(G105:H105))*INPUTS!D18</f>
        <v>0</v>
      </c>
      <c r="K105" s="52">
        <f>'GHG Parameters'!D$132</f>
        <v>0.01</v>
      </c>
      <c r="L105" s="68">
        <f t="shared" ref="L105:L113" si="7">(I105*K105)*(44/28)</f>
        <v>0</v>
      </c>
      <c r="M105" s="55">
        <f>(J105*K105)*(44/28)</f>
        <v>0</v>
      </c>
    </row>
    <row r="106" spans="1:13" ht="30" customHeight="1">
      <c r="B106" s="158" t="str">
        <f>INPUTS!C19</f>
        <v>Cows - improved</v>
      </c>
      <c r="C106" s="164">
        <f>VLOOKUP($C$104,'GHG Parameters'!B51:C55,2,FALSE)</f>
        <v>0.3</v>
      </c>
      <c r="D106" s="164">
        <f>VLOOKUP(D104,'GHG Parameters'!B50:C51,2,FALSE)</f>
        <v>0.2</v>
      </c>
      <c r="E106" s="53">
        <f>'GHG Manure'!E49*INPUTS!H19*C106</f>
        <v>25.031699999999997</v>
      </c>
      <c r="F106" s="53">
        <f>'GHG Manure'!E49*INPUTS!I19*D106</f>
        <v>0</v>
      </c>
      <c r="G106" s="53">
        <f>IFERROR((('GHG Manure'!G66*INPUTS!H19)*'GHG Manure'!C106),"")</f>
        <v>24.49277475518323</v>
      </c>
      <c r="H106" s="53">
        <f>IFERROR(IFERROR('GHG Manure'!G66*INPUTS!I19*'GHG Manure'!D106,"")/INPUTS!D19,0)</f>
        <v>0</v>
      </c>
      <c r="I106" s="57">
        <f>(SUM(E106:F106))*INPUTS!D19</f>
        <v>50.063399999999994</v>
      </c>
      <c r="J106" s="57">
        <f>(SUM(G106:H106))*INPUTS!D19</f>
        <v>48.985549510366461</v>
      </c>
      <c r="K106" s="52">
        <f>'GHG Parameters'!D$132</f>
        <v>0.01</v>
      </c>
      <c r="L106" s="68">
        <f t="shared" si="7"/>
        <v>0.78671057142857126</v>
      </c>
      <c r="M106" s="55">
        <f t="shared" ref="M106:M113" si="8">(J106*K106)*(44/28)</f>
        <v>0.76977292087718718</v>
      </c>
    </row>
    <row r="107" spans="1:13">
      <c r="B107" s="158" t="str">
        <f>INPUTS!C20</f>
        <v>Adult cattle - male</v>
      </c>
      <c r="C107" s="164">
        <f>VLOOKUP($C$104,'GHG Parameters'!B56:C58,2,FALSE)</f>
        <v>0.45</v>
      </c>
      <c r="D107" s="164">
        <f>VLOOKUP($D$104,'GHG Parameters'!$B$56:$C$58,2,FALSE)</f>
        <v>0.3</v>
      </c>
      <c r="E107" s="53">
        <f>'GHG Manure'!E50*INPUTS!H20*C107</f>
        <v>0</v>
      </c>
      <c r="F107" s="53">
        <f>'GHG Manure'!E50*INPUTS!I20*D107</f>
        <v>0</v>
      </c>
      <c r="G107" s="53" t="str">
        <f>IFERROR((('GHG Manure'!G67*INPUTS!H20)*'GHG Manure'!C107),"")</f>
        <v/>
      </c>
      <c r="H107" s="53">
        <f>IFERROR(IFERROR('GHG Manure'!G67*INPUTS!I20*'GHG Manure'!D107,"")/INPUTS!D20,0)</f>
        <v>0</v>
      </c>
      <c r="I107" s="57">
        <f>(SUM(E107:F107))*INPUTS!D20</f>
        <v>0</v>
      </c>
      <c r="J107" s="57">
        <f>(SUM(G107:H107))*INPUTS!D20</f>
        <v>0</v>
      </c>
      <c r="K107" s="52">
        <f>'GHG Parameters'!D$132</f>
        <v>0.01</v>
      </c>
      <c r="L107" s="68">
        <f t="shared" si="7"/>
        <v>0</v>
      </c>
      <c r="M107" s="55">
        <f t="shared" si="8"/>
        <v>0</v>
      </c>
    </row>
    <row r="108" spans="1:13">
      <c r="B108" s="158" t="str">
        <f>INPUTS!C21</f>
        <v>Steers/heifers</v>
      </c>
      <c r="C108" s="164">
        <f>VLOOKUP($C$104,'GHG Parameters'!B56:C57,2,FALSE)</f>
        <v>0.45</v>
      </c>
      <c r="D108" s="164">
        <f>VLOOKUP($D$104,'GHG Parameters'!$B$56:$C$58,2,FALSE)</f>
        <v>0.3</v>
      </c>
      <c r="E108" s="53">
        <f>'GHG Manure'!E51*INPUTS!H21*C108</f>
        <v>0</v>
      </c>
      <c r="F108" s="53">
        <f>'GHG Manure'!E51*INPUTS!I21*D108</f>
        <v>0</v>
      </c>
      <c r="G108" s="53" t="str">
        <f>IFERROR((('GHG Manure'!G68*INPUTS!H21)*'GHG Manure'!C108),"")</f>
        <v/>
      </c>
      <c r="H108" s="53">
        <f>IFERROR(IFERROR('GHG Manure'!G68*INPUTS!I21*'GHG Manure'!D108,"")/INPUTS!D21,0)</f>
        <v>0</v>
      </c>
      <c r="I108" s="57">
        <f>(SUM(E108:F108))*INPUTS!D21</f>
        <v>0</v>
      </c>
      <c r="J108" s="57">
        <f>(SUM(G108:H108))*INPUTS!D21</f>
        <v>0</v>
      </c>
      <c r="K108" s="52">
        <f>'GHG Parameters'!D$132</f>
        <v>0.01</v>
      </c>
      <c r="L108" s="68">
        <f t="shared" si="7"/>
        <v>0</v>
      </c>
      <c r="M108" s="55">
        <f>(J108*K108)*(44/28)</f>
        <v>0</v>
      </c>
    </row>
    <row r="109" spans="1:13">
      <c r="B109" s="158" t="str">
        <f>INPUTS!C22</f>
        <v>Calves</v>
      </c>
      <c r="C109" s="164">
        <f>VLOOKUP(C104,'GHG Parameters'!B56:C57,2,FALSE)</f>
        <v>0.45</v>
      </c>
      <c r="D109" s="164">
        <f>VLOOKUP($D$104,'GHG Parameters'!$B$56:$C$58,2,FALSE)</f>
        <v>0.3</v>
      </c>
      <c r="E109" s="53">
        <f>'GHG Manure'!E52*INPUTS!H22*C109</f>
        <v>0</v>
      </c>
      <c r="F109" s="53">
        <f>'GHG Manure'!E52*INPUTS!I22*D109</f>
        <v>0</v>
      </c>
      <c r="G109" s="53" t="str">
        <f>IFERROR((('GHG Manure'!G69*INPUTS!H22)*'GHG Manure'!C109),"")</f>
        <v/>
      </c>
      <c r="H109" s="53">
        <f>IFERROR(IFERROR('GHG Manure'!G69*INPUTS!I22*'GHG Manure'!D109,"")/INPUTS!D22,0)</f>
        <v>0</v>
      </c>
      <c r="I109" s="57">
        <f>(SUM(E109:F109))*INPUTS!D22</f>
        <v>0</v>
      </c>
      <c r="J109" s="57">
        <f>(SUM(G109:H109))*INPUTS!D22</f>
        <v>0</v>
      </c>
      <c r="K109" s="52">
        <f>'GHG Parameters'!D$132</f>
        <v>0.01</v>
      </c>
      <c r="L109" s="68">
        <f t="shared" si="7"/>
        <v>0</v>
      </c>
      <c r="M109" s="55">
        <f t="shared" si="8"/>
        <v>0</v>
      </c>
    </row>
    <row r="110" spans="1:13" ht="31.5">
      <c r="B110" s="158" t="str">
        <f>INPUTS!C23</f>
        <v>Steers/heifers improved</v>
      </c>
      <c r="C110" s="164">
        <f>VLOOKUP(C104,'GHG Parameters'!B56:C57,2,FALSE)</f>
        <v>0.45</v>
      </c>
      <c r="D110" s="164">
        <f>VLOOKUP($D$104,'GHG Parameters'!$B$56:$C$58,2,FALSE)</f>
        <v>0.3</v>
      </c>
      <c r="E110" s="53">
        <f>'GHG Manure'!E53*INPUTS!H23*C110</f>
        <v>30.008475000000004</v>
      </c>
      <c r="F110" s="53">
        <f>'GHG Manure'!E53*INPUTS!I23*D110</f>
        <v>0</v>
      </c>
      <c r="G110" s="53">
        <f>IFERROR((('GHG Manure'!G70*INPUTS!H23)*'GHG Manure'!C110),"")</f>
        <v>47.868146677320816</v>
      </c>
      <c r="H110" s="53">
        <f>IFERROR(IFERROR('GHG Manure'!G70*INPUTS!I23*'GHG Manure'!D110,"")/INPUTS!D23,0)</f>
        <v>0</v>
      </c>
      <c r="I110" s="57">
        <f>(SUM(E110:F110))*INPUTS!D23</f>
        <v>90.025425000000013</v>
      </c>
      <c r="J110" s="57">
        <f>(SUM(G110:H110))*INPUTS!D23</f>
        <v>143.60444003196244</v>
      </c>
      <c r="K110" s="52">
        <f>'GHG Parameters'!D$132</f>
        <v>0.01</v>
      </c>
      <c r="L110" s="68">
        <f t="shared" si="7"/>
        <v>1.4146852500000002</v>
      </c>
      <c r="M110" s="55">
        <f>(J110*K110)*(44/28)</f>
        <v>2.2566412005022669</v>
      </c>
    </row>
    <row r="111" spans="1:13">
      <c r="B111" s="158" t="str">
        <f>INPUTS!C24</f>
        <v>Calves improved</v>
      </c>
      <c r="C111" s="164">
        <f>VLOOKUP(C104,'GHG Parameters'!B56:C57,2,FALSE)</f>
        <v>0.45</v>
      </c>
      <c r="D111" s="164">
        <f>VLOOKUP($D$104,'GHG Parameters'!$B$56:$C$58,2,FALSE)</f>
        <v>0.3</v>
      </c>
      <c r="E111" s="53">
        <f>'GHG Manure'!E54*INPUTS!H24*C111</f>
        <v>0</v>
      </c>
      <c r="F111" s="53">
        <f>'GHG Manure'!E54*INPUTS!I24*D111</f>
        <v>0</v>
      </c>
      <c r="G111" s="53" t="str">
        <f>IFERROR((('GHG Manure'!G71*INPUTS!H24)*'GHG Manure'!C111),"")</f>
        <v/>
      </c>
      <c r="H111" s="53">
        <f>IFERROR(IFERROR('GHG Manure'!G71*INPUTS!I24*'GHG Manure'!D111,"")/INPUTS!D24,0)</f>
        <v>0</v>
      </c>
      <c r="I111" s="57">
        <f>(SUM(E111:F111))*INPUTS!D24</f>
        <v>0</v>
      </c>
      <c r="J111" s="57">
        <f>(SUM(G111:H111))*INPUTS!D24</f>
        <v>0</v>
      </c>
      <c r="K111" s="52">
        <f>'GHG Parameters'!D$132</f>
        <v>0.01</v>
      </c>
      <c r="L111" s="68">
        <f t="shared" si="7"/>
        <v>0</v>
      </c>
      <c r="M111" s="55">
        <f t="shared" si="8"/>
        <v>0</v>
      </c>
    </row>
    <row r="112" spans="1:13">
      <c r="B112" s="158" t="str">
        <f>INPUTS!C25</f>
        <v>Sheep</v>
      </c>
      <c r="C112" s="164">
        <v>0.12</v>
      </c>
      <c r="D112" s="164">
        <v>0.12</v>
      </c>
      <c r="E112" s="53">
        <f>'GHG Manure'!E55*INPUTS!H25*C112</f>
        <v>0</v>
      </c>
      <c r="F112" s="53">
        <f>'GHG Manure'!E55*INPUTS!I25*D112</f>
        <v>0</v>
      </c>
      <c r="G112" s="53" t="str">
        <f>IFERROR((('GHG Manure'!G72*INPUTS!H25)*'GHG Manure'!C112),"")</f>
        <v/>
      </c>
      <c r="H112" s="53">
        <f>IFERROR(IFERROR('GHG Manure'!G72*INPUTS!I25*'GHG Manure'!D112,"")/INPUTS!D25,0)</f>
        <v>0</v>
      </c>
      <c r="I112" s="57">
        <f>(SUM(E112:F112))*INPUTS!D25</f>
        <v>0</v>
      </c>
      <c r="J112" s="57">
        <f>(SUM(G112:H112))*INPUTS!D25</f>
        <v>0</v>
      </c>
      <c r="K112" s="52"/>
      <c r="L112" s="68">
        <f t="shared" si="7"/>
        <v>0</v>
      </c>
      <c r="M112" s="55"/>
    </row>
    <row r="113" spans="1:13">
      <c r="B113" s="158" t="str">
        <f>INPUTS!C26</f>
        <v>Goats</v>
      </c>
      <c r="C113" s="164">
        <v>0.12</v>
      </c>
      <c r="D113" s="164">
        <v>0.12</v>
      </c>
      <c r="E113" s="53">
        <f>'GHG Manure'!E56*INPUTS!H26*C113</f>
        <v>0</v>
      </c>
      <c r="F113" s="53">
        <f>'GHG Manure'!E56*INPUTS!I26*D113</f>
        <v>0</v>
      </c>
      <c r="G113" s="53" t="str">
        <f>IFERROR((('GHG Manure'!G73*INPUTS!H26)*'GHG Manure'!C113),"")</f>
        <v/>
      </c>
      <c r="H113" s="53">
        <f>IFERROR(IFERROR('GHG Manure'!G73*INPUTS!I26*'GHG Manure'!D113,"")/INPUTS!D26,0)</f>
        <v>0</v>
      </c>
      <c r="I113" s="57">
        <f>(SUM(E113:F113))*INPUTS!D26</f>
        <v>0</v>
      </c>
      <c r="J113" s="57">
        <f>(SUM(G113:H113))*INPUTS!D26</f>
        <v>0</v>
      </c>
      <c r="K113" s="52">
        <f>'GHG Parameters'!D$132</f>
        <v>0.01</v>
      </c>
      <c r="L113" s="68">
        <f t="shared" si="7"/>
        <v>0</v>
      </c>
      <c r="M113" s="55">
        <f t="shared" si="8"/>
        <v>0</v>
      </c>
    </row>
    <row r="114" spans="1:13">
      <c r="B114" s="1594" t="s">
        <v>132</v>
      </c>
      <c r="C114" s="1595"/>
      <c r="D114" s="1595"/>
      <c r="E114" s="1595"/>
      <c r="F114" s="1595"/>
      <c r="G114" s="1595"/>
      <c r="H114" s="1596"/>
      <c r="I114" s="68">
        <f>SUM(I105:I113)</f>
        <v>140.08882500000001</v>
      </c>
      <c r="J114" s="57">
        <f>SUM(J105:J113)</f>
        <v>192.58998954232891</v>
      </c>
      <c r="K114" s="62" t="s">
        <v>130</v>
      </c>
      <c r="L114" s="53">
        <f>SUM(L105:L113)</f>
        <v>2.2013958214285716</v>
      </c>
      <c r="M114" s="55">
        <f>SUM(M105:M113)</f>
        <v>3.026414121379454</v>
      </c>
    </row>
    <row r="115" spans="1:13">
      <c r="B115" s="1072"/>
      <c r="C115" s="1072"/>
      <c r="D115" s="1072"/>
      <c r="E115" s="1072"/>
      <c r="F115" s="1072"/>
      <c r="G115" s="1072"/>
      <c r="H115" s="1072"/>
      <c r="I115" s="63"/>
    </row>
    <row r="116" spans="1:13">
      <c r="A116" s="37" t="s">
        <v>529</v>
      </c>
    </row>
    <row r="117" spans="1:13" ht="47.25">
      <c r="A117" t="s">
        <v>622</v>
      </c>
      <c r="J117" s="26" t="s">
        <v>511</v>
      </c>
      <c r="K117" s="10" t="s">
        <v>512</v>
      </c>
      <c r="L117" s="10"/>
      <c r="M117" s="10"/>
    </row>
    <row r="118" spans="1:13" ht="63">
      <c r="A118" s="1547" t="s">
        <v>506</v>
      </c>
      <c r="B118" s="46" t="s">
        <v>508</v>
      </c>
      <c r="C118" s="46" t="s">
        <v>507</v>
      </c>
      <c r="D118" s="1550" t="s">
        <v>509</v>
      </c>
      <c r="E118" s="1552"/>
      <c r="F118" s="90" t="s">
        <v>938</v>
      </c>
      <c r="G118" s="90" t="s">
        <v>939</v>
      </c>
      <c r="H118" s="1550" t="s">
        <v>510</v>
      </c>
      <c r="I118" s="1552"/>
      <c r="J118" s="26" t="s">
        <v>241</v>
      </c>
      <c r="K118" s="10"/>
      <c r="L118" s="10"/>
      <c r="M118" s="10"/>
    </row>
    <row r="119" spans="1:13">
      <c r="A119" s="1549"/>
      <c r="B119" s="46" t="s">
        <v>298</v>
      </c>
      <c r="C119" s="26" t="s">
        <v>241</v>
      </c>
      <c r="D119" s="26" t="s">
        <v>241</v>
      </c>
      <c r="E119" s="26" t="s">
        <v>241</v>
      </c>
      <c r="F119" s="26" t="s">
        <v>241</v>
      </c>
      <c r="G119" s="26" t="s">
        <v>241</v>
      </c>
      <c r="H119" s="26" t="s">
        <v>241</v>
      </c>
      <c r="I119" s="26" t="s">
        <v>241</v>
      </c>
      <c r="J119" s="26" t="s">
        <v>523</v>
      </c>
      <c r="K119" s="10"/>
      <c r="L119" s="10"/>
      <c r="M119" s="10"/>
    </row>
    <row r="120" spans="1:13" ht="31.5">
      <c r="A120" s="1582" t="s">
        <v>151</v>
      </c>
      <c r="B120" s="1581"/>
      <c r="C120" s="1578" t="s">
        <v>513</v>
      </c>
      <c r="D120" s="1550" t="s">
        <v>514</v>
      </c>
      <c r="E120" s="1552"/>
      <c r="F120" s="26" t="s">
        <v>516</v>
      </c>
      <c r="G120" s="26" t="s">
        <v>516</v>
      </c>
      <c r="H120" s="26" t="s">
        <v>520</v>
      </c>
      <c r="I120" s="26" t="s">
        <v>521</v>
      </c>
      <c r="J120" s="26" t="s">
        <v>522</v>
      </c>
      <c r="K120" s="10"/>
      <c r="L120" s="10"/>
      <c r="M120" s="10"/>
    </row>
    <row r="121" spans="1:13" s="10" customFormat="1">
      <c r="A121" s="1583"/>
      <c r="B121" s="1581"/>
      <c r="C121" s="1580"/>
      <c r="D121" s="75" t="s">
        <v>830</v>
      </c>
      <c r="E121" s="22" t="s">
        <v>831</v>
      </c>
      <c r="F121" s="26" t="s">
        <v>515</v>
      </c>
      <c r="G121" s="26" t="s">
        <v>515</v>
      </c>
      <c r="H121" s="26" t="s">
        <v>519</v>
      </c>
      <c r="I121" s="26" t="s">
        <v>519</v>
      </c>
      <c r="J121" s="26" t="s">
        <v>524</v>
      </c>
    </row>
    <row r="122" spans="1:13" s="10" customFormat="1">
      <c r="A122" s="1584"/>
      <c r="B122" s="95" t="s">
        <v>505</v>
      </c>
      <c r="C122" s="26" t="s">
        <v>503</v>
      </c>
      <c r="D122" s="26" t="str">
        <f>INPUTS!D29</f>
        <v>solid storage</v>
      </c>
      <c r="E122" s="26" t="str">
        <f>INPUTS!D30</f>
        <v xml:space="preserve">dry lot </v>
      </c>
      <c r="F122" s="26" t="s">
        <v>407</v>
      </c>
      <c r="G122" s="26" t="s">
        <v>407</v>
      </c>
      <c r="H122" s="26" t="str">
        <f>INPUTS!D29</f>
        <v>solid storage</v>
      </c>
      <c r="I122" s="26" t="str">
        <f>INPUTS!D30</f>
        <v xml:space="preserve">dry lot </v>
      </c>
      <c r="J122" s="45">
        <f t="shared" ref="J122:J130" si="9">(H123+I123)-(I87*(28/44))</f>
        <v>0</v>
      </c>
      <c r="K122"/>
      <c r="L122"/>
      <c r="M122"/>
    </row>
    <row r="123" spans="1:13" s="10" customFormat="1">
      <c r="A123" s="158" t="str">
        <f>INPUTS!C18</f>
        <v>Cows - local</v>
      </c>
      <c r="B123" s="45">
        <f>'GHG Manure'!E48</f>
        <v>0</v>
      </c>
      <c r="C123" s="45">
        <f>B123*INPUTS!D18</f>
        <v>0</v>
      </c>
      <c r="D123" s="45">
        <f>C123*INPUTS!H18</f>
        <v>0</v>
      </c>
      <c r="E123" s="45">
        <f>C123*INPUTS!I18</f>
        <v>0</v>
      </c>
      <c r="F123" s="45">
        <f>(INPUTS!J18*C123)</f>
        <v>0</v>
      </c>
      <c r="G123" s="45">
        <f>(INPUTS!K18*C123)</f>
        <v>0</v>
      </c>
      <c r="H123" s="45">
        <f>(D123*(1-C105)) *INPUTS!M18*INPUTS!Q18</f>
        <v>0</v>
      </c>
      <c r="I123" s="45">
        <f>(E123*(1-D105))*INPUTS!N18*INPUTS!Q18</f>
        <v>0</v>
      </c>
      <c r="J123" s="45">
        <f t="shared" si="9"/>
        <v>104.29874999999998</v>
      </c>
      <c r="K123"/>
      <c r="L123"/>
      <c r="M123"/>
    </row>
    <row r="124" spans="1:13" s="10" customFormat="1">
      <c r="A124" s="158" t="str">
        <f>INPUTS!C19</f>
        <v>Cows - improved</v>
      </c>
      <c r="B124" s="45">
        <f>'GHG Manure'!E49</f>
        <v>83.438999999999993</v>
      </c>
      <c r="C124" s="45">
        <f>B124*INPUTS!D19</f>
        <v>166.87799999999999</v>
      </c>
      <c r="D124" s="45">
        <f>C124*INPUTS!H19</f>
        <v>166.87799999999999</v>
      </c>
      <c r="E124" s="45">
        <f>C124*INPUTS!I19</f>
        <v>0</v>
      </c>
      <c r="F124" s="45">
        <f>(INPUTS!J19*C124)</f>
        <v>0</v>
      </c>
      <c r="G124" s="45">
        <f>(INPUTS!K19*C124)</f>
        <v>0</v>
      </c>
      <c r="H124" s="45">
        <f>(D124*(1-C106)) *INPUTS!M19*INPUTS!Q19</f>
        <v>105.13313999999998</v>
      </c>
      <c r="I124" s="45">
        <f>(E124*(1-D106))*INPUTS!N19*INPUTS!Q19</f>
        <v>0</v>
      </c>
      <c r="J124" s="45">
        <f t="shared" si="9"/>
        <v>0</v>
      </c>
      <c r="K124"/>
      <c r="L124"/>
      <c r="M124"/>
    </row>
    <row r="125" spans="1:13" s="10" customFormat="1">
      <c r="A125" s="158" t="str">
        <f>INPUTS!C20</f>
        <v>Adult cattle - male</v>
      </c>
      <c r="B125" s="45">
        <f>'GHG Manure'!E50</f>
        <v>0</v>
      </c>
      <c r="C125" s="45">
        <f>B125*INPUTS!D20</f>
        <v>0</v>
      </c>
      <c r="D125" s="45">
        <f>C125*INPUTS!H20</f>
        <v>0</v>
      </c>
      <c r="E125" s="45">
        <f>C125*INPUTS!I20</f>
        <v>0</v>
      </c>
      <c r="F125" s="45">
        <f>(INPUTS!J20*C125)</f>
        <v>0</v>
      </c>
      <c r="G125" s="45">
        <f>(INPUTS!K20*C125)</f>
        <v>0</v>
      </c>
      <c r="H125" s="45">
        <f>(D125*(1-C107)) *INPUTS!M20*INPUTS!Q20</f>
        <v>0</v>
      </c>
      <c r="I125" s="45">
        <f>(E125*(1-D107))*INPUTS!N20*INPUTS!Q20</f>
        <v>0</v>
      </c>
      <c r="J125" s="45">
        <f t="shared" si="9"/>
        <v>0</v>
      </c>
      <c r="K125"/>
      <c r="L125"/>
      <c r="M125"/>
    </row>
    <row r="126" spans="1:13">
      <c r="A126" s="158" t="str">
        <f>INPUTS!C21</f>
        <v>Steers/heifers</v>
      </c>
      <c r="B126" s="45">
        <f>'GHG Manure'!E51</f>
        <v>0</v>
      </c>
      <c r="C126" s="45">
        <f>B126*INPUTS!D21</f>
        <v>0</v>
      </c>
      <c r="D126" s="45">
        <f>C126*INPUTS!H21</f>
        <v>0</v>
      </c>
      <c r="E126" s="45">
        <f>C126*INPUTS!I21</f>
        <v>0</v>
      </c>
      <c r="F126" s="45">
        <f>(INPUTS!J21*C126)</f>
        <v>0</v>
      </c>
      <c r="G126" s="45">
        <f>(INPUTS!K21*C126)</f>
        <v>0</v>
      </c>
      <c r="H126" s="45">
        <f>(D126*(1-C108)) *INPUTS!M21*INPUTS!Q21</f>
        <v>0</v>
      </c>
      <c r="I126" s="45">
        <f>(E126*(1-D108))*INPUTS!N21*INPUTS!Q21</f>
        <v>0</v>
      </c>
      <c r="J126" s="45">
        <f t="shared" si="9"/>
        <v>0</v>
      </c>
    </row>
    <row r="127" spans="1:13">
      <c r="A127" s="158" t="str">
        <f>INPUTS!C22</f>
        <v>Calves</v>
      </c>
      <c r="B127" s="45">
        <f>'GHG Manure'!E52</f>
        <v>0</v>
      </c>
      <c r="C127" s="45">
        <f>B127*INPUTS!D22</f>
        <v>0</v>
      </c>
      <c r="D127" s="45">
        <f>C127*INPUTS!H22</f>
        <v>0</v>
      </c>
      <c r="E127" s="45">
        <f>C127*INPUTS!I22</f>
        <v>0</v>
      </c>
      <c r="F127" s="45">
        <f>(INPUTS!J22*C127)</f>
        <v>0</v>
      </c>
      <c r="G127" s="45">
        <f>(INPUTS!K22*C127)</f>
        <v>0</v>
      </c>
      <c r="H127" s="45">
        <f>(D127*(1-C109)) *INPUTS!M22*INPUTS!Q22</f>
        <v>0</v>
      </c>
      <c r="I127" s="45">
        <f>(E127*(1-D109))*INPUTS!N22*INPUTS!Q22</f>
        <v>0</v>
      </c>
      <c r="J127" s="45">
        <f t="shared" si="9"/>
        <v>98.027685000000034</v>
      </c>
    </row>
    <row r="128" spans="1:13" ht="31.5">
      <c r="A128" s="158" t="str">
        <f>INPUTS!C23</f>
        <v>Steers/heifers improved</v>
      </c>
      <c r="B128" s="45">
        <f>'GHG Manure'!E53</f>
        <v>66.685500000000005</v>
      </c>
      <c r="C128" s="45">
        <f>B128*INPUTS!D23</f>
        <v>200.05650000000003</v>
      </c>
      <c r="D128" s="45">
        <f>C128*INPUTS!H23</f>
        <v>200.05650000000003</v>
      </c>
      <c r="E128" s="45">
        <f>C128*INPUTS!I23</f>
        <v>0</v>
      </c>
      <c r="F128" s="45">
        <f>(INPUTS!J23*C128)</f>
        <v>0</v>
      </c>
      <c r="G128" s="45">
        <f>(INPUTS!K23*C128)</f>
        <v>0</v>
      </c>
      <c r="H128" s="45">
        <f>(D128*(1-C110)) *INPUTS!M23*INPUTS!Q23</f>
        <v>99.027967500000031</v>
      </c>
      <c r="I128" s="45">
        <f>(E128*(1-D110))*INPUTS!N23*INPUTS!Q23</f>
        <v>0</v>
      </c>
      <c r="J128" s="45">
        <f t="shared" si="9"/>
        <v>0</v>
      </c>
    </row>
    <row r="129" spans="1:13">
      <c r="A129" s="158" t="str">
        <f>INPUTS!C24</f>
        <v>Calves improved</v>
      </c>
      <c r="B129" s="45">
        <f>'GHG Manure'!E54</f>
        <v>0</v>
      </c>
      <c r="C129" s="45">
        <f>B129*INPUTS!D24</f>
        <v>0</v>
      </c>
      <c r="D129" s="45">
        <f>C129*INPUTS!H24</f>
        <v>0</v>
      </c>
      <c r="E129" s="45">
        <f>C129*INPUTS!I24</f>
        <v>0</v>
      </c>
      <c r="F129" s="45">
        <f>(INPUTS!J24*C129)</f>
        <v>0</v>
      </c>
      <c r="G129" s="45">
        <f>(INPUTS!K24*C129)</f>
        <v>0</v>
      </c>
      <c r="H129" s="45">
        <f>(D129*(1-C111)) *INPUTS!M24*INPUTS!Q24</f>
        <v>0</v>
      </c>
      <c r="I129" s="45">
        <f>(E129*(1-D111))*INPUTS!N24*INPUTS!Q24</f>
        <v>0</v>
      </c>
      <c r="J129" s="45">
        <f t="shared" si="9"/>
        <v>0</v>
      </c>
    </row>
    <row r="130" spans="1:13">
      <c r="A130" s="158" t="str">
        <f>INPUTS!C25</f>
        <v>Sheep</v>
      </c>
      <c r="B130" s="45">
        <f>'GHG Manure'!E55</f>
        <v>0</v>
      </c>
      <c r="C130" s="45">
        <f>B130*INPUTS!D25</f>
        <v>0</v>
      </c>
      <c r="D130" s="45">
        <f>C130*INPUTS!H25</f>
        <v>0</v>
      </c>
      <c r="E130" s="45">
        <f>C130*INPUTS!I25</f>
        <v>0</v>
      </c>
      <c r="F130" s="45">
        <f>(INPUTS!J25*C130)</f>
        <v>0</v>
      </c>
      <c r="G130" s="45">
        <f>(INPUTS!K25*C130)</f>
        <v>0</v>
      </c>
      <c r="H130" s="45">
        <f>(D130*(1-C112)) *INPUTS!M25*INPUTS!Q25</f>
        <v>0</v>
      </c>
      <c r="I130" s="45">
        <f>(E130*(1-D112))*INPUTS!N25*INPUTS!Q25</f>
        <v>0</v>
      </c>
      <c r="J130" s="45">
        <f t="shared" si="9"/>
        <v>0</v>
      </c>
    </row>
    <row r="131" spans="1:13">
      <c r="A131" s="158" t="str">
        <f>INPUTS!C26</f>
        <v>Goats</v>
      </c>
      <c r="B131" s="45">
        <f>'GHG Manure'!E56</f>
        <v>0</v>
      </c>
      <c r="C131" s="45">
        <f>B131*INPUTS!D26</f>
        <v>0</v>
      </c>
      <c r="D131" s="45">
        <f>C131*INPUTS!H26</f>
        <v>0</v>
      </c>
      <c r="E131" s="45">
        <f>C131*INPUTS!I26</f>
        <v>0</v>
      </c>
      <c r="F131" s="45">
        <f>(INPUTS!J26*C131)</f>
        <v>0</v>
      </c>
      <c r="G131" s="45">
        <f>(INPUTS!K26*C131)</f>
        <v>0</v>
      </c>
      <c r="H131" s="45">
        <f>(D131*(1-C113)) *INPUTS!M26*INPUTS!Q26</f>
        <v>0</v>
      </c>
      <c r="I131" s="45">
        <f>(E131*(1-D113))*INPUTS!N26*INPUTS!Q26</f>
        <v>0</v>
      </c>
      <c r="J131" s="45">
        <f>SUM(J122:J130)</f>
        <v>202.326435</v>
      </c>
    </row>
    <row r="132" spans="1:13">
      <c r="A132" s="26" t="s">
        <v>261</v>
      </c>
      <c r="B132" s="77"/>
      <c r="C132" s="77"/>
      <c r="D132" s="77"/>
      <c r="E132" s="77"/>
      <c r="F132" s="45">
        <f>SUM(F123:F131)</f>
        <v>0</v>
      </c>
      <c r="G132" s="45">
        <f>SUM(G123:G131)</f>
        <v>0</v>
      </c>
      <c r="H132" s="77"/>
      <c r="I132" s="77"/>
    </row>
    <row r="135" spans="1:13">
      <c r="A135" s="37" t="s">
        <v>529</v>
      </c>
    </row>
    <row r="136" spans="1:13" ht="47.25">
      <c r="A136" t="s">
        <v>621</v>
      </c>
      <c r="J136" s="26" t="s">
        <v>649</v>
      </c>
      <c r="K136" s="10" t="s">
        <v>512</v>
      </c>
      <c r="L136" s="10"/>
      <c r="M136" s="10"/>
    </row>
    <row r="137" spans="1:13" ht="63">
      <c r="A137" s="1547" t="s">
        <v>506</v>
      </c>
      <c r="B137" s="46" t="s">
        <v>525</v>
      </c>
      <c r="C137" s="46" t="s">
        <v>526</v>
      </c>
      <c r="D137" s="1550" t="s">
        <v>509</v>
      </c>
      <c r="E137" s="1552"/>
      <c r="F137" s="90" t="s">
        <v>938</v>
      </c>
      <c r="G137" s="90" t="s">
        <v>939</v>
      </c>
      <c r="H137" s="1550" t="s">
        <v>510</v>
      </c>
      <c r="I137" s="1552"/>
      <c r="J137" s="26" t="s">
        <v>241</v>
      </c>
      <c r="K137" s="10"/>
      <c r="L137" s="10"/>
      <c r="M137" s="10"/>
    </row>
    <row r="138" spans="1:13">
      <c r="A138" s="1549"/>
      <c r="B138" s="46" t="s">
        <v>1382</v>
      </c>
      <c r="C138" s="26" t="s">
        <v>241</v>
      </c>
      <c r="D138" s="26" t="s">
        <v>241</v>
      </c>
      <c r="E138" s="26" t="s">
        <v>241</v>
      </c>
      <c r="F138" s="26" t="s">
        <v>241</v>
      </c>
      <c r="G138" s="26" t="s">
        <v>241</v>
      </c>
      <c r="H138" s="26" t="s">
        <v>241</v>
      </c>
      <c r="I138" s="26" t="s">
        <v>241</v>
      </c>
      <c r="J138" s="26" t="s">
        <v>523</v>
      </c>
      <c r="K138" s="10"/>
      <c r="L138" s="10"/>
      <c r="M138" s="10"/>
    </row>
    <row r="139" spans="1:13" ht="31.5">
      <c r="A139" s="1578" t="s">
        <v>151</v>
      </c>
      <c r="B139" s="1581" t="s">
        <v>528</v>
      </c>
      <c r="C139" s="1578" t="s">
        <v>527</v>
      </c>
      <c r="D139" s="1550" t="s">
        <v>514</v>
      </c>
      <c r="E139" s="1552"/>
      <c r="F139" s="26" t="s">
        <v>516</v>
      </c>
      <c r="G139" s="26" t="s">
        <v>516</v>
      </c>
      <c r="H139" s="26" t="s">
        <v>520</v>
      </c>
      <c r="I139" s="26" t="s">
        <v>521</v>
      </c>
      <c r="J139" s="26" t="s">
        <v>522</v>
      </c>
      <c r="K139" s="10"/>
      <c r="L139" s="10"/>
      <c r="M139" s="10"/>
    </row>
    <row r="140" spans="1:13" s="10" customFormat="1">
      <c r="A140" s="1579"/>
      <c r="B140" s="1581"/>
      <c r="C140" s="1580"/>
      <c r="D140" s="75" t="s">
        <v>517</v>
      </c>
      <c r="E140" s="22" t="s">
        <v>518</v>
      </c>
      <c r="F140" s="26" t="s">
        <v>515</v>
      </c>
      <c r="G140" s="26" t="s">
        <v>515</v>
      </c>
      <c r="H140" s="26" t="s">
        <v>519</v>
      </c>
      <c r="I140" s="26" t="s">
        <v>519</v>
      </c>
      <c r="J140" s="26" t="s">
        <v>524</v>
      </c>
    </row>
    <row r="141" spans="1:13" s="10" customFormat="1">
      <c r="A141" s="1580"/>
      <c r="B141" s="95" t="s">
        <v>504</v>
      </c>
      <c r="C141" s="26" t="s">
        <v>503</v>
      </c>
      <c r="D141" s="26" t="str">
        <f>INPUTS!D29</f>
        <v>solid storage</v>
      </c>
      <c r="E141" s="26" t="str">
        <f>INPUTS!D30</f>
        <v xml:space="preserve">dry lot </v>
      </c>
      <c r="F141" s="26" t="s">
        <v>407</v>
      </c>
      <c r="G141" s="26" t="s">
        <v>407</v>
      </c>
      <c r="H141" s="26" t="str">
        <f>INPUTS!D29</f>
        <v>solid storage</v>
      </c>
      <c r="I141" s="26" t="str">
        <f>INPUTS!D30</f>
        <v xml:space="preserve">dry lot </v>
      </c>
      <c r="J141" s="76" t="str">
        <f t="shared" ref="J141:J146" si="10">IFERROR(((H142+I142)-(J87*(28/44))),"")</f>
        <v/>
      </c>
    </row>
    <row r="142" spans="1:13" s="10" customFormat="1">
      <c r="A142" s="158" t="str">
        <f>INPUTS!C18</f>
        <v>Cows - local</v>
      </c>
      <c r="B142" s="53" t="str">
        <f>'GHG Manure'!G65</f>
        <v/>
      </c>
      <c r="C142" s="76" t="str">
        <f t="shared" ref="C142:C150" si="11">IFERROR(B142,"")</f>
        <v/>
      </c>
      <c r="D142" s="53" t="str">
        <f>IFERROR(C142*INPUTS!H18,"")</f>
        <v/>
      </c>
      <c r="E142" s="53" t="str">
        <f>IFERROR(C142*INPUTS!I18,"")</f>
        <v/>
      </c>
      <c r="F142" s="53" t="str">
        <f>IFERROR(INPUTS!J18*C142,"")</f>
        <v/>
      </c>
      <c r="G142" s="53" t="str">
        <f>IFERROR(INPUTS!K18*C142,"")</f>
        <v/>
      </c>
      <c r="H142" s="53" t="str">
        <f>IFERROR(((D142*(1-C105))*INPUTS!M18*INPUTS!Q18),"")</f>
        <v/>
      </c>
      <c r="I142" s="53" t="str">
        <f>IFERROR(((E142*(1-D105))*INPUTS!N18*INPUTS!Q18),"")</f>
        <v/>
      </c>
      <c r="J142" s="76">
        <f t="shared" si="10"/>
        <v>50.618401160712011</v>
      </c>
      <c r="K142"/>
      <c r="L142"/>
      <c r="M142"/>
    </row>
    <row r="143" spans="1:13" s="10" customFormat="1">
      <c r="A143" s="158" t="str">
        <f>INPUTS!C19</f>
        <v>Cows - improved</v>
      </c>
      <c r="B143" s="53">
        <f>'GHG Manure'!G66</f>
        <v>81.642582517277432</v>
      </c>
      <c r="C143" s="76">
        <f t="shared" si="11"/>
        <v>81.642582517277432</v>
      </c>
      <c r="D143" s="53">
        <f>IFERROR(C143*INPUTS!H19,"")</f>
        <v>81.642582517277432</v>
      </c>
      <c r="E143" s="53">
        <f>IFERROR(C143*INPUTS!I19,"")</f>
        <v>0</v>
      </c>
      <c r="F143" s="53">
        <f>IFERROR(INPUTS!J19*C143,"")</f>
        <v>0</v>
      </c>
      <c r="G143" s="53">
        <f>IFERROR(INPUTS!K19*C143,"")</f>
        <v>0</v>
      </c>
      <c r="H143" s="53">
        <f>IFERROR(((D143*(1-C106))*INPUTS!M19*INPUTS!Q19),"")</f>
        <v>51.434826985884783</v>
      </c>
      <c r="I143" s="53">
        <f>IFERROR(((E143*(1-D106))*INPUTS!N19*INPUTS!Q19),"")</f>
        <v>0</v>
      </c>
      <c r="J143" s="76" t="str">
        <f t="shared" si="10"/>
        <v/>
      </c>
      <c r="K143"/>
      <c r="L143"/>
      <c r="M143"/>
    </row>
    <row r="144" spans="1:13" s="10" customFormat="1">
      <c r="A144" s="158" t="str">
        <f>INPUTS!C20</f>
        <v>Adult cattle - male</v>
      </c>
      <c r="B144" s="53" t="str">
        <f>'GHG Manure'!G67</f>
        <v/>
      </c>
      <c r="C144" s="76" t="str">
        <f t="shared" si="11"/>
        <v/>
      </c>
      <c r="D144" s="53" t="str">
        <f>IFERROR(C144*INPUTS!H20,"")</f>
        <v/>
      </c>
      <c r="E144" s="53" t="str">
        <f>IFERROR(C144*INPUTS!I20,"")</f>
        <v/>
      </c>
      <c r="F144" s="53" t="str">
        <f>IFERROR(INPUTS!J20*C144,"")</f>
        <v/>
      </c>
      <c r="G144" s="53" t="str">
        <f>IFERROR(INPUTS!K20*C144,"")</f>
        <v/>
      </c>
      <c r="H144" s="53" t="str">
        <f>IFERROR(((D144*(1-C107))*INPUTS!M20*INPUTS!Q20),"")</f>
        <v/>
      </c>
      <c r="I144" s="53" t="str">
        <f>IFERROR(((E144*(1-D107))*INPUTS!N20*INPUTS!Q20),"")</f>
        <v/>
      </c>
      <c r="J144" s="76" t="str">
        <f t="shared" si="10"/>
        <v/>
      </c>
      <c r="K144"/>
      <c r="L144"/>
      <c r="M144"/>
    </row>
    <row r="145" spans="1:13" s="10" customFormat="1">
      <c r="A145" s="158" t="str">
        <f>INPUTS!C21</f>
        <v>Steers/heifers</v>
      </c>
      <c r="B145" s="53" t="str">
        <f>'GHG Manure'!G68</f>
        <v/>
      </c>
      <c r="C145" s="76" t="str">
        <f t="shared" si="11"/>
        <v/>
      </c>
      <c r="D145" s="53" t="str">
        <f>IFERROR(C145*INPUTS!H21,"")</f>
        <v/>
      </c>
      <c r="E145" s="53" t="str">
        <f>IFERROR(C145*INPUTS!I21,"")</f>
        <v/>
      </c>
      <c r="F145" s="53" t="str">
        <f>IFERROR(INPUTS!J21*C145,"")</f>
        <v/>
      </c>
      <c r="G145" s="53" t="str">
        <f>IFERROR(INPUTS!K21*C145,"")</f>
        <v/>
      </c>
      <c r="H145" s="53" t="str">
        <f>IFERROR(((D145*(1-C108))*INPUTS!M21*INPUTS!Q21),"")</f>
        <v/>
      </c>
      <c r="I145" s="53" t="str">
        <f>IFERROR(((E145*(1-D108))*INPUTS!N21*INPUTS!Q21),"")</f>
        <v/>
      </c>
      <c r="J145" s="76" t="str">
        <f t="shared" si="10"/>
        <v/>
      </c>
      <c r="K145" s="12" t="s">
        <v>422</v>
      </c>
      <c r="L145"/>
      <c r="M145"/>
    </row>
    <row r="146" spans="1:13">
      <c r="A146" s="158" t="str">
        <f>INPUTS!C22</f>
        <v>Calves</v>
      </c>
      <c r="B146" s="53" t="str">
        <f>'GHG Manure'!G69</f>
        <v/>
      </c>
      <c r="C146" s="76" t="str">
        <f t="shared" si="11"/>
        <v/>
      </c>
      <c r="D146" s="53" t="str">
        <f>IFERROR(C146*INPUTS!H22,"")</f>
        <v/>
      </c>
      <c r="E146" s="53" t="str">
        <f>IFERROR(C146*INPUTS!I22,"")</f>
        <v/>
      </c>
      <c r="F146" s="53" t="str">
        <f>IFERROR(INPUTS!J22*C146,"")</f>
        <v/>
      </c>
      <c r="G146" s="53" t="str">
        <f>IFERROR(INPUTS!K22*C146,"")</f>
        <v/>
      </c>
      <c r="H146" s="53" t="str">
        <f>IFERROR(((D146*(1-C109))*INPUTS!M22*INPUTS!Q22),"")</f>
        <v/>
      </c>
      <c r="I146" s="53" t="str">
        <f>IFERROR(((E146*(1-D109))*INPUTS!N22*INPUTS!Q22),"")</f>
        <v/>
      </c>
      <c r="J146" s="76">
        <f t="shared" si="10"/>
        <v>51.059356455808874</v>
      </c>
      <c r="K146" s="12"/>
    </row>
    <row r="147" spans="1:13" ht="31.5">
      <c r="A147" s="158" t="str">
        <f>INPUTS!C23</f>
        <v>Steers/heifers improved</v>
      </c>
      <c r="B147" s="53">
        <f>'GHG Manure'!G70</f>
        <v>106.37365928293515</v>
      </c>
      <c r="C147" s="76">
        <f t="shared" si="11"/>
        <v>106.37365928293515</v>
      </c>
      <c r="D147" s="53">
        <f>IFERROR(C147*INPUTS!H23,"")</f>
        <v>106.37365928293515</v>
      </c>
      <c r="E147" s="53">
        <f>IFERROR(C147*INPUTS!I23,"")</f>
        <v>0</v>
      </c>
      <c r="F147" s="53">
        <f>IFERROR(INPUTS!J23*C147,"")</f>
        <v>0</v>
      </c>
      <c r="G147" s="53">
        <f>IFERROR(INPUTS!K23*C147,"")</f>
        <v>0</v>
      </c>
      <c r="H147" s="53">
        <f>IFERROR(((D147*(1-C110))*INPUTS!M23*INPUTS!Q23),"")</f>
        <v>52.654961345052904</v>
      </c>
      <c r="I147" s="53">
        <f>IFERROR(((E147*(1-D110))*INPUTS!N23*INPUTS!Q23),"")</f>
        <v>0</v>
      </c>
      <c r="J147" s="76" t="str">
        <f>IFERROR(((#REF!+#REF!)-(J93*(28/44))),"")</f>
        <v/>
      </c>
      <c r="K147" s="181">
        <f>J128</f>
        <v>0</v>
      </c>
      <c r="L147" s="180"/>
      <c r="M147" s="180"/>
    </row>
    <row r="148" spans="1:13">
      <c r="A148" s="158" t="str">
        <f>INPUTS!C24</f>
        <v>Calves improved</v>
      </c>
      <c r="B148" s="53" t="str">
        <f>'GHG Manure'!G71</f>
        <v/>
      </c>
      <c r="C148" s="76" t="str">
        <f t="shared" si="11"/>
        <v/>
      </c>
      <c r="D148" s="53" t="str">
        <f>IFERROR(C148*INPUTS!H24,"")</f>
        <v/>
      </c>
      <c r="E148" s="53" t="str">
        <f>IFERROR(C148*INPUTS!I24,"")</f>
        <v/>
      </c>
      <c r="F148" s="53" t="str">
        <f>IFERROR(INPUTS!J24*C148,"")</f>
        <v/>
      </c>
      <c r="G148" s="53" t="str">
        <f>IFERROR(INPUTS!K24*C148,"")</f>
        <v/>
      </c>
      <c r="H148" s="53" t="str">
        <f>IFERROR(((D148*(1-C111))*INPUTS!M24*INPUTS!Q24),"")</f>
        <v/>
      </c>
      <c r="I148" s="53" t="str">
        <f>IFERROR(((E148*(1-D111))*INPUTS!N24*INPUTS!Q24),"")</f>
        <v/>
      </c>
      <c r="J148" s="76" t="str">
        <f>IFERROR(((#REF!+#REF!)-(J94*(28/44))),"")</f>
        <v/>
      </c>
      <c r="K148" s="181">
        <f>J129</f>
        <v>0</v>
      </c>
      <c r="L148" s="180"/>
      <c r="M148" s="180"/>
    </row>
    <row r="149" spans="1:13">
      <c r="A149" s="169" t="str">
        <f>INPUTS!C25</f>
        <v>Sheep</v>
      </c>
      <c r="B149" s="1081" t="str">
        <f>'GHG Manure'!G72</f>
        <v/>
      </c>
      <c r="C149" s="76" t="str">
        <f t="shared" si="11"/>
        <v/>
      </c>
      <c r="D149" s="53" t="str">
        <f>IFERROR(C149*INPUTS!H25,"")</f>
        <v/>
      </c>
      <c r="E149" s="53" t="str">
        <f>IFERROR(C149*INPUTS!I25,"")</f>
        <v/>
      </c>
      <c r="F149" s="53" t="str">
        <f>IFERROR(INPUTS!J25*C149,"")</f>
        <v/>
      </c>
      <c r="G149" s="53" t="str">
        <f>IFERROR(INPUTS!K25*C149,"")</f>
        <v/>
      </c>
      <c r="H149" s="53" t="str">
        <f>IFERROR(((D149*(1-C112))*INPUTS!M25*INPUTS!Q25),"")</f>
        <v/>
      </c>
      <c r="I149" s="53" t="str">
        <f>IFERROR(((E149*(1-D112))*INPUTS!N25*INPUTS!Q25),"")</f>
        <v/>
      </c>
      <c r="J149" s="76" t="str">
        <f>IFERROR(((#REF!+#REF!)-(J95*(28/44))),"")</f>
        <v/>
      </c>
      <c r="K149" s="181">
        <f>J130</f>
        <v>0</v>
      </c>
      <c r="L149" s="180"/>
      <c r="M149" s="180"/>
    </row>
    <row r="150" spans="1:13">
      <c r="A150" s="169" t="str">
        <f>INPUTS!C26</f>
        <v>Goats</v>
      </c>
      <c r="B150" s="53" t="str">
        <f>'GHG Manure'!G73</f>
        <v/>
      </c>
      <c r="C150" s="76" t="str">
        <f t="shared" si="11"/>
        <v/>
      </c>
      <c r="D150" s="53" t="str">
        <f>IFERROR(C150*INPUTS!H26,"")</f>
        <v/>
      </c>
      <c r="E150" s="53" t="str">
        <f>IFERROR(C150*INPUTS!I26,"")</f>
        <v/>
      </c>
      <c r="F150" s="53" t="str">
        <f>IFERROR(INPUTS!J26*C150,"")</f>
        <v/>
      </c>
      <c r="G150" s="53" t="str">
        <f>IFERROR(INPUTS!K26*C150,"")</f>
        <v/>
      </c>
      <c r="H150" s="53" t="str">
        <f>IFERROR(((D150*(1-C113))*INPUTS!M26*INPUTS!Q26),"")</f>
        <v/>
      </c>
      <c r="I150" s="53" t="str">
        <f>IFERROR(((E150*(1-D113))*INPUTS!N26*INPUTS!Q26),"")</f>
        <v/>
      </c>
      <c r="J150" s="69">
        <f>SUM(J141:J149)</f>
        <v>101.67775761652089</v>
      </c>
      <c r="K150" s="182">
        <f>SUM(J141:J145)+SUM(K147:K149)</f>
        <v>50.618401160712011</v>
      </c>
      <c r="L150" s="11"/>
      <c r="M150" s="11"/>
    </row>
    <row r="151" spans="1:13" s="180" customFormat="1">
      <c r="A151" s="79" t="s">
        <v>140</v>
      </c>
      <c r="B151" s="74">
        <f>SUM(C142:C150)</f>
        <v>188.01624180021258</v>
      </c>
      <c r="C151" s="79"/>
      <c r="D151" s="79"/>
      <c r="E151" s="78">
        <f>SUM(G142:G150)</f>
        <v>0</v>
      </c>
      <c r="F151" s="19"/>
      <c r="G151" s="19"/>
      <c r="H151" s="19"/>
      <c r="I151" s="19"/>
      <c r="J151"/>
      <c r="K151"/>
      <c r="L151"/>
      <c r="M151"/>
    </row>
    <row r="152" spans="1:13" s="180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s="180" customFormat="1">
      <c r="A153"/>
      <c r="B153"/>
      <c r="C153"/>
      <c r="D153"/>
      <c r="E153" s="176" t="s">
        <v>1689</v>
      </c>
      <c r="F153" s="1073">
        <f>SUM(G142:G148)</f>
        <v>0</v>
      </c>
      <c r="G153"/>
      <c r="H153"/>
      <c r="I153"/>
      <c r="J153"/>
      <c r="K153"/>
      <c r="L153"/>
      <c r="M153"/>
    </row>
    <row r="154" spans="1:13" s="11" customFormat="1">
      <c r="A154"/>
      <c r="B154"/>
      <c r="C154"/>
      <c r="D154"/>
      <c r="E154" s="176" t="s">
        <v>1356</v>
      </c>
      <c r="F154" s="1073">
        <f>SUM(G149:G150)</f>
        <v>0</v>
      </c>
      <c r="G154"/>
      <c r="H154"/>
      <c r="I154"/>
      <c r="J154"/>
      <c r="K154"/>
      <c r="L154"/>
      <c r="M154"/>
    </row>
    <row r="158" spans="1:13" ht="15.75" customHeight="1">
      <c r="A158" s="13"/>
      <c r="B158" s="1550" t="s">
        <v>516</v>
      </c>
      <c r="C158" s="1551"/>
      <c r="D158" s="1551"/>
      <c r="E158" s="1552"/>
    </row>
    <row r="159" spans="1:13">
      <c r="A159" s="13"/>
      <c r="B159" s="1590" t="s">
        <v>422</v>
      </c>
      <c r="C159" s="1590"/>
      <c r="D159" s="1590" t="s">
        <v>421</v>
      </c>
      <c r="E159" s="1590"/>
    </row>
    <row r="160" spans="1:13">
      <c r="A160" s="13" t="s">
        <v>934</v>
      </c>
      <c r="B160" s="13" t="s">
        <v>932</v>
      </c>
      <c r="C160" s="13" t="s">
        <v>933</v>
      </c>
      <c r="D160" s="13" t="s">
        <v>932</v>
      </c>
      <c r="E160" s="13" t="s">
        <v>933</v>
      </c>
    </row>
    <row r="161" spans="1:5">
      <c r="A161" s="13"/>
      <c r="B161" s="1073">
        <f>SUM(F123:F129)</f>
        <v>0</v>
      </c>
      <c r="C161" s="1073"/>
      <c r="D161" s="1073">
        <f>SUM(F142:F148)</f>
        <v>0</v>
      </c>
      <c r="E161" s="1073"/>
    </row>
    <row r="162" spans="1:5">
      <c r="A162" s="13" t="s">
        <v>931</v>
      </c>
      <c r="B162" s="1073">
        <f>SUM(F130,F131)</f>
        <v>0</v>
      </c>
      <c r="C162" s="1073">
        <f>SUM(G130,G131)</f>
        <v>0</v>
      </c>
      <c r="D162" s="1073">
        <f>SUM(F149,F150)</f>
        <v>0</v>
      </c>
      <c r="E162" s="1073">
        <f>SUM(G149,G150)</f>
        <v>0</v>
      </c>
    </row>
  </sheetData>
  <mergeCells count="55">
    <mergeCell ref="B158:E158"/>
    <mergeCell ref="B159:C159"/>
    <mergeCell ref="D159:E159"/>
    <mergeCell ref="C4:E4"/>
    <mergeCell ref="I22:K22"/>
    <mergeCell ref="I23:K23"/>
    <mergeCell ref="I25:K25"/>
    <mergeCell ref="B5:B7"/>
    <mergeCell ref="G103:H103"/>
    <mergeCell ref="B114:H114"/>
    <mergeCell ref="B101:B103"/>
    <mergeCell ref="E103:F103"/>
    <mergeCell ref="C103:D103"/>
    <mergeCell ref="C102:D102"/>
    <mergeCell ref="E102:F102"/>
    <mergeCell ref="E101:F101"/>
    <mergeCell ref="H137:I137"/>
    <mergeCell ref="A120:A122"/>
    <mergeCell ref="G102:H102"/>
    <mergeCell ref="L24:N24"/>
    <mergeCell ref="E83:F83"/>
    <mergeCell ref="E84:F84"/>
    <mergeCell ref="C84:D84"/>
    <mergeCell ref="E85:F85"/>
    <mergeCell ref="G49:G52"/>
    <mergeCell ref="F24:F25"/>
    <mergeCell ref="G24:G25"/>
    <mergeCell ref="A118:A119"/>
    <mergeCell ref="D118:E118"/>
    <mergeCell ref="H118:I118"/>
    <mergeCell ref="B22:B25"/>
    <mergeCell ref="C24:C25"/>
    <mergeCell ref="A139:A141"/>
    <mergeCell ref="D139:E139"/>
    <mergeCell ref="C139:C140"/>
    <mergeCell ref="B139:B140"/>
    <mergeCell ref="B120:B121"/>
    <mergeCell ref="C120:C121"/>
    <mergeCell ref="D120:E120"/>
    <mergeCell ref="A137:A138"/>
    <mergeCell ref="D137:E137"/>
    <mergeCell ref="D24:D25"/>
    <mergeCell ref="E24:E25"/>
    <mergeCell ref="B36:O36"/>
    <mergeCell ref="L22:N22"/>
    <mergeCell ref="L23:N23"/>
    <mergeCell ref="L25:N25"/>
    <mergeCell ref="G85:H85"/>
    <mergeCell ref="C101:D101"/>
    <mergeCell ref="G101:H101"/>
    <mergeCell ref="B44:B46"/>
    <mergeCell ref="B83:B85"/>
    <mergeCell ref="G83:H83"/>
    <mergeCell ref="C83:D83"/>
    <mergeCell ref="G84:H84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C22" sqref="C22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634</v>
      </c>
    </row>
    <row r="2" spans="1:15">
      <c r="A2" t="s">
        <v>667</v>
      </c>
      <c r="C2" t="s">
        <v>670</v>
      </c>
    </row>
    <row r="5" spans="1:15">
      <c r="J5" t="s">
        <v>700</v>
      </c>
    </row>
    <row r="6" spans="1:15">
      <c r="C6" s="24" t="s">
        <v>689</v>
      </c>
      <c r="D6" s="24" t="s">
        <v>691</v>
      </c>
      <c r="E6" s="1418" t="s">
        <v>694</v>
      </c>
      <c r="F6" s="1418"/>
      <c r="G6" s="1418"/>
      <c r="H6" s="1418"/>
      <c r="I6" s="1418"/>
      <c r="J6" s="1418" t="s">
        <v>697</v>
      </c>
      <c r="K6" s="1418"/>
      <c r="L6" s="1418"/>
      <c r="M6" s="1418"/>
      <c r="N6" s="1418"/>
      <c r="O6" s="27"/>
    </row>
    <row r="7" spans="1:15">
      <c r="C7" s="24" t="s">
        <v>916</v>
      </c>
      <c r="D7" s="24" t="s">
        <v>692</v>
      </c>
      <c r="E7" s="1418" t="s">
        <v>695</v>
      </c>
      <c r="F7" s="1418"/>
      <c r="G7" s="1418"/>
      <c r="H7" s="1418"/>
      <c r="I7" s="1418"/>
      <c r="J7" s="1418" t="s">
        <v>698</v>
      </c>
      <c r="K7" s="1418"/>
      <c r="L7" s="1418"/>
      <c r="M7" s="1418"/>
      <c r="N7" s="1418"/>
      <c r="O7" s="27" t="s">
        <v>708</v>
      </c>
    </row>
    <row r="8" spans="1:15">
      <c r="C8" s="24"/>
      <c r="D8" s="24" t="s">
        <v>668</v>
      </c>
      <c r="E8" s="1418" t="s">
        <v>669</v>
      </c>
      <c r="F8" s="1418"/>
      <c r="G8" s="1418"/>
      <c r="H8" s="1418"/>
      <c r="I8" s="1418"/>
      <c r="J8" s="1418" t="s">
        <v>702</v>
      </c>
      <c r="K8" s="1418"/>
      <c r="L8" s="1418"/>
      <c r="M8" s="1418"/>
      <c r="N8" s="1418"/>
      <c r="O8" s="27"/>
    </row>
    <row r="9" spans="1:15">
      <c r="C9" s="24" t="s">
        <v>690</v>
      </c>
      <c r="D9" s="24" t="s">
        <v>693</v>
      </c>
      <c r="E9" s="1418" t="s">
        <v>696</v>
      </c>
      <c r="F9" s="1418"/>
      <c r="G9" s="1418"/>
      <c r="H9" s="1418"/>
      <c r="I9" s="1418"/>
      <c r="J9" s="1418" t="s">
        <v>699</v>
      </c>
      <c r="K9" s="1418"/>
      <c r="L9" s="1418"/>
      <c r="M9" s="1418"/>
      <c r="N9" s="1418"/>
      <c r="O9" s="27"/>
    </row>
    <row r="10" spans="1:15" s="12" customFormat="1" ht="47.25">
      <c r="A10" s="30" t="s">
        <v>701</v>
      </c>
      <c r="B10"/>
      <c r="C10" s="27" t="s">
        <v>707</v>
      </c>
      <c r="E10" s="24" t="s">
        <v>703</v>
      </c>
      <c r="F10" s="595" t="s">
        <v>704</v>
      </c>
      <c r="G10" s="24" t="s">
        <v>705</v>
      </c>
      <c r="H10" s="24" t="s">
        <v>94</v>
      </c>
      <c r="I10" s="595" t="s">
        <v>706</v>
      </c>
      <c r="J10" s="24" t="s">
        <v>703</v>
      </c>
      <c r="K10" s="169" t="s">
        <v>704</v>
      </c>
      <c r="L10" s="24" t="s">
        <v>705</v>
      </c>
      <c r="M10" s="24" t="s">
        <v>94</v>
      </c>
      <c r="N10" s="169" t="s">
        <v>706</v>
      </c>
      <c r="O10" s="27" t="s">
        <v>658</v>
      </c>
    </row>
    <row r="11" spans="1:15">
      <c r="C11" s="68">
        <f>E26</f>
        <v>0</v>
      </c>
      <c r="D11" s="68">
        <v>0.8</v>
      </c>
      <c r="E11" s="27">
        <v>1515</v>
      </c>
      <c r="F11" s="596">
        <v>92</v>
      </c>
      <c r="G11" s="27">
        <v>2.7</v>
      </c>
      <c r="H11" s="27">
        <v>7.0000000000000007E-2</v>
      </c>
      <c r="I11" s="596">
        <v>2.5</v>
      </c>
      <c r="J11" s="68">
        <f>C11*D11*E11</f>
        <v>0</v>
      </c>
      <c r="K11" s="172">
        <f>C11*D11*F11</f>
        <v>0</v>
      </c>
      <c r="L11" s="68">
        <f>C11*D11*G11</f>
        <v>0</v>
      </c>
      <c r="M11" s="133">
        <f>C11*D11*H11</f>
        <v>0</v>
      </c>
      <c r="N11" s="172">
        <f>C11*D11*I11</f>
        <v>0</v>
      </c>
      <c r="O11" s="68">
        <f>(J11+(L11*'GHG emissions'!C28)+(M11*'GHG emissions'!C29))/1000</f>
        <v>0</v>
      </c>
    </row>
    <row r="17" spans="2:5">
      <c r="B17" t="s">
        <v>810</v>
      </c>
      <c r="C17" t="s">
        <v>914</v>
      </c>
      <c r="D17" t="s">
        <v>913</v>
      </c>
      <c r="E17" t="s">
        <v>915</v>
      </c>
    </row>
    <row r="18" spans="2:5">
      <c r="B18" t="str">
        <f>INPUTS!D72</f>
        <v>Purchased</v>
      </c>
      <c r="C18" s="39">
        <f>VLOOKUP(B18,'Crop parameters'!$A$3:$Z$39,8, FALSE)</f>
        <v>0</v>
      </c>
      <c r="D18" s="39">
        <f>INPUTS!G87</f>
        <v>0</v>
      </c>
      <c r="E18" s="39">
        <f>IF(ISERROR(D18*C18*'Land requirements'!E4),"",(D18*C18*'Land requirements'!E4))</f>
        <v>0</v>
      </c>
    </row>
    <row r="19" spans="2:5">
      <c r="B19" t="str">
        <f>INPUTS!D73</f>
        <v>Natural pasture</v>
      </c>
      <c r="C19" s="39">
        <f>VLOOKUP(B19,'Crop parameters'!$A$3:$Z$39,8, FALSE)</f>
        <v>0</v>
      </c>
      <c r="D19" s="39">
        <f>INPUTS!G88</f>
        <v>0</v>
      </c>
      <c r="E19" s="39">
        <f>IF(ISERROR(D19*C19*'Land requirements'!E5),"",(D19*C19*'Land requirements'!E5))</f>
        <v>0</v>
      </c>
    </row>
    <row r="20" spans="2:5">
      <c r="B20" t="str">
        <f>INPUTS!D74</f>
        <v>Maize</v>
      </c>
      <c r="C20" s="39">
        <f>VLOOKUP(B20,'Crop parameters'!$A$3:$Z$39,8, FALSE)</f>
        <v>3.5824421538461535</v>
      </c>
      <c r="D20" s="39">
        <f>INPUTS!G89</f>
        <v>0</v>
      </c>
      <c r="E20" s="39">
        <f>IF(ISERROR(D20*C20*'Land requirements'!E6),"",(D20*C20*'Land requirements'!E6))</f>
        <v>0</v>
      </c>
    </row>
    <row r="21" spans="2:5">
      <c r="B21" t="str">
        <f>INPUTS!D75</f>
        <v>Guatemala</v>
      </c>
      <c r="C21" s="39">
        <f>IFERROR(VLOOKUP(B21,'Crop parameters'!$A$3:$Z$39,8, FALSE), "")</f>
        <v>0</v>
      </c>
      <c r="D21" s="39">
        <f>INPUTS!G90</f>
        <v>0</v>
      </c>
      <c r="E21" s="39">
        <f>IF(ISERROR(D21*C21*'Land requirements'!E7),"",(D21*C21*'Land requirements'!E7))</f>
        <v>0</v>
      </c>
    </row>
    <row r="22" spans="2:5">
      <c r="B22" t="str">
        <f>INPUTS!D76</f>
        <v>Rhodes</v>
      </c>
      <c r="C22" s="39">
        <f>IFERROR(VLOOKUP(B22,'Crop parameters'!$A$3:$Z$39,8, FALSE), "")</f>
        <v>0</v>
      </c>
      <c r="D22" s="39">
        <f>INPUTS!G91</f>
        <v>0</v>
      </c>
      <c r="E22" s="39">
        <f>IF(ISERROR(D22*C22*'Land requirements'!E8),"",(D22*C22*'Land requirements'!E8))</f>
        <v>0</v>
      </c>
    </row>
    <row r="23" spans="2:5">
      <c r="B23" t="str">
        <f>INPUTS!D77</f>
        <v>Napier</v>
      </c>
      <c r="C23" s="39">
        <f>IFERROR(VLOOKUP(B23,'Crop parameters'!$A$3:$Z$39,8, FALSE), "")</f>
        <v>0</v>
      </c>
      <c r="D23" s="39">
        <f>INPUTS!G92</f>
        <v>0</v>
      </c>
      <c r="E23" s="39">
        <f>IF(ISERROR(D23*C23*'Land requirements'!E9),"",(D23*C23*'Land requirements'!E9))</f>
        <v>0</v>
      </c>
    </row>
    <row r="24" spans="2:5">
      <c r="B24" t="str">
        <f>INPUTS!D78</f>
        <v>N/A</v>
      </c>
      <c r="C24" s="39">
        <f>IFERROR(VLOOKUP(B24,'Crop parameters'!$A$3:$Z$39,8, FALSE), "")</f>
        <v>0</v>
      </c>
      <c r="D24" s="39">
        <f>INPUTS!G93</f>
        <v>0</v>
      </c>
      <c r="E24" s="39">
        <f>IF(ISERROR(D24*C24*'Land requirements'!E10),"",(D24*C24*'Land requirements'!E10))</f>
        <v>0</v>
      </c>
    </row>
    <row r="25" spans="2:5">
      <c r="C25" s="39"/>
      <c r="D25" s="39"/>
      <c r="E25" s="39"/>
    </row>
    <row r="26" spans="2:5">
      <c r="C26" s="39"/>
      <c r="D26" s="39" t="s">
        <v>140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D1" zoomScale="70" zoomScaleNormal="70" workbookViewId="0">
      <selection activeCell="E32" sqref="A1:BP47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942</v>
      </c>
      <c r="C2" s="12" t="s">
        <v>943</v>
      </c>
    </row>
    <row r="3" spans="2:16" ht="31.5">
      <c r="B3" s="46" t="s">
        <v>242</v>
      </c>
      <c r="C3" s="46" t="s">
        <v>242</v>
      </c>
    </row>
    <row r="4" spans="2:16">
      <c r="B4" s="46" t="s">
        <v>245</v>
      </c>
      <c r="C4" s="46" t="s">
        <v>245</v>
      </c>
    </row>
    <row r="5" spans="2:16" ht="31.5">
      <c r="B5" s="46" t="s">
        <v>681</v>
      </c>
      <c r="C5" s="46" t="s">
        <v>681</v>
      </c>
    </row>
    <row r="6" spans="2:16">
      <c r="B6" s="47">
        <f>(H22)*(44/28)</f>
        <v>3.3017651634212726</v>
      </c>
      <c r="C6" s="47">
        <f>(P22)*(44/28)</f>
        <v>0.91778177451817577</v>
      </c>
    </row>
    <row r="8" spans="2:16">
      <c r="B8" s="46" t="s">
        <v>630</v>
      </c>
      <c r="C8" s="1607" t="s">
        <v>940</v>
      </c>
      <c r="D8" s="1608"/>
      <c r="E8" s="1608"/>
      <c r="F8" s="1608"/>
      <c r="G8" s="1608"/>
      <c r="H8" s="1608"/>
      <c r="L8" s="1604" t="s">
        <v>941</v>
      </c>
      <c r="M8" s="1604"/>
      <c r="N8" s="1604"/>
      <c r="O8" s="1604"/>
      <c r="P8" s="1604"/>
    </row>
    <row r="9" spans="2:16">
      <c r="B9" s="1562" t="s">
        <v>180</v>
      </c>
      <c r="C9" s="1562"/>
      <c r="D9" s="1562" t="s">
        <v>225</v>
      </c>
      <c r="E9" s="1562"/>
      <c r="F9" s="1562"/>
      <c r="G9" s="1562"/>
      <c r="H9" s="1562"/>
      <c r="J9" s="1562" t="s">
        <v>180</v>
      </c>
      <c r="K9" s="1562"/>
      <c r="L9" s="1562" t="s">
        <v>225</v>
      </c>
      <c r="M9" s="1562"/>
      <c r="N9" s="1562"/>
      <c r="O9" s="1562"/>
      <c r="P9" s="1562"/>
    </row>
    <row r="10" spans="2:16" ht="63">
      <c r="B10" s="1417" t="s">
        <v>224</v>
      </c>
      <c r="C10" s="1417"/>
      <c r="D10" s="1417" t="s">
        <v>244</v>
      </c>
      <c r="E10" s="1417"/>
      <c r="F10" s="1418" t="s">
        <v>243</v>
      </c>
      <c r="G10" s="1418"/>
      <c r="H10" s="24" t="s">
        <v>242</v>
      </c>
      <c r="J10" s="1417" t="s">
        <v>224</v>
      </c>
      <c r="K10" s="1417"/>
      <c r="L10" s="1417" t="s">
        <v>244</v>
      </c>
      <c r="M10" s="1417"/>
      <c r="N10" s="1418" t="s">
        <v>243</v>
      </c>
      <c r="O10" s="1418"/>
      <c r="P10" s="24" t="s">
        <v>242</v>
      </c>
    </row>
    <row r="11" spans="2:16">
      <c r="B11" s="1417"/>
      <c r="C11" s="1417"/>
      <c r="D11" s="1417" t="s">
        <v>241</v>
      </c>
      <c r="E11" s="1417"/>
      <c r="F11" s="1417" t="s">
        <v>240</v>
      </c>
      <c r="G11" s="1417"/>
      <c r="H11" s="24" t="s">
        <v>239</v>
      </c>
      <c r="J11" s="1417"/>
      <c r="K11" s="1417"/>
      <c r="L11" s="1417" t="s">
        <v>241</v>
      </c>
      <c r="M11" s="1417"/>
      <c r="N11" s="1417" t="s">
        <v>240</v>
      </c>
      <c r="O11" s="1417"/>
      <c r="P11" s="24" t="s">
        <v>239</v>
      </c>
    </row>
    <row r="12" spans="2:16" ht="31.5">
      <c r="B12" s="1417"/>
      <c r="C12" s="1417"/>
      <c r="D12" s="1417"/>
      <c r="E12" s="1417"/>
      <c r="F12" s="1417" t="s">
        <v>238</v>
      </c>
      <c r="G12" s="1417"/>
      <c r="H12" s="24" t="s">
        <v>237</v>
      </c>
      <c r="J12" s="1417"/>
      <c r="K12" s="1417"/>
      <c r="L12" s="1417"/>
      <c r="M12" s="1417"/>
      <c r="N12" s="1417" t="s">
        <v>238</v>
      </c>
      <c r="O12" s="1417"/>
      <c r="P12" s="24" t="s">
        <v>237</v>
      </c>
    </row>
    <row r="13" spans="2:16">
      <c r="B13" s="1417"/>
      <c r="C13" s="1417"/>
      <c r="D13" s="1417" t="s">
        <v>236</v>
      </c>
      <c r="E13" s="1417"/>
      <c r="F13" s="1417" t="s">
        <v>0</v>
      </c>
      <c r="G13" s="1417"/>
      <c r="H13" s="24" t="s">
        <v>235</v>
      </c>
      <c r="J13" s="1417"/>
      <c r="K13" s="1417"/>
      <c r="L13" s="1417" t="s">
        <v>236</v>
      </c>
      <c r="M13" s="1417"/>
      <c r="N13" s="1417" t="s">
        <v>0</v>
      </c>
      <c r="O13" s="1417"/>
      <c r="P13" s="24" t="s">
        <v>235</v>
      </c>
    </row>
    <row r="14" spans="2:16" ht="15.75" customHeight="1">
      <c r="B14" s="1561" t="s">
        <v>234</v>
      </c>
      <c r="C14" s="27" t="s">
        <v>232</v>
      </c>
      <c r="D14" s="26" t="s">
        <v>231</v>
      </c>
      <c r="E14" s="70">
        <f>SUMPRODUCT(INPUTS!D96:D102,INPUTS!F72:F78)+SUMPRODUCT(INPUTS!J96:J102,INPUTS!L72:L78)</f>
        <v>0</v>
      </c>
      <c r="F14" s="1562" t="s">
        <v>233</v>
      </c>
      <c r="G14" s="27">
        <f>'GHG Parameters'!D128</f>
        <v>0.01</v>
      </c>
      <c r="H14" s="45">
        <f t="shared" ref="H14:H19" si="0">E14*G14</f>
        <v>0</v>
      </c>
      <c r="J14" s="1561" t="s">
        <v>234</v>
      </c>
      <c r="K14" s="27" t="s">
        <v>232</v>
      </c>
      <c r="L14" s="26" t="s">
        <v>231</v>
      </c>
      <c r="M14" s="70">
        <f>SUMPRODUCT(INPUTS!D96:D102,INPUTS!F72:F78)+SUMPRODUCT(INPUTS!J96:J102,INPUTS!L72:L78)</f>
        <v>0</v>
      </c>
      <c r="N14" s="1562" t="s">
        <v>233</v>
      </c>
      <c r="O14" s="27">
        <f>'GHG Parameters'!D128</f>
        <v>0.01</v>
      </c>
      <c r="P14" s="45">
        <f t="shared" ref="P14:P19" si="1">M14*O14</f>
        <v>0</v>
      </c>
    </row>
    <row r="15" spans="2:16" ht="47.25">
      <c r="B15" s="1561"/>
      <c r="C15" s="27" t="s">
        <v>229</v>
      </c>
      <c r="D15" s="26" t="s">
        <v>228</v>
      </c>
      <c r="E15" s="70">
        <f>(SUM(INPUTS!D34:'INPUTS'!D37)-INPUTS!D38+'GHG Manure'!J131)</f>
        <v>206.986435</v>
      </c>
      <c r="F15" s="1562"/>
      <c r="G15" s="27">
        <f>'GHG Parameters'!D128</f>
        <v>0.01</v>
      </c>
      <c r="H15" s="45">
        <f t="shared" si="0"/>
        <v>2.06986435</v>
      </c>
      <c r="J15" s="1561"/>
      <c r="K15" s="27" t="s">
        <v>229</v>
      </c>
      <c r="L15" s="26" t="s">
        <v>228</v>
      </c>
      <c r="M15" s="172">
        <f>(SUM(INPUTS!D34:'INPUTS'!D37)-INPUTS!D38+'GHG Manure'!K150)</f>
        <v>55.278401160712008</v>
      </c>
      <c r="N15" s="1562"/>
      <c r="O15" s="27">
        <f>'GHG Parameters'!D128</f>
        <v>0.01</v>
      </c>
      <c r="P15" s="45">
        <f>M15*O15</f>
        <v>0.5527840116071201</v>
      </c>
    </row>
    <row r="16" spans="2:16" ht="16.5" thickBot="1">
      <c r="B16" s="1602"/>
      <c r="C16" s="97" t="s">
        <v>227</v>
      </c>
      <c r="D16" s="98" t="s">
        <v>226</v>
      </c>
      <c r="E16" s="99">
        <f>F39</f>
        <v>3.1258935813537261</v>
      </c>
      <c r="F16" s="1603"/>
      <c r="G16" s="97">
        <f>'GHG Parameters'!D128</f>
        <v>0.01</v>
      </c>
      <c r="H16" s="100">
        <f t="shared" si="0"/>
        <v>3.125893581353726E-2</v>
      </c>
      <c r="J16" s="1602"/>
      <c r="K16" s="97" t="s">
        <v>227</v>
      </c>
      <c r="L16" s="98" t="s">
        <v>226</v>
      </c>
      <c r="M16" s="99">
        <f>F39</f>
        <v>3.1258935813537261</v>
      </c>
      <c r="N16" s="1603"/>
      <c r="O16" s="97">
        <f>'GHG Parameters'!D128</f>
        <v>0.01</v>
      </c>
      <c r="P16" s="100">
        <f t="shared" si="1"/>
        <v>3.125893581353726E-2</v>
      </c>
    </row>
    <row r="17" spans="2:16" ht="15.75" customHeight="1" thickTop="1">
      <c r="B17" s="1549" t="s">
        <v>627</v>
      </c>
      <c r="C17" s="92" t="s">
        <v>232</v>
      </c>
      <c r="D17" s="91" t="s">
        <v>628</v>
      </c>
      <c r="E17" s="101">
        <f>INPUTS!E117*INPUTS!E112</f>
        <v>0</v>
      </c>
      <c r="F17" s="1576" t="s">
        <v>230</v>
      </c>
      <c r="G17" s="92">
        <f>'GHG Parameters'!D134</f>
        <v>3.0000000000000001E-3</v>
      </c>
      <c r="H17" s="96">
        <f t="shared" si="0"/>
        <v>0</v>
      </c>
      <c r="J17" s="1549" t="s">
        <v>627</v>
      </c>
      <c r="K17" s="92" t="s">
        <v>232</v>
      </c>
      <c r="L17" s="91" t="s">
        <v>628</v>
      </c>
      <c r="M17" s="101">
        <f>SUM(INPUTS!E117:I117)*SUM(INPUTS!E112:I112)</f>
        <v>0</v>
      </c>
      <c r="N17" s="1576" t="s">
        <v>230</v>
      </c>
      <c r="O17" s="92">
        <f>'GHG Parameters'!D134</f>
        <v>3.0000000000000001E-3</v>
      </c>
      <c r="P17" s="96">
        <f t="shared" si="1"/>
        <v>0</v>
      </c>
    </row>
    <row r="18" spans="2:16" ht="47.25">
      <c r="B18" s="1561"/>
      <c r="C18" s="27" t="s">
        <v>229</v>
      </c>
      <c r="D18" s="26" t="s">
        <v>666</v>
      </c>
      <c r="E18" s="70"/>
      <c r="F18" s="1562"/>
      <c r="G18" s="27">
        <f>'GHG Parameters'!D134</f>
        <v>3.0000000000000001E-3</v>
      </c>
      <c r="H18" s="45">
        <f t="shared" si="0"/>
        <v>0</v>
      </c>
      <c r="J18" s="1561"/>
      <c r="K18" s="27" t="s">
        <v>229</v>
      </c>
      <c r="L18" s="26" t="s">
        <v>666</v>
      </c>
      <c r="M18" s="70"/>
      <c r="N18" s="1562"/>
      <c r="O18" s="27">
        <f>'GHG Parameters'!D134</f>
        <v>3.0000000000000001E-3</v>
      </c>
      <c r="P18" s="45">
        <f t="shared" si="1"/>
        <v>0</v>
      </c>
    </row>
    <row r="19" spans="2:16" ht="16.5" thickBot="1">
      <c r="B19" s="1602"/>
      <c r="C19" s="97" t="s">
        <v>227</v>
      </c>
      <c r="D19" s="98" t="s">
        <v>226</v>
      </c>
      <c r="E19" s="170"/>
      <c r="F19" s="1603"/>
      <c r="G19" s="97">
        <f>'GHG Parameters'!D134</f>
        <v>3.0000000000000001E-3</v>
      </c>
      <c r="H19" s="100">
        <f t="shared" si="0"/>
        <v>0</v>
      </c>
      <c r="J19" s="1602"/>
      <c r="K19" s="97" t="s">
        <v>227</v>
      </c>
      <c r="L19" s="98" t="s">
        <v>226</v>
      </c>
      <c r="M19" s="170"/>
      <c r="N19" s="1603"/>
      <c r="O19" s="97">
        <f>'GHG Parameters'!D134</f>
        <v>3.0000000000000001E-3</v>
      </c>
      <c r="P19" s="100">
        <f t="shared" si="1"/>
        <v>0</v>
      </c>
    </row>
    <row r="20" spans="2:16" ht="48" thickTop="1">
      <c r="B20" s="1549" t="s">
        <v>624</v>
      </c>
      <c r="C20" s="92" t="s">
        <v>219</v>
      </c>
      <c r="D20" s="91" t="s">
        <v>625</v>
      </c>
      <c r="E20" s="89">
        <f>'GHG Manure'!B161</f>
        <v>0</v>
      </c>
      <c r="F20" s="94" t="s">
        <v>220</v>
      </c>
      <c r="G20" s="92">
        <f>'GHG Parameters'!D130</f>
        <v>0.02</v>
      </c>
      <c r="H20" s="89">
        <f>G20*E20</f>
        <v>0</v>
      </c>
      <c r="J20" s="1549" t="s">
        <v>624</v>
      </c>
      <c r="K20" s="92" t="s">
        <v>219</v>
      </c>
      <c r="L20" s="91" t="s">
        <v>625</v>
      </c>
      <c r="M20" s="89">
        <f>'GHG Manure'!D161</f>
        <v>0</v>
      </c>
      <c r="N20" s="94" t="s">
        <v>220</v>
      </c>
      <c r="O20" s="92">
        <f>'GHG Parameters'!D130</f>
        <v>0.02</v>
      </c>
      <c r="P20" s="89">
        <f>O20*M20</f>
        <v>0</v>
      </c>
    </row>
    <row r="21" spans="2:16" ht="47.25">
      <c r="B21" s="1561"/>
      <c r="C21" s="27" t="s">
        <v>218</v>
      </c>
      <c r="D21" s="26" t="s">
        <v>626</v>
      </c>
      <c r="E21" s="68">
        <f>'GHG Manure'!B162</f>
        <v>0</v>
      </c>
      <c r="F21" s="23" t="s">
        <v>220</v>
      </c>
      <c r="G21" s="27">
        <f>'GHG Parameters'!D131</f>
        <v>0.01</v>
      </c>
      <c r="H21" s="68">
        <f>G21*E21</f>
        <v>0</v>
      </c>
      <c r="J21" s="1561"/>
      <c r="K21" s="27" t="s">
        <v>218</v>
      </c>
      <c r="L21" s="26" t="s">
        <v>626</v>
      </c>
      <c r="M21" s="89">
        <f>'GHG Manure'!D162</f>
        <v>0</v>
      </c>
      <c r="N21" s="23" t="s">
        <v>220</v>
      </c>
      <c r="O21" s="27">
        <f>'GHG Parameters'!D131</f>
        <v>0.01</v>
      </c>
      <c r="P21" s="68">
        <f>O21*M21</f>
        <v>0</v>
      </c>
    </row>
    <row r="22" spans="2:16">
      <c r="B22" s="1562" t="s">
        <v>217</v>
      </c>
      <c r="C22" s="1562"/>
      <c r="D22" s="23"/>
      <c r="E22" s="23"/>
      <c r="F22" s="23"/>
      <c r="G22" s="23"/>
      <c r="H22" s="47">
        <f>SUM(H14:H21)</f>
        <v>2.1011232858135371</v>
      </c>
      <c r="J22" s="1562" t="s">
        <v>217</v>
      </c>
      <c r="K22" s="1562"/>
      <c r="L22" s="23"/>
      <c r="M22" s="23"/>
      <c r="N22" s="23"/>
      <c r="O22" s="23"/>
      <c r="P22" s="73">
        <f>SUM(P14:P21)</f>
        <v>0.58404294742065732</v>
      </c>
    </row>
    <row r="25" spans="2:16">
      <c r="B25" t="s">
        <v>631</v>
      </c>
    </row>
    <row r="28" spans="2:16" ht="31.5">
      <c r="B28" s="1543" t="s">
        <v>360</v>
      </c>
      <c r="C28" s="24" t="s">
        <v>358</v>
      </c>
      <c r="D28" s="24" t="s">
        <v>1387</v>
      </c>
      <c r="E28" s="24" t="s">
        <v>366</v>
      </c>
      <c r="F28" s="24" t="s">
        <v>361</v>
      </c>
      <c r="H28"/>
    </row>
    <row r="29" spans="2:16">
      <c r="B29" s="1575"/>
      <c r="C29" s="24" t="s">
        <v>223</v>
      </c>
      <c r="D29" s="24" t="s">
        <v>161</v>
      </c>
      <c r="E29" s="24" t="s">
        <v>359</v>
      </c>
      <c r="F29" s="24" t="s">
        <v>241</v>
      </c>
      <c r="H29"/>
    </row>
    <row r="30" spans="2:16">
      <c r="B30" s="1575"/>
      <c r="C30" s="24"/>
      <c r="D30" s="24"/>
      <c r="E30" s="24"/>
      <c r="F30" s="24" t="s">
        <v>365</v>
      </c>
      <c r="H30"/>
    </row>
    <row r="31" spans="2:16">
      <c r="B31" s="1576"/>
      <c r="C31" s="24" t="s">
        <v>152</v>
      </c>
      <c r="D31" s="24" t="s">
        <v>364</v>
      </c>
      <c r="E31" s="24" t="s">
        <v>363</v>
      </c>
      <c r="F31" s="24" t="s">
        <v>362</v>
      </c>
      <c r="H31"/>
    </row>
    <row r="32" spans="2:16">
      <c r="B32" s="23" t="str">
        <f>INPUTS!D72</f>
        <v>Purchased</v>
      </c>
      <c r="C32" s="89">
        <f>'Land requirements'!E4</f>
        <v>0</v>
      </c>
      <c r="D32" s="101">
        <f>1-(INPUTS!F87+INPUTS!G87)</f>
        <v>1</v>
      </c>
      <c r="E32" s="597">
        <f>VLOOKUP(B32,'Crop parameters'!$A$3:$Z$39,9, FALSE)</f>
        <v>0</v>
      </c>
      <c r="F32" s="598">
        <f>C32*E32*D32</f>
        <v>0</v>
      </c>
      <c r="H32"/>
    </row>
    <row r="33" spans="1:20">
      <c r="B33" s="23" t="str">
        <f>INPUTS!D73</f>
        <v>Natural pasture</v>
      </c>
      <c r="C33" s="89">
        <f>'Land requirements'!E5</f>
        <v>0.11605117411355399</v>
      </c>
      <c r="D33" s="101">
        <f>1-(INPUTS!F88+INPUTS!G88)</f>
        <v>1</v>
      </c>
      <c r="E33" s="597">
        <f>VLOOKUP(B33,'Crop parameters'!$A$3:$Z$39,9, FALSE)</f>
        <v>0</v>
      </c>
      <c r="F33" s="598">
        <f t="shared" ref="F33:F38" si="2">C33*E33*D33</f>
        <v>0</v>
      </c>
      <c r="H33"/>
    </row>
    <row r="34" spans="1:20">
      <c r="B34" s="23" t="str">
        <f>INPUTS!D74</f>
        <v>Maize</v>
      </c>
      <c r="C34" s="89">
        <f>'Land requirements'!E6</f>
        <v>0.36847947694770705</v>
      </c>
      <c r="D34" s="101">
        <f>1-(INPUTS!F89+INPUTS!G89)</f>
        <v>0.4</v>
      </c>
      <c r="E34" s="597">
        <f>VLOOKUP(B34,'Crop parameters'!$A$3:$Z$39,9, FALSE)</f>
        <v>21.208057550769229</v>
      </c>
      <c r="F34" s="558">
        <f>IFERROR(C34*E34*D34, 0)</f>
        <v>3.1258935813537261</v>
      </c>
      <c r="H34"/>
    </row>
    <row r="35" spans="1:20">
      <c r="B35" s="23" t="str">
        <f>INPUTS!D75</f>
        <v>Guatemala</v>
      </c>
      <c r="C35" s="89">
        <f>'Land requirements'!E7</f>
        <v>2.6356567550878132E-2</v>
      </c>
      <c r="D35" s="101">
        <f>1-(INPUTS!F90+INPUTS!G90)</f>
        <v>1</v>
      </c>
      <c r="E35" s="597">
        <f>VLOOKUP(B35,'Crop parameters'!$A$3:$Z$39,9, FALSE)</f>
        <v>0</v>
      </c>
      <c r="F35" s="558">
        <f t="shared" si="2"/>
        <v>0</v>
      </c>
      <c r="H35"/>
    </row>
    <row r="36" spans="1:20">
      <c r="B36" s="23" t="str">
        <f>INPUTS!D76</f>
        <v>Rhodes</v>
      </c>
      <c r="C36" s="89">
        <f>'Land requirements'!E8</f>
        <v>9.7090745826499264E-2</v>
      </c>
      <c r="D36" s="101">
        <f>1-(INPUTS!F91+INPUTS!G91)</f>
        <v>1</v>
      </c>
      <c r="E36" s="597">
        <f>VLOOKUP(B36,'Crop parameters'!$A$3:$Z$39,9, FALSE)</f>
        <v>0</v>
      </c>
      <c r="F36" s="558">
        <f t="shared" si="2"/>
        <v>0</v>
      </c>
      <c r="H36"/>
    </row>
    <row r="37" spans="1:20">
      <c r="B37" s="23" t="str">
        <f>INPUTS!D77</f>
        <v>Napier</v>
      </c>
      <c r="C37" s="89">
        <f>'Land requirements'!E9</f>
        <v>1.4639690375499932E-2</v>
      </c>
      <c r="D37" s="101">
        <f>1-(INPUTS!F92+INPUTS!G92)</f>
        <v>1</v>
      </c>
      <c r="E37" s="597">
        <f>VLOOKUP(B37,'Crop parameters'!$A$3:$Z$39,9, FALSE)</f>
        <v>0</v>
      </c>
      <c r="F37" s="558">
        <f t="shared" si="2"/>
        <v>0</v>
      </c>
      <c r="H37"/>
    </row>
    <row r="38" spans="1:20">
      <c r="B38" s="23" t="str">
        <f>INPUTS!D78</f>
        <v>N/A</v>
      </c>
      <c r="C38" s="89">
        <f>'Land requirements'!E10</f>
        <v>0</v>
      </c>
      <c r="D38" s="101">
        <f>1-(INPUTS!F93+INPUTS!G93)</f>
        <v>1</v>
      </c>
      <c r="E38" s="597">
        <f>VLOOKUP(B38,'Crop parameters'!$A$3:$Z$39,9, FALSE)</f>
        <v>0</v>
      </c>
      <c r="F38" s="558">
        <f t="shared" si="2"/>
        <v>0</v>
      </c>
      <c r="H38"/>
    </row>
    <row r="39" spans="1:20">
      <c r="B39" s="1612" t="s">
        <v>688</v>
      </c>
      <c r="C39" s="1612"/>
      <c r="D39" s="1612"/>
      <c r="E39" s="1612"/>
      <c r="F39" s="557">
        <f>SUM(F32:F38)</f>
        <v>3.1258935813537261</v>
      </c>
    </row>
    <row r="40" spans="1:20">
      <c r="C40"/>
      <c r="F40"/>
      <c r="H40"/>
    </row>
    <row r="41" spans="1:20">
      <c r="B41" s="12" t="s">
        <v>629</v>
      </c>
      <c r="C41" s="12" t="s">
        <v>942</v>
      </c>
      <c r="D41" s="12"/>
      <c r="E41" s="12"/>
      <c r="F41" s="12"/>
      <c r="H41"/>
    </row>
    <row r="42" spans="1:20" s="12" customFormat="1">
      <c r="B42" s="23" t="s">
        <v>262</v>
      </c>
      <c r="C42" s="1060" t="s">
        <v>263</v>
      </c>
      <c r="D42" s="1061"/>
      <c r="E42" s="1061"/>
      <c r="F42" s="1061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224</v>
      </c>
      <c r="C43" s="24" t="s">
        <v>246</v>
      </c>
      <c r="D43" s="24" t="s">
        <v>247</v>
      </c>
      <c r="E43" s="24" t="s">
        <v>248</v>
      </c>
      <c r="F43" s="24" t="s">
        <v>249</v>
      </c>
      <c r="G43" s="1061"/>
      <c r="H43" s="1061"/>
      <c r="I43" s="1062"/>
      <c r="J43" s="23"/>
    </row>
    <row r="44" spans="1:20" ht="110.25">
      <c r="A44" s="12"/>
      <c r="B44" s="24"/>
      <c r="C44" s="24" t="s">
        <v>222</v>
      </c>
      <c r="D44" s="24" t="s">
        <v>253</v>
      </c>
      <c r="E44" s="24" t="s">
        <v>222</v>
      </c>
      <c r="F44" s="24" t="s">
        <v>222</v>
      </c>
      <c r="G44" s="24" t="s">
        <v>250</v>
      </c>
      <c r="H44" s="24" t="s">
        <v>501</v>
      </c>
      <c r="I44" s="24" t="s">
        <v>502</v>
      </c>
      <c r="J44" s="24" t="s">
        <v>502</v>
      </c>
      <c r="K44" s="12"/>
      <c r="L44" s="12"/>
      <c r="M44" s="12"/>
    </row>
    <row r="45" spans="1:20" ht="31.5">
      <c r="A45" s="12"/>
      <c r="B45" s="27"/>
      <c r="C45" s="27"/>
      <c r="D45" s="27" t="s">
        <v>255</v>
      </c>
      <c r="E45" s="27"/>
      <c r="F45" s="27"/>
      <c r="G45" s="24" t="s">
        <v>252</v>
      </c>
      <c r="H45" s="24" t="s">
        <v>251</v>
      </c>
      <c r="I45" s="24" t="s">
        <v>254</v>
      </c>
      <c r="J45" s="24" t="s">
        <v>265</v>
      </c>
      <c r="K45" s="12"/>
      <c r="L45" s="12"/>
      <c r="M45" s="12"/>
    </row>
    <row r="46" spans="1:20" ht="63">
      <c r="A46" s="12"/>
      <c r="B46" s="27"/>
      <c r="C46" s="27" t="s">
        <v>256</v>
      </c>
      <c r="D46" s="27" t="s">
        <v>257</v>
      </c>
      <c r="E46" s="27" t="s">
        <v>258</v>
      </c>
      <c r="F46" s="27" t="s">
        <v>221</v>
      </c>
      <c r="G46" s="27" t="s">
        <v>255</v>
      </c>
      <c r="H46" s="27" t="s">
        <v>255</v>
      </c>
      <c r="I46" s="24" t="s">
        <v>264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0</v>
      </c>
      <c r="D47" s="68">
        <f>'GHG Parameters'!D136</f>
        <v>0.1</v>
      </c>
      <c r="E47" s="68">
        <f>SUM(E15:E19)</f>
        <v>210.11232858135372</v>
      </c>
      <c r="F47" s="68">
        <f>E20+E21</f>
        <v>0</v>
      </c>
      <c r="G47" s="27" t="s">
        <v>259</v>
      </c>
      <c r="H47" s="27" t="s">
        <v>133</v>
      </c>
      <c r="I47" s="27" t="s">
        <v>260</v>
      </c>
      <c r="J47" s="23"/>
      <c r="K47" s="12"/>
      <c r="L47" s="12"/>
      <c r="M47" s="12"/>
    </row>
    <row r="48" spans="1:20">
      <c r="A48" s="12"/>
      <c r="B48" s="1063" t="s">
        <v>261</v>
      </c>
      <c r="C48" s="1064"/>
      <c r="D48" s="1064"/>
      <c r="E48" s="1064"/>
      <c r="F48" s="1064"/>
      <c r="G48" s="68">
        <f>'GHG Parameters'!D137</f>
        <v>0.2</v>
      </c>
      <c r="H48" s="68">
        <f>'GHG Parameters'!D132</f>
        <v>0.01</v>
      </c>
      <c r="I48" s="68">
        <f>((C47*D47)+((E47+F47)*G48))*H48</f>
        <v>0.42022465716270746</v>
      </c>
      <c r="J48" s="71"/>
      <c r="K48" s="12"/>
      <c r="L48" s="12"/>
      <c r="M48" s="12"/>
    </row>
    <row r="49" spans="1:13">
      <c r="A49" s="12"/>
      <c r="G49" s="1064"/>
      <c r="H49" s="1064"/>
      <c r="I49" s="1065"/>
      <c r="J49" s="69">
        <f>I48*(44/28)</f>
        <v>0.6603530326842546</v>
      </c>
      <c r="K49" s="12"/>
      <c r="L49" s="12"/>
      <c r="M49" s="12"/>
    </row>
    <row r="51" spans="1:13">
      <c r="B51" s="12" t="s">
        <v>629</v>
      </c>
      <c r="C51" s="12" t="s">
        <v>943</v>
      </c>
      <c r="D51" s="12"/>
      <c r="E51" s="12"/>
      <c r="F51" s="12"/>
    </row>
    <row r="52" spans="1:13">
      <c r="B52" s="23" t="s">
        <v>262</v>
      </c>
      <c r="C52" s="1060" t="s">
        <v>263</v>
      </c>
      <c r="D52" s="1061"/>
      <c r="E52" s="1061"/>
      <c r="F52" s="1061"/>
      <c r="G52" s="12"/>
      <c r="I52" s="12"/>
      <c r="J52" s="12"/>
    </row>
    <row r="53" spans="1:13" ht="94.5">
      <c r="B53" s="24" t="s">
        <v>224</v>
      </c>
      <c r="C53" s="24" t="s">
        <v>246</v>
      </c>
      <c r="D53" s="24" t="s">
        <v>247</v>
      </c>
      <c r="E53" s="24" t="s">
        <v>248</v>
      </c>
      <c r="F53" s="24" t="s">
        <v>249</v>
      </c>
      <c r="G53" s="1061"/>
      <c r="H53" s="1061"/>
      <c r="I53" s="1062"/>
      <c r="J53" s="23"/>
    </row>
    <row r="54" spans="1:13" ht="110.25">
      <c r="B54" s="24"/>
      <c r="C54" s="24" t="s">
        <v>222</v>
      </c>
      <c r="D54" s="24" t="s">
        <v>253</v>
      </c>
      <c r="E54" s="24" t="s">
        <v>222</v>
      </c>
      <c r="F54" s="24" t="s">
        <v>222</v>
      </c>
      <c r="G54" s="24" t="s">
        <v>250</v>
      </c>
      <c r="H54" s="24" t="s">
        <v>501</v>
      </c>
      <c r="I54" s="24" t="s">
        <v>502</v>
      </c>
      <c r="J54" s="24" t="s">
        <v>502</v>
      </c>
    </row>
    <row r="55" spans="1:13" ht="31.5">
      <c r="B55" s="27"/>
      <c r="C55" s="27"/>
      <c r="D55" s="27" t="s">
        <v>255</v>
      </c>
      <c r="E55" s="27"/>
      <c r="F55" s="27"/>
      <c r="G55" s="24" t="s">
        <v>252</v>
      </c>
      <c r="H55" s="24" t="s">
        <v>251</v>
      </c>
      <c r="I55" s="24" t="s">
        <v>254</v>
      </c>
      <c r="J55" s="24" t="s">
        <v>265</v>
      </c>
    </row>
    <row r="56" spans="1:13" ht="63">
      <c r="B56" s="27"/>
      <c r="C56" s="27" t="s">
        <v>256</v>
      </c>
      <c r="D56" s="27" t="s">
        <v>257</v>
      </c>
      <c r="E56" s="27" t="s">
        <v>258</v>
      </c>
      <c r="F56" s="27" t="s">
        <v>221</v>
      </c>
      <c r="G56" s="27" t="s">
        <v>255</v>
      </c>
      <c r="H56" s="27" t="s">
        <v>255</v>
      </c>
      <c r="I56" s="24" t="s">
        <v>264</v>
      </c>
      <c r="J56" s="23"/>
    </row>
    <row r="57" spans="1:13">
      <c r="B57" s="68"/>
      <c r="C57" s="68">
        <f>'GHG Soil'!M14+M17</f>
        <v>0</v>
      </c>
      <c r="D57" s="68">
        <f>'GHG Parameters'!D136</f>
        <v>0.1</v>
      </c>
      <c r="E57" s="68">
        <f>SUM(M15:M19)</f>
        <v>58.404294742065737</v>
      </c>
      <c r="F57" s="68">
        <f>M20+M21</f>
        <v>0</v>
      </c>
      <c r="G57" s="27" t="s">
        <v>259</v>
      </c>
      <c r="H57" s="27" t="s">
        <v>133</v>
      </c>
      <c r="I57" s="27" t="s">
        <v>260</v>
      </c>
      <c r="J57" s="23"/>
    </row>
    <row r="58" spans="1:13">
      <c r="B58" s="1063" t="s">
        <v>261</v>
      </c>
      <c r="C58" s="1064"/>
      <c r="D58" s="1064"/>
      <c r="E58" s="1064"/>
      <c r="F58" s="1064"/>
      <c r="G58" s="68">
        <f>'GHG Parameters'!D137</f>
        <v>0.2</v>
      </c>
      <c r="H58" s="68">
        <f>'GHG Parameters'!D132</f>
        <v>0.01</v>
      </c>
      <c r="I58" s="68">
        <f>((C57*D57)+((E57+F57)*G58))*H58</f>
        <v>0.11680858948413148</v>
      </c>
      <c r="J58" s="71"/>
    </row>
    <row r="59" spans="1:13">
      <c r="G59" s="1064"/>
      <c r="H59" s="1064"/>
      <c r="I59" s="1065"/>
      <c r="J59" s="69">
        <f>I58*(44/28)</f>
        <v>0.18355635490363517</v>
      </c>
    </row>
    <row r="63" spans="1:13">
      <c r="B63" t="s">
        <v>970</v>
      </c>
    </row>
    <row r="64" spans="1:13">
      <c r="B64" t="s">
        <v>942</v>
      </c>
      <c r="C64" s="12" t="s">
        <v>943</v>
      </c>
    </row>
    <row r="65" spans="2:11" ht="31.5">
      <c r="B65" s="46" t="s">
        <v>974</v>
      </c>
      <c r="C65" s="46" t="s">
        <v>974</v>
      </c>
    </row>
    <row r="66" spans="2:11">
      <c r="B66" s="46" t="s">
        <v>245</v>
      </c>
      <c r="C66" s="46" t="s">
        <v>245</v>
      </c>
    </row>
    <row r="67" spans="2:11" ht="31.5">
      <c r="B67" s="46" t="s">
        <v>681</v>
      </c>
      <c r="C67" s="46" t="s">
        <v>681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09"/>
      <c r="C69" s="1610"/>
      <c r="D69" s="1417" t="s">
        <v>244</v>
      </c>
      <c r="E69" s="1417"/>
      <c r="F69" s="24" t="s">
        <v>243</v>
      </c>
    </row>
    <row r="70" spans="2:11" ht="110.25">
      <c r="B70" s="1517"/>
      <c r="C70" s="1611"/>
      <c r="D70" s="1417" t="s">
        <v>241</v>
      </c>
      <c r="E70" s="1417"/>
      <c r="F70" s="27" t="s">
        <v>240</v>
      </c>
      <c r="G70" s="24"/>
      <c r="H70" s="24" t="s">
        <v>974</v>
      </c>
      <c r="I70" s="24" t="s">
        <v>250</v>
      </c>
      <c r="J70" s="24" t="s">
        <v>501</v>
      </c>
      <c r="K70" s="24" t="s">
        <v>502</v>
      </c>
    </row>
    <row r="71" spans="2:11" ht="31.5">
      <c r="B71" s="1517"/>
      <c r="C71" s="1611"/>
      <c r="D71" s="1417"/>
      <c r="E71" s="1417"/>
      <c r="F71" s="27" t="s">
        <v>238</v>
      </c>
      <c r="G71" s="27"/>
      <c r="H71" s="24" t="s">
        <v>239</v>
      </c>
      <c r="I71" s="24" t="s">
        <v>252</v>
      </c>
      <c r="J71" s="24" t="s">
        <v>251</v>
      </c>
      <c r="K71" s="24" t="s">
        <v>265</v>
      </c>
    </row>
    <row r="72" spans="2:11">
      <c r="B72" t="s">
        <v>972</v>
      </c>
      <c r="D72" s="1417" t="s">
        <v>236</v>
      </c>
      <c r="E72" s="1417"/>
      <c r="F72" s="27" t="s">
        <v>0</v>
      </c>
      <c r="G72" s="27"/>
      <c r="H72" s="24" t="s">
        <v>237</v>
      </c>
      <c r="I72" s="27" t="s">
        <v>255</v>
      </c>
      <c r="J72" s="213" t="s">
        <v>255</v>
      </c>
      <c r="K72" s="1605"/>
    </row>
    <row r="73" spans="2:11" ht="31.5">
      <c r="B73" s="1549" t="s">
        <v>971</v>
      </c>
      <c r="C73" s="92" t="s">
        <v>219</v>
      </c>
      <c r="D73" s="91" t="s">
        <v>625</v>
      </c>
      <c r="E73" s="89">
        <f>'GHG Manure'!C161</f>
        <v>0</v>
      </c>
      <c r="F73" s="94" t="s">
        <v>220</v>
      </c>
      <c r="G73" s="27"/>
      <c r="H73" s="24" t="s">
        <v>235</v>
      </c>
      <c r="I73" s="27" t="s">
        <v>259</v>
      </c>
      <c r="J73" s="213" t="s">
        <v>133</v>
      </c>
      <c r="K73" s="1606"/>
    </row>
    <row r="74" spans="2:11" ht="31.5">
      <c r="B74" s="1561"/>
      <c r="C74" s="27" t="s">
        <v>218</v>
      </c>
      <c r="D74" s="26" t="s">
        <v>626</v>
      </c>
      <c r="E74" s="68">
        <f>'GHG Manure'!C162</f>
        <v>0</v>
      </c>
      <c r="F74" s="23" t="s">
        <v>220</v>
      </c>
      <c r="G74" s="92">
        <f>'GHG Parameters'!D130</f>
        <v>0.02</v>
      </c>
      <c r="H74" s="214">
        <f>G74*E73</f>
        <v>0</v>
      </c>
      <c r="I74" s="68">
        <f>'GHG Parameters'!D137</f>
        <v>0.2</v>
      </c>
      <c r="J74" s="216">
        <f>'GHG Parameters'!D132</f>
        <v>0.01</v>
      </c>
      <c r="K74" s="297">
        <f>H74*I74*J74 *(44/28)</f>
        <v>0</v>
      </c>
    </row>
    <row r="75" spans="2:11">
      <c r="G75" s="27">
        <f>'GHG Parameters'!D131</f>
        <v>0.01</v>
      </c>
      <c r="H75" s="69">
        <f>G75*E74</f>
        <v>0</v>
      </c>
      <c r="I75" s="68">
        <f>'GHG Parameters'!D137</f>
        <v>0.2</v>
      </c>
      <c r="J75" s="216">
        <f>'GHG Parameters'!D132</f>
        <v>0.01</v>
      </c>
      <c r="K75" s="297">
        <f>H75*I75*J75 *(44/28)</f>
        <v>0</v>
      </c>
    </row>
    <row r="76" spans="2:11">
      <c r="B76" t="s">
        <v>973</v>
      </c>
      <c r="H76" s="215"/>
      <c r="K76" s="298"/>
    </row>
    <row r="77" spans="2:11" ht="31.5">
      <c r="B77" s="1549" t="s">
        <v>971</v>
      </c>
      <c r="C77" s="92" t="s">
        <v>219</v>
      </c>
      <c r="D77" s="91" t="s">
        <v>625</v>
      </c>
      <c r="E77" s="89">
        <f>'GHG Manure'!E161</f>
        <v>0</v>
      </c>
      <c r="F77" s="94" t="s">
        <v>220</v>
      </c>
      <c r="G77" s="92">
        <f>'GHG Parameters'!D130</f>
        <v>0.02</v>
      </c>
      <c r="H77" s="214">
        <f>G77*E77</f>
        <v>0</v>
      </c>
      <c r="I77" s="68">
        <f>'GHG Parameters'!D137</f>
        <v>0.2</v>
      </c>
      <c r="J77" s="216">
        <f>'GHG Parameters'!D132</f>
        <v>0.01</v>
      </c>
      <c r="K77" s="297">
        <f>H77*I77*J77 *(44/28)</f>
        <v>0</v>
      </c>
    </row>
    <row r="78" spans="2:11" ht="31.5">
      <c r="B78" s="1561"/>
      <c r="C78" s="27" t="s">
        <v>218</v>
      </c>
      <c r="D78" s="26" t="s">
        <v>626</v>
      </c>
      <c r="E78" s="68">
        <f>'GHG Manure'!E162</f>
        <v>0</v>
      </c>
      <c r="F78" s="23" t="s">
        <v>220</v>
      </c>
      <c r="G78" s="27">
        <f>'GHG Parameters'!D131</f>
        <v>0.01</v>
      </c>
      <c r="H78" s="69">
        <f>G78*E78</f>
        <v>0</v>
      </c>
      <c r="I78" s="68">
        <f>'GHG Parameters'!D137</f>
        <v>0.2</v>
      </c>
      <c r="J78" s="216">
        <f>'GHG Parameters'!D132</f>
        <v>0.01</v>
      </c>
      <c r="K78" s="297">
        <f>H78*I78*J78 *(44/28)</f>
        <v>0</v>
      </c>
    </row>
  </sheetData>
  <mergeCells count="46">
    <mergeCell ref="B77:B78"/>
    <mergeCell ref="D72:E72"/>
    <mergeCell ref="B69:C71"/>
    <mergeCell ref="B28:B31"/>
    <mergeCell ref="B22:C22"/>
    <mergeCell ref="B39:E39"/>
    <mergeCell ref="D71:E71"/>
    <mergeCell ref="B73:B74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B20:B21"/>
    <mergeCell ref="F11:G11"/>
    <mergeCell ref="F13:G13"/>
    <mergeCell ref="B14:B16"/>
    <mergeCell ref="B17:B19"/>
    <mergeCell ref="F14:F16"/>
    <mergeCell ref="F17:F19"/>
  </mergeCells>
  <pageMargins left="0.75" right="0.75" top="1" bottom="1" header="0.5" footer="0.5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38" sqref="D38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1052</v>
      </c>
    </row>
    <row r="4" spans="1:5">
      <c r="A4" t="s">
        <v>1053</v>
      </c>
      <c r="B4" t="s">
        <v>1054</v>
      </c>
      <c r="C4" t="s">
        <v>1055</v>
      </c>
      <c r="D4" t="s">
        <v>1056</v>
      </c>
    </row>
    <row r="5" spans="1:5">
      <c r="A5" s="9" t="s">
        <v>1057</v>
      </c>
      <c r="B5">
        <f>INPUTS!D105</f>
        <v>4.66</v>
      </c>
      <c r="C5">
        <v>0.78500000000000003</v>
      </c>
      <c r="D5" s="39">
        <f>C5*B5</f>
        <v>3.6581000000000001</v>
      </c>
    </row>
    <row r="6" spans="1:5">
      <c r="A6" s="9" t="s">
        <v>1058</v>
      </c>
      <c r="B6">
        <f>INPUTS!D106</f>
        <v>0</v>
      </c>
      <c r="C6">
        <f>E16</f>
        <v>2.3382000000000001</v>
      </c>
      <c r="D6" s="39">
        <f>C6*B6</f>
        <v>0</v>
      </c>
    </row>
    <row r="7" spans="1:5">
      <c r="A7" s="9" t="s">
        <v>1059</v>
      </c>
      <c r="B7">
        <f>INPUTS!D107</f>
        <v>0</v>
      </c>
      <c r="C7">
        <f>E15</f>
        <v>0.504</v>
      </c>
      <c r="D7" s="39">
        <f>C7*B7</f>
        <v>0</v>
      </c>
    </row>
    <row r="8" spans="1:5">
      <c r="A8" s="9" t="s">
        <v>1060</v>
      </c>
      <c r="B8">
        <f>INPUTS!D108</f>
        <v>0</v>
      </c>
      <c r="C8">
        <v>1.21</v>
      </c>
      <c r="D8" s="39">
        <f>C8*B8</f>
        <v>0</v>
      </c>
    </row>
    <row r="9" spans="1:5">
      <c r="A9" s="9" t="s">
        <v>1063</v>
      </c>
      <c r="B9">
        <f>INPUTS!D109</f>
        <v>0</v>
      </c>
      <c r="D9" s="39">
        <f>C9*B9</f>
        <v>0</v>
      </c>
      <c r="E9" s="319" t="s">
        <v>1070</v>
      </c>
    </row>
    <row r="10" spans="1:5">
      <c r="C10" s="319" t="s">
        <v>217</v>
      </c>
      <c r="D10" s="320">
        <f>SUM(D5:D9)</f>
        <v>3.6581000000000001</v>
      </c>
      <c r="E10" s="320">
        <f>D10/'Land requirements'!E11</f>
        <v>5.8753553994417382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1065</v>
      </c>
      <c r="C14" t="s">
        <v>1066</v>
      </c>
      <c r="D14" t="s">
        <v>1067</v>
      </c>
      <c r="E14" s="39" t="s">
        <v>1068</v>
      </c>
    </row>
    <row r="15" spans="1:5">
      <c r="A15" t="s">
        <v>1064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1058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showFormulas="1" topLeftCell="D1" workbookViewId="0">
      <selection activeCell="G8" sqref="G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181</v>
      </c>
      <c r="D1" t="s">
        <v>213</v>
      </c>
    </row>
    <row r="2" spans="1:13">
      <c r="D2" t="s">
        <v>214</v>
      </c>
    </row>
    <row r="3" spans="1:13">
      <c r="A3" s="13" t="s">
        <v>180</v>
      </c>
      <c r="B3" s="13" t="s">
        <v>179</v>
      </c>
      <c r="C3" s="1590" t="s">
        <v>176</v>
      </c>
      <c r="D3" s="1590"/>
      <c r="E3" s="1590" t="s">
        <v>177</v>
      </c>
      <c r="F3" s="1590"/>
      <c r="G3" s="1590"/>
      <c r="H3" s="1616" t="s">
        <v>178</v>
      </c>
      <c r="I3" s="1616"/>
      <c r="J3" s="1616"/>
      <c r="K3" s="1616" t="s">
        <v>177</v>
      </c>
      <c r="L3" s="1616"/>
      <c r="M3" s="64" t="s">
        <v>176</v>
      </c>
    </row>
    <row r="4" spans="1:13" s="10" customFormat="1" ht="141.75">
      <c r="A4" s="110" t="s">
        <v>641</v>
      </c>
      <c r="B4" s="110"/>
      <c r="C4" s="18" t="s">
        <v>174</v>
      </c>
      <c r="D4" s="15" t="s">
        <v>173</v>
      </c>
      <c r="E4" s="15" t="s">
        <v>216</v>
      </c>
      <c r="F4" s="15" t="s">
        <v>172</v>
      </c>
      <c r="G4" s="15" t="s">
        <v>215</v>
      </c>
      <c r="H4" s="18" t="s">
        <v>171</v>
      </c>
      <c r="I4" s="15" t="s">
        <v>170</v>
      </c>
      <c r="J4" s="15" t="s">
        <v>169</v>
      </c>
      <c r="K4" s="15" t="s">
        <v>168</v>
      </c>
      <c r="L4" s="15" t="s">
        <v>167</v>
      </c>
      <c r="M4" s="65" t="s">
        <v>166</v>
      </c>
    </row>
    <row r="5" spans="1:13" s="104" customFormat="1" ht="31.5">
      <c r="A5" s="111"/>
      <c r="B5" s="111"/>
      <c r="C5" s="24" t="s">
        <v>165</v>
      </c>
      <c r="D5" s="24" t="s">
        <v>164</v>
      </c>
      <c r="E5" s="24" t="s">
        <v>163</v>
      </c>
      <c r="F5" s="24" t="s">
        <v>161</v>
      </c>
      <c r="G5" s="24" t="s">
        <v>161</v>
      </c>
      <c r="H5" s="102" t="s">
        <v>162</v>
      </c>
      <c r="I5" s="102" t="s">
        <v>161</v>
      </c>
      <c r="J5" s="102" t="s">
        <v>161</v>
      </c>
      <c r="K5" s="102" t="s">
        <v>161</v>
      </c>
      <c r="L5" s="102" t="s">
        <v>160</v>
      </c>
      <c r="M5" s="103" t="s">
        <v>159</v>
      </c>
    </row>
    <row r="6" spans="1:13" s="104" customFormat="1" ht="31.5">
      <c r="A6" s="111"/>
      <c r="B6" s="111"/>
      <c r="C6" s="88"/>
      <c r="D6" s="88"/>
      <c r="E6" s="88" t="s">
        <v>158</v>
      </c>
      <c r="F6" s="88" t="s">
        <v>157</v>
      </c>
      <c r="G6" s="88" t="s">
        <v>156</v>
      </c>
      <c r="H6" s="105"/>
      <c r="I6" s="105" t="s">
        <v>155</v>
      </c>
      <c r="J6" s="105" t="s">
        <v>154</v>
      </c>
      <c r="K6" s="105"/>
      <c r="L6" s="105" t="s">
        <v>211</v>
      </c>
      <c r="M6" s="106" t="s">
        <v>153</v>
      </c>
    </row>
    <row r="7" spans="1:13" s="104" customFormat="1" ht="16.5" thickBot="1">
      <c r="A7" s="112"/>
      <c r="B7" s="112" t="s">
        <v>640</v>
      </c>
      <c r="C7" s="107" t="s">
        <v>152</v>
      </c>
      <c r="D7" s="107" t="s">
        <v>151</v>
      </c>
      <c r="E7" s="107" t="s">
        <v>150</v>
      </c>
      <c r="F7" s="107" t="s">
        <v>149</v>
      </c>
      <c r="G7" s="107" t="s">
        <v>148</v>
      </c>
      <c r="H7" s="107" t="s">
        <v>147</v>
      </c>
      <c r="I7" s="107" t="s">
        <v>146</v>
      </c>
      <c r="J7" s="107" t="s">
        <v>145</v>
      </c>
      <c r="K7" s="108" t="s">
        <v>144</v>
      </c>
      <c r="L7" s="108" t="s">
        <v>143</v>
      </c>
      <c r="M7" s="109" t="s">
        <v>142</v>
      </c>
    </row>
    <row r="8" spans="1:13" ht="17.25" thickTop="1" thickBot="1">
      <c r="A8" s="113" t="s">
        <v>635</v>
      </c>
      <c r="B8" s="4" t="str">
        <f>INPUTS!E114</f>
        <v xml:space="preserve">None </v>
      </c>
      <c r="C8" s="3">
        <f>INPUTS!E112</f>
        <v>0</v>
      </c>
      <c r="D8" s="3">
        <f>INPUTS!E113</f>
        <v>0</v>
      </c>
      <c r="E8" s="84">
        <f>'GHG Parameters'!C$205</f>
        <v>1.3</v>
      </c>
      <c r="F8" s="84">
        <f>VLOOKUP(B8,A$53:B$60,2,FALSE)</f>
        <v>0</v>
      </c>
      <c r="G8" s="84">
        <f>IFERROR(VLOOKUP(INPUTS!E115,'GHG Rice'!A65:B68,2,FALSE), "")</f>
        <v>1</v>
      </c>
      <c r="H8" s="3">
        <f>INPUTS!E117</f>
        <v>0</v>
      </c>
      <c r="I8" s="84">
        <f>IFERROR(VLOOKUP(INPUTS!E116,'GHG Rice'!A$42:B$47, 2, FALSE), 0)</f>
        <v>0.05</v>
      </c>
      <c r="J8" s="134">
        <f>IFERROR((1+H8*I8)^0.59, 0)</f>
        <v>1</v>
      </c>
      <c r="K8" s="3">
        <v>1</v>
      </c>
      <c r="L8" s="134">
        <f>E8*F8*G8*J8*K8</f>
        <v>0</v>
      </c>
      <c r="M8" s="135">
        <f>IF(ISERROR(C8*D8*L8),"",C8*D8*L8)</f>
        <v>0</v>
      </c>
    </row>
    <row r="9" spans="1:13" ht="17.25" thickTop="1" thickBot="1">
      <c r="A9" s="113" t="s">
        <v>636</v>
      </c>
      <c r="B9" s="4" t="str">
        <f>INPUTS!F114</f>
        <v xml:space="preserve">None </v>
      </c>
      <c r="C9" s="3">
        <f>INPUTS!F112</f>
        <v>0</v>
      </c>
      <c r="D9" s="3">
        <f>INPUTS!F113</f>
        <v>0</v>
      </c>
      <c r="E9" s="84">
        <f>'GHG Parameters'!C$205</f>
        <v>1.3</v>
      </c>
      <c r="F9" s="84">
        <f>VLOOKUP(B9,A$53:B$60,2,FALSE)</f>
        <v>0</v>
      </c>
      <c r="G9" s="84">
        <f>IFERROR(VLOOKUP(INPUTS!F115,'GHG Rice'!A65:B68,2,FALSE), 0)</f>
        <v>0</v>
      </c>
      <c r="H9" s="13">
        <f>INPUTS!F117</f>
        <v>0</v>
      </c>
      <c r="I9" s="84">
        <f>IFERROR(VLOOKUP(INPUTS!F116,'GHG Rice'!A$42:B$47, 2, FALSE), 0)</f>
        <v>0</v>
      </c>
      <c r="J9" s="134">
        <f>IFERROR((1+H9*I9)^0.59, 0)</f>
        <v>1</v>
      </c>
      <c r="K9" s="13">
        <v>1</v>
      </c>
      <c r="L9" s="134">
        <f>E9*F9*G9*J9*K9</f>
        <v>0</v>
      </c>
      <c r="M9" s="135">
        <f>IF(ISERROR(C9*D9*L9),"",C9*D9*L9)</f>
        <v>0</v>
      </c>
    </row>
    <row r="10" spans="1:13" ht="17.25" thickTop="1" thickBot="1">
      <c r="A10" s="113" t="s">
        <v>637</v>
      </c>
      <c r="B10" s="4" t="str">
        <f>INPUTS!G114</f>
        <v xml:space="preserve">None </v>
      </c>
      <c r="C10" s="3">
        <f>INPUTS!G112</f>
        <v>0</v>
      </c>
      <c r="D10" s="3">
        <f>INPUTS!G113</f>
        <v>0</v>
      </c>
      <c r="E10" s="84">
        <f>'GHG Parameters'!C$205</f>
        <v>1.3</v>
      </c>
      <c r="F10" s="84">
        <f>VLOOKUP(B10,A$53:B$60,2,FALSE)</f>
        <v>0</v>
      </c>
      <c r="G10" s="84">
        <f>IFERROR(VLOOKUP(INPUTS!G115,'GHG Rice'!A65:B68,2,FALSE), 0)</f>
        <v>0</v>
      </c>
      <c r="H10" s="13">
        <f>INPUTS!G117</f>
        <v>0</v>
      </c>
      <c r="I10" s="84">
        <f>IFERROR(VLOOKUP(INPUTS!G116,'GHG Rice'!A$42:B$47, 2, FALSE), 0)</f>
        <v>0</v>
      </c>
      <c r="J10" s="134">
        <f>IFERROR((1+H10*I10)^0.59, 0)</f>
        <v>1</v>
      </c>
      <c r="K10" s="13">
        <v>1</v>
      </c>
      <c r="L10" s="134">
        <f>E10*F10*G10*J10*K10</f>
        <v>0</v>
      </c>
      <c r="M10" s="135">
        <f>IF(ISERROR(C10*D10*L10),"",C10*D10*L10)</f>
        <v>0</v>
      </c>
    </row>
    <row r="11" spans="1:13" ht="15.75" customHeight="1" thickTop="1" thickBot="1">
      <c r="A11" s="113" t="s">
        <v>638</v>
      </c>
      <c r="B11" s="4" t="str">
        <f>INPUTS!H114</f>
        <v xml:space="preserve">None </v>
      </c>
      <c r="C11" s="3">
        <f>INPUTS!H112</f>
        <v>0</v>
      </c>
      <c r="D11" s="3">
        <f>INPUTS!H113</f>
        <v>0</v>
      </c>
      <c r="E11" s="84">
        <f>'GHG Parameters'!C$205</f>
        <v>1.3</v>
      </c>
      <c r="F11" s="84">
        <f>VLOOKUP(B11,A$53:B$60,2,FALSE)</f>
        <v>0</v>
      </c>
      <c r="G11" s="84">
        <f>IFERROR(VLOOKUP(INPUTS!H115,'GHG Rice'!A65:B68,2,FALSE), 0)</f>
        <v>0</v>
      </c>
      <c r="H11" s="13">
        <f>INPUTS!H117</f>
        <v>0</v>
      </c>
      <c r="I11" s="84">
        <f>IFERROR(VLOOKUP(INPUTS!H116,'GHG Rice'!A$42:B$47, 2, FALSE), 0)</f>
        <v>0</v>
      </c>
      <c r="J11" s="134">
        <f>IFERROR((1+H11*I11)^0.59, 0)</f>
        <v>1</v>
      </c>
      <c r="K11" s="13">
        <v>1</v>
      </c>
      <c r="L11" s="134">
        <f>E11*F11*G11*J11*K11</f>
        <v>0</v>
      </c>
      <c r="M11" s="135">
        <f>IF(ISERROR(C11*D11*L11),"",C11*D11*L11)</f>
        <v>0</v>
      </c>
    </row>
    <row r="12" spans="1:13" ht="16.5" thickTop="1">
      <c r="A12" s="113" t="s">
        <v>639</v>
      </c>
      <c r="B12" s="4" t="str">
        <f>INPUTS!I114</f>
        <v xml:space="preserve">None </v>
      </c>
      <c r="C12" s="3">
        <f>INPUTS!I112</f>
        <v>0</v>
      </c>
      <c r="D12" s="3">
        <f>INPUTS!I113</f>
        <v>0</v>
      </c>
      <c r="E12" s="84">
        <f>'GHG Parameters'!C$205</f>
        <v>1.3</v>
      </c>
      <c r="F12" s="84">
        <f>VLOOKUP(B12,A$53:B$60,2,FALSE)</f>
        <v>0</v>
      </c>
      <c r="G12" s="84">
        <f>IFERROR(VLOOKUP(INPUTS!I115,'GHG Rice'!A65:B68,2,FALSE), 0)</f>
        <v>0</v>
      </c>
      <c r="H12" s="13">
        <f>INPUTS!I117</f>
        <v>0</v>
      </c>
      <c r="I12" s="84">
        <f>IFERROR(VLOOKUP(INPUTS!I116,'GHG Rice'!A$42:B$47, 2, FALSE), 0)</f>
        <v>0</v>
      </c>
      <c r="J12" s="134">
        <f>IFERROR((1+H12*I12)^0.59, 0)</f>
        <v>1</v>
      </c>
      <c r="K12" s="13">
        <v>1</v>
      </c>
      <c r="L12" s="134">
        <f>E12*F12*G12*J12*K12</f>
        <v>0</v>
      </c>
      <c r="M12" s="135">
        <f>IF(ISERROR(C12*D12*L12),"",C12*D12*L12)</f>
        <v>0</v>
      </c>
    </row>
    <row r="13" spans="1:13">
      <c r="A13" s="1613" t="s">
        <v>140</v>
      </c>
      <c r="B13" s="1614"/>
      <c r="C13" s="1614"/>
      <c r="D13" s="1614"/>
      <c r="E13" s="1614"/>
      <c r="F13" s="1614"/>
      <c r="G13" s="1614"/>
      <c r="H13" s="1614"/>
      <c r="I13" s="1614"/>
      <c r="J13" s="1614"/>
      <c r="K13" s="1614"/>
      <c r="L13" s="1615"/>
      <c r="M13" s="136">
        <f>SUM(M8:M12)</f>
        <v>0</v>
      </c>
    </row>
    <row r="17" spans="1:4" ht="57" customHeight="1">
      <c r="A17" t="s">
        <v>157</v>
      </c>
      <c r="B17" t="s">
        <v>193</v>
      </c>
    </row>
    <row r="18" spans="1:4">
      <c r="C18" s="13" t="s">
        <v>191</v>
      </c>
      <c r="D18" s="13" t="s">
        <v>192</v>
      </c>
    </row>
    <row r="19" spans="1:4">
      <c r="C19" s="13" t="s">
        <v>190</v>
      </c>
      <c r="D19" s="13" t="s">
        <v>190</v>
      </c>
    </row>
    <row r="20" spans="1:4">
      <c r="A20" s="1417" t="s">
        <v>182</v>
      </c>
      <c r="B20" s="16" t="s">
        <v>709</v>
      </c>
      <c r="C20" s="124">
        <v>0.78</v>
      </c>
      <c r="D20" s="13">
        <v>1</v>
      </c>
    </row>
    <row r="21" spans="1:4">
      <c r="A21" s="1417"/>
      <c r="B21" s="16" t="s">
        <v>185</v>
      </c>
      <c r="C21" s="125"/>
      <c r="D21" s="13">
        <v>0.6</v>
      </c>
    </row>
    <row r="22" spans="1:4">
      <c r="A22" s="1417"/>
      <c r="B22" s="16" t="s">
        <v>186</v>
      </c>
      <c r="C22" s="3"/>
      <c r="D22" s="13">
        <v>0.52</v>
      </c>
    </row>
    <row r="23" spans="1:4">
      <c r="A23" s="1418" t="s">
        <v>183</v>
      </c>
      <c r="B23" s="16" t="s">
        <v>710</v>
      </c>
      <c r="C23" s="124">
        <v>0.27</v>
      </c>
      <c r="D23" s="13">
        <v>0.28000000000000003</v>
      </c>
    </row>
    <row r="24" spans="1:4">
      <c r="A24" s="1418"/>
      <c r="B24" s="16" t="s">
        <v>711</v>
      </c>
      <c r="C24" s="125"/>
      <c r="D24" s="13">
        <v>0.25</v>
      </c>
    </row>
    <row r="25" spans="1:4">
      <c r="A25" s="1418"/>
      <c r="B25" s="16" t="s">
        <v>712</v>
      </c>
      <c r="C25" s="3"/>
      <c r="D25" s="13">
        <v>0.31</v>
      </c>
    </row>
    <row r="26" spans="1:4">
      <c r="A26" s="16" t="s">
        <v>141</v>
      </c>
      <c r="B26" s="16" t="s">
        <v>141</v>
      </c>
      <c r="C26" s="13">
        <v>0</v>
      </c>
      <c r="D26" s="13">
        <v>0</v>
      </c>
    </row>
    <row r="29" spans="1:4">
      <c r="A29" t="s">
        <v>200</v>
      </c>
    </row>
    <row r="30" spans="1:4">
      <c r="A30" t="s">
        <v>201</v>
      </c>
      <c r="C30" s="13" t="s">
        <v>191</v>
      </c>
      <c r="D30" s="13" t="s">
        <v>192</v>
      </c>
    </row>
    <row r="31" spans="1:4">
      <c r="B31" s="17" t="s">
        <v>195</v>
      </c>
      <c r="C31" s="13" t="s">
        <v>194</v>
      </c>
      <c r="D31" s="13" t="s">
        <v>194</v>
      </c>
    </row>
    <row r="32" spans="1:4" ht="31.5">
      <c r="B32" s="17" t="s">
        <v>198</v>
      </c>
      <c r="C32" s="13">
        <v>1.22</v>
      </c>
      <c r="D32" s="13">
        <v>1</v>
      </c>
    </row>
    <row r="33" spans="1:4" ht="47.25">
      <c r="B33" s="17" t="s">
        <v>199</v>
      </c>
      <c r="C33" s="13"/>
      <c r="D33" s="13">
        <v>0.68</v>
      </c>
    </row>
    <row r="34" spans="1:4">
      <c r="B34" s="137" t="s">
        <v>714</v>
      </c>
      <c r="C34" s="3"/>
      <c r="D34" s="3">
        <v>1.9</v>
      </c>
    </row>
    <row r="35" spans="1:4">
      <c r="B35" s="17" t="s">
        <v>713</v>
      </c>
      <c r="C35" s="13"/>
      <c r="D35" s="13">
        <v>0</v>
      </c>
    </row>
    <row r="36" spans="1:4">
      <c r="B36" t="s">
        <v>197</v>
      </c>
    </row>
    <row r="38" spans="1:4">
      <c r="A38" s="128" t="s">
        <v>202</v>
      </c>
      <c r="B38" s="128"/>
    </row>
    <row r="39" spans="1:4">
      <c r="A39" s="128" t="s">
        <v>203</v>
      </c>
      <c r="B39" s="128"/>
    </row>
    <row r="40" spans="1:4">
      <c r="A40" s="128"/>
      <c r="B40" s="128"/>
    </row>
    <row r="41" spans="1:4">
      <c r="A41" s="132" t="s">
        <v>210</v>
      </c>
      <c r="B41" s="138" t="s">
        <v>204</v>
      </c>
    </row>
    <row r="42" spans="1:4" ht="31.5">
      <c r="A42" s="131" t="s">
        <v>205</v>
      </c>
      <c r="B42" s="132">
        <v>1</v>
      </c>
    </row>
    <row r="43" spans="1:4" ht="31.5">
      <c r="A43" s="131" t="s">
        <v>206</v>
      </c>
      <c r="B43" s="132">
        <v>0.28999999999999998</v>
      </c>
    </row>
    <row r="44" spans="1:4">
      <c r="A44" s="131" t="s">
        <v>207</v>
      </c>
      <c r="B44" s="132">
        <v>0.05</v>
      </c>
    </row>
    <row r="45" spans="1:4">
      <c r="A45" s="131" t="s">
        <v>208</v>
      </c>
      <c r="B45" s="132">
        <v>0.14000000000000001</v>
      </c>
    </row>
    <row r="46" spans="1:4">
      <c r="A46" s="132" t="s">
        <v>209</v>
      </c>
      <c r="B46" s="132">
        <v>0.5</v>
      </c>
    </row>
    <row r="47" spans="1:4">
      <c r="A47" s="131" t="s">
        <v>212</v>
      </c>
      <c r="B47" s="132">
        <v>0</v>
      </c>
    </row>
    <row r="51" spans="1:2">
      <c r="A51" s="128" t="s">
        <v>716</v>
      </c>
      <c r="B51" s="128"/>
    </row>
    <row r="52" spans="1:2">
      <c r="A52" s="128" t="s">
        <v>717</v>
      </c>
      <c r="B52" s="128"/>
    </row>
    <row r="53" spans="1:2">
      <c r="A53" s="128" t="s">
        <v>808</v>
      </c>
      <c r="B53" s="128">
        <v>0</v>
      </c>
    </row>
    <row r="54" spans="1:2">
      <c r="A54" s="129" t="s">
        <v>141</v>
      </c>
      <c r="B54" s="130">
        <v>0</v>
      </c>
    </row>
    <row r="55" spans="1:2">
      <c r="A55" s="129" t="s">
        <v>711</v>
      </c>
      <c r="B55" s="130">
        <v>0.25</v>
      </c>
    </row>
    <row r="56" spans="1:2">
      <c r="A56" s="129" t="s">
        <v>710</v>
      </c>
      <c r="B56" s="130">
        <v>0.28000000000000003</v>
      </c>
    </row>
    <row r="57" spans="1:2">
      <c r="A57" s="129" t="s">
        <v>712</v>
      </c>
      <c r="B57" s="130">
        <v>0.31</v>
      </c>
    </row>
    <row r="58" spans="1:2">
      <c r="A58" s="129" t="s">
        <v>186</v>
      </c>
      <c r="B58" s="130">
        <v>0.52</v>
      </c>
    </row>
    <row r="59" spans="1:2">
      <c r="A59" s="129" t="s">
        <v>715</v>
      </c>
      <c r="B59" s="130">
        <v>0.6</v>
      </c>
    </row>
    <row r="60" spans="1:2">
      <c r="A60" s="129" t="s">
        <v>709</v>
      </c>
      <c r="B60" s="130">
        <v>1</v>
      </c>
    </row>
    <row r="64" spans="1:2">
      <c r="A64" s="131" t="s">
        <v>195</v>
      </c>
      <c r="B64" s="132"/>
    </row>
    <row r="65" spans="1:2" ht="31.5">
      <c r="A65" s="131" t="s">
        <v>198</v>
      </c>
      <c r="B65" s="132">
        <v>1</v>
      </c>
    </row>
    <row r="66" spans="1:2" ht="31.5">
      <c r="A66" s="131" t="s">
        <v>199</v>
      </c>
      <c r="B66" s="132">
        <v>0.68</v>
      </c>
    </row>
    <row r="67" spans="1:2">
      <c r="A67" s="131" t="s">
        <v>714</v>
      </c>
      <c r="B67" s="132">
        <v>1.9</v>
      </c>
    </row>
    <row r="68" spans="1:2">
      <c r="A68" s="131" t="s">
        <v>713</v>
      </c>
      <c r="B68" s="132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51</vt:i4>
      </vt:variant>
    </vt:vector>
  </HeadingPairs>
  <TitlesOfParts>
    <vt:vector size="82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Economics_Parameters</vt:lpstr>
      <vt:lpstr>SOC parameters</vt:lpstr>
      <vt:lpstr>Soil erosion parameters</vt:lpstr>
      <vt:lpstr>GHG Parameters</vt:lpstr>
      <vt:lpstr>Crop parameters</vt:lpstr>
      <vt:lpstr>Feed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Burning</vt:lpstr>
      <vt:lpstr>GHG Soil</vt:lpstr>
      <vt:lpstr>GHG Off-farm</vt:lpstr>
      <vt:lpstr>GHG Rice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Mukiri;An Notenbaert;Rein Van Der Hoek;celine birnholz</dc:creator>
  <cp:lastModifiedBy>Mwema</cp:lastModifiedBy>
  <cp:lastPrinted>2020-02-26T08:21:25Z</cp:lastPrinted>
  <dcterms:created xsi:type="dcterms:W3CDTF">2014-10-29T15:17:25Z</dcterms:created>
  <dcterms:modified xsi:type="dcterms:W3CDTF">2020-03-16T08:28:51Z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